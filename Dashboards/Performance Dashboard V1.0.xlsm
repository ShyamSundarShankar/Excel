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yam Sundar Shankar\Desktop\Reports\"/>
    </mc:Choice>
  </mc:AlternateContent>
  <xr:revisionPtr revIDLastSave="0" documentId="13_ncr:1_{AB169A8B-C523-4D78-8C5C-EA1AB6F206EC}" xr6:coauthVersionLast="44" xr6:coauthVersionMax="44" xr10:uidLastSave="{00000000-0000-0000-0000-000000000000}"/>
  <bookViews>
    <workbookView xWindow="8895" yWindow="4875" windowWidth="11595" windowHeight="6645" xr2:uid="{00000000-000D-0000-FFFF-FFFF00000000}"/>
  </bookViews>
  <sheets>
    <sheet name="Summary" sheetId="1" r:id="rId1"/>
    <sheet name="Setup" sheetId="2" r:id="rId2"/>
    <sheet name="SummarizedData" sheetId="3" r:id="rId3"/>
  </sheets>
  <definedNames>
    <definedName name="_xlnm._FilterDatabase" localSheetId="2" hidden="1">SummarizedData!$A$1:$Q$3398</definedName>
    <definedName name="BillCycle">Setup!$B$2:$B$7</definedName>
    <definedName name="Days">Setup!$D$2:$D$9</definedName>
    <definedName name="Month">Setup!$H$2:$H$13</definedName>
    <definedName name="Portfolio">Setup!$F$2:$F$4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6" i="2" l="1"/>
  <c r="R17" i="2"/>
  <c r="R18" i="2"/>
  <c r="R19" i="2"/>
  <c r="R20" i="2" s="1"/>
  <c r="R21" i="2" s="1"/>
  <c r="R22" i="2" s="1"/>
  <c r="R23" i="2" s="1"/>
  <c r="R24" i="2" s="1"/>
  <c r="R25" i="2" s="1"/>
  <c r="R26" i="2" s="1"/>
  <c r="R27" i="2" s="1"/>
  <c r="R28" i="2" s="1"/>
  <c r="R15" i="2"/>
  <c r="R11" i="2"/>
  <c r="R12" i="2" s="1"/>
  <c r="R13" i="2" s="1"/>
  <c r="R14" i="2" s="1"/>
  <c r="R10" i="2"/>
  <c r="R4" i="2"/>
  <c r="R5" i="2" s="1"/>
  <c r="R6" i="2" s="1"/>
  <c r="R7" i="2" s="1"/>
  <c r="R8" i="2" s="1"/>
  <c r="R9" i="2" s="1"/>
  <c r="R3" i="2"/>
  <c r="R1" i="2" l="1"/>
  <c r="G1" i="3"/>
  <c r="K16" i="1"/>
  <c r="K15" i="1"/>
  <c r="K14" i="1"/>
  <c r="K13" i="1"/>
  <c r="D21" i="1"/>
  <c r="E21" i="1"/>
  <c r="F21" i="1"/>
  <c r="G21" i="1"/>
  <c r="H21" i="1"/>
  <c r="I21" i="1"/>
  <c r="J21" i="1"/>
  <c r="C21" i="1"/>
  <c r="C20" i="1"/>
  <c r="D20" i="1"/>
  <c r="E20" i="1"/>
  <c r="F20" i="1"/>
  <c r="G20" i="1"/>
  <c r="H20" i="1"/>
  <c r="I20" i="1"/>
  <c r="J20" i="1"/>
  <c r="P1" i="2" l="1"/>
  <c r="F1" i="3" l="1"/>
  <c r="E1" i="3"/>
  <c r="D1" i="3"/>
  <c r="C1" i="3"/>
  <c r="B1" i="3"/>
  <c r="E17" i="1"/>
  <c r="F17" i="1"/>
  <c r="G17" i="1"/>
  <c r="H17" i="1"/>
  <c r="I17" i="1"/>
  <c r="J17" i="1"/>
  <c r="K17" i="1"/>
  <c r="E18" i="1"/>
  <c r="F18" i="1"/>
  <c r="G18" i="1"/>
  <c r="H18" i="1"/>
  <c r="I18" i="1"/>
  <c r="J18" i="1"/>
  <c r="K18" i="1"/>
  <c r="D18" i="1"/>
  <c r="D17" i="1"/>
  <c r="P28" i="2" l="1"/>
  <c r="Q26" i="2"/>
  <c r="Q27" i="2" s="1"/>
  <c r="Q28" i="2" s="1"/>
  <c r="Q25" i="2"/>
  <c r="Q20" i="2"/>
  <c r="Q21" i="2" s="1"/>
  <c r="Q22" i="2" s="1"/>
  <c r="Q23" i="2" s="1"/>
  <c r="Q19" i="2"/>
  <c r="Q14" i="2"/>
  <c r="Q15" i="2" s="1"/>
  <c r="Q16" i="2" s="1"/>
  <c r="Q17" i="2" s="1"/>
  <c r="Q13" i="2"/>
  <c r="Q11" i="2"/>
  <c r="Q8" i="2"/>
  <c r="Q9" i="2" s="1"/>
  <c r="Q10" i="2" s="1"/>
  <c r="Q7" i="2"/>
  <c r="Q4" i="2"/>
  <c r="Q5" i="2" s="1"/>
  <c r="Q3" i="2"/>
  <c r="P4" i="2"/>
  <c r="P5" i="2" s="1"/>
  <c r="P6" i="2" s="1"/>
  <c r="P7" i="2" s="1"/>
  <c r="P8" i="2" s="1"/>
  <c r="P9" i="2" s="1"/>
  <c r="P10" i="2" s="1"/>
  <c r="P11" i="2" s="1"/>
  <c r="P12" i="2" s="1"/>
  <c r="P13" i="2" s="1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3" i="2"/>
  <c r="M3" i="2"/>
  <c r="M4" i="2" s="1"/>
  <c r="M5" i="2" s="1"/>
  <c r="M6" i="2" s="1"/>
  <c r="M7" i="2" s="1"/>
  <c r="M8" i="2" s="1"/>
  <c r="M9" i="2" s="1"/>
  <c r="I9" i="2"/>
  <c r="I8" i="2"/>
  <c r="K3" i="2"/>
  <c r="K4" i="2" s="1"/>
  <c r="I3" i="2"/>
  <c r="I4" i="2" s="1"/>
  <c r="I5" i="2" s="1"/>
  <c r="I6" i="2" s="1"/>
  <c r="I7" i="2" s="1"/>
  <c r="G7" i="2"/>
  <c r="C9" i="2"/>
  <c r="G3" i="2" l="1"/>
  <c r="G4" i="2" s="1"/>
  <c r="G5" i="2" s="1"/>
  <c r="G6" i="2" s="1"/>
  <c r="E3" i="2"/>
  <c r="E4" i="2" s="1"/>
  <c r="C4" i="2"/>
  <c r="C5" i="2" s="1"/>
  <c r="C6" i="2" s="1"/>
  <c r="C7" i="2" s="1"/>
  <c r="C8" i="2" s="1"/>
  <c r="C3" i="2"/>
  <c r="A3" i="2"/>
  <c r="A4" i="2" l="1"/>
  <c r="A5" i="2" s="1"/>
  <c r="A6" i="2" s="1"/>
  <c r="A7" i="2" s="1"/>
  <c r="G3398" i="3"/>
  <c r="G7" i="3"/>
  <c r="G11" i="3"/>
  <c r="G15" i="3"/>
  <c r="G19" i="3"/>
  <c r="G23" i="3"/>
  <c r="G27" i="3"/>
  <c r="G31" i="3"/>
  <c r="G35" i="3"/>
  <c r="G39" i="3"/>
  <c r="G43" i="3"/>
  <c r="G47" i="3"/>
  <c r="G51" i="3"/>
  <c r="G55" i="3"/>
  <c r="G59" i="3"/>
  <c r="G63" i="3"/>
  <c r="G67" i="3"/>
  <c r="G71" i="3"/>
  <c r="G75" i="3"/>
  <c r="G79" i="3"/>
  <c r="G83" i="3"/>
  <c r="G87" i="3"/>
  <c r="G91" i="3"/>
  <c r="G95" i="3"/>
  <c r="G99" i="3"/>
  <c r="G103" i="3"/>
  <c r="G107" i="3"/>
  <c r="G111" i="3"/>
  <c r="G3397" i="3"/>
  <c r="G6" i="3"/>
  <c r="G10" i="3"/>
  <c r="G14" i="3"/>
  <c r="G18" i="3"/>
  <c r="G22" i="3"/>
  <c r="G26" i="3"/>
  <c r="G30" i="3"/>
  <c r="G34" i="3"/>
  <c r="G38" i="3"/>
  <c r="G42" i="3"/>
  <c r="G46" i="3"/>
  <c r="G50" i="3"/>
  <c r="G54" i="3"/>
  <c r="G58" i="3"/>
  <c r="G62" i="3"/>
  <c r="G66" i="3"/>
  <c r="G70" i="3"/>
  <c r="G74" i="3"/>
  <c r="G78" i="3"/>
  <c r="G82" i="3"/>
  <c r="G86" i="3"/>
  <c r="G90" i="3"/>
  <c r="G94" i="3"/>
  <c r="G98" i="3"/>
  <c r="G102" i="3"/>
  <c r="G106" i="3"/>
  <c r="G110" i="3"/>
  <c r="G3396" i="3"/>
  <c r="G5" i="3"/>
  <c r="G9" i="3"/>
  <c r="G13" i="3"/>
  <c r="G17" i="3"/>
  <c r="G21" i="3"/>
  <c r="G25" i="3"/>
  <c r="G29" i="3"/>
  <c r="G33" i="3"/>
  <c r="G37" i="3"/>
  <c r="G41" i="3"/>
  <c r="G45" i="3"/>
  <c r="G49" i="3"/>
  <c r="G53" i="3"/>
  <c r="G57" i="3"/>
  <c r="G61" i="3"/>
  <c r="G65" i="3"/>
  <c r="G69" i="3"/>
  <c r="G73" i="3"/>
  <c r="G77" i="3"/>
  <c r="G12" i="3"/>
  <c r="G28" i="3"/>
  <c r="G44" i="3"/>
  <c r="G60" i="3"/>
  <c r="G76" i="3"/>
  <c r="G81" i="3"/>
  <c r="G89" i="3"/>
  <c r="G97" i="3"/>
  <c r="G105" i="3"/>
  <c r="G113" i="3"/>
  <c r="G117" i="3"/>
  <c r="G121" i="3"/>
  <c r="G125" i="3"/>
  <c r="G129" i="3"/>
  <c r="G133" i="3"/>
  <c r="G137" i="3"/>
  <c r="G141" i="3"/>
  <c r="G145" i="3"/>
  <c r="G149" i="3"/>
  <c r="G153" i="3"/>
  <c r="G157" i="3"/>
  <c r="G161" i="3"/>
  <c r="G165" i="3"/>
  <c r="G169" i="3"/>
  <c r="G173" i="3"/>
  <c r="G177" i="3"/>
  <c r="G181" i="3"/>
  <c r="G185" i="3"/>
  <c r="G189" i="3"/>
  <c r="G8" i="3"/>
  <c r="G24" i="3"/>
  <c r="G40" i="3"/>
  <c r="G56" i="3"/>
  <c r="G72" i="3"/>
  <c r="G84" i="3"/>
  <c r="G92" i="3"/>
  <c r="G100" i="3"/>
  <c r="G108" i="3"/>
  <c r="G116" i="3"/>
  <c r="G120" i="3"/>
  <c r="G124" i="3"/>
  <c r="G128" i="3"/>
  <c r="G132" i="3"/>
  <c r="G136" i="3"/>
  <c r="G140" i="3"/>
  <c r="G144" i="3"/>
  <c r="G148" i="3"/>
  <c r="G152" i="3"/>
  <c r="G156" i="3"/>
  <c r="G4" i="3"/>
  <c r="G20" i="3"/>
  <c r="G36" i="3"/>
  <c r="G52" i="3"/>
  <c r="G68" i="3"/>
  <c r="G85" i="3"/>
  <c r="G93" i="3"/>
  <c r="G101" i="3"/>
  <c r="G109" i="3"/>
  <c r="G115" i="3"/>
  <c r="G119" i="3"/>
  <c r="G123" i="3"/>
  <c r="G127" i="3"/>
  <c r="G131" i="3"/>
  <c r="G135" i="3"/>
  <c r="G139" i="3"/>
  <c r="G143" i="3"/>
  <c r="G147" i="3"/>
  <c r="G151" i="3"/>
  <c r="G155" i="3"/>
  <c r="G159" i="3"/>
  <c r="G163" i="3"/>
  <c r="G167" i="3"/>
  <c r="G171" i="3"/>
  <c r="G175" i="3"/>
  <c r="G179" i="3"/>
  <c r="G183" i="3"/>
  <c r="G187" i="3"/>
  <c r="G48" i="3"/>
  <c r="G96" i="3"/>
  <c r="G126" i="3"/>
  <c r="G142" i="3"/>
  <c r="G158" i="3"/>
  <c r="G166" i="3"/>
  <c r="G174" i="3"/>
  <c r="G182" i="3"/>
  <c r="G190" i="3"/>
  <c r="G193" i="3"/>
  <c r="G197" i="3"/>
  <c r="G201" i="3"/>
  <c r="G205" i="3"/>
  <c r="G209" i="3"/>
  <c r="G213" i="3"/>
  <c r="G217" i="3"/>
  <c r="G221" i="3"/>
  <c r="G225" i="3"/>
  <c r="G229" i="3"/>
  <c r="G233" i="3"/>
  <c r="G237" i="3"/>
  <c r="G241" i="3"/>
  <c r="G245" i="3"/>
  <c r="G249" i="3"/>
  <c r="G253" i="3"/>
  <c r="G257" i="3"/>
  <c r="G261" i="3"/>
  <c r="G265" i="3"/>
  <c r="G269" i="3"/>
  <c r="G273" i="3"/>
  <c r="G277" i="3"/>
  <c r="G281" i="3"/>
  <c r="G285" i="3"/>
  <c r="G289" i="3"/>
  <c r="G293" i="3"/>
  <c r="G297" i="3"/>
  <c r="G301" i="3"/>
  <c r="G305" i="3"/>
  <c r="G309" i="3"/>
  <c r="G313" i="3"/>
  <c r="G317" i="3"/>
  <c r="G321" i="3"/>
  <c r="G325" i="3"/>
  <c r="G329" i="3"/>
  <c r="G333" i="3"/>
  <c r="G337" i="3"/>
  <c r="G341" i="3"/>
  <c r="G345" i="3"/>
  <c r="G349" i="3"/>
  <c r="G353" i="3"/>
  <c r="G357" i="3"/>
  <c r="G361" i="3"/>
  <c r="G365" i="3"/>
  <c r="G369" i="3"/>
  <c r="G373" i="3"/>
  <c r="G377" i="3"/>
  <c r="G32" i="3"/>
  <c r="G88" i="3"/>
  <c r="G122" i="3"/>
  <c r="G138" i="3"/>
  <c r="G154" i="3"/>
  <c r="G164" i="3"/>
  <c r="G172" i="3"/>
  <c r="G180" i="3"/>
  <c r="G188" i="3"/>
  <c r="G192" i="3"/>
  <c r="G196" i="3"/>
  <c r="G200" i="3"/>
  <c r="G204" i="3"/>
  <c r="G208" i="3"/>
  <c r="G212" i="3"/>
  <c r="G216" i="3"/>
  <c r="G220" i="3"/>
  <c r="G224" i="3"/>
  <c r="G228" i="3"/>
  <c r="G232" i="3"/>
  <c r="G236" i="3"/>
  <c r="G240" i="3"/>
  <c r="G244" i="3"/>
  <c r="G248" i="3"/>
  <c r="G252" i="3"/>
  <c r="G256" i="3"/>
  <c r="G260" i="3"/>
  <c r="G264" i="3"/>
  <c r="G268" i="3"/>
  <c r="G272" i="3"/>
  <c r="G276" i="3"/>
  <c r="G280" i="3"/>
  <c r="G284" i="3"/>
  <c r="G288" i="3"/>
  <c r="G292" i="3"/>
  <c r="G296" i="3"/>
  <c r="G300" i="3"/>
  <c r="G304" i="3"/>
  <c r="G308" i="3"/>
  <c r="G312" i="3"/>
  <c r="G316" i="3"/>
  <c r="G320" i="3"/>
  <c r="G324" i="3"/>
  <c r="G328" i="3"/>
  <c r="G332" i="3"/>
  <c r="G336" i="3"/>
  <c r="G340" i="3"/>
  <c r="G344" i="3"/>
  <c r="G348" i="3"/>
  <c r="G352" i="3"/>
  <c r="G356" i="3"/>
  <c r="G360" i="3"/>
  <c r="G364" i="3"/>
  <c r="G368" i="3"/>
  <c r="G372" i="3"/>
  <c r="G376" i="3"/>
  <c r="G380" i="3"/>
  <c r="G16" i="3"/>
  <c r="G80" i="3"/>
  <c r="G112" i="3"/>
  <c r="G118" i="3"/>
  <c r="G134" i="3"/>
  <c r="G150" i="3"/>
  <c r="G162" i="3"/>
  <c r="G170" i="3"/>
  <c r="G178" i="3"/>
  <c r="G186" i="3"/>
  <c r="G191" i="3"/>
  <c r="G195" i="3"/>
  <c r="G199" i="3"/>
  <c r="G203" i="3"/>
  <c r="G207" i="3"/>
  <c r="G211" i="3"/>
  <c r="G215" i="3"/>
  <c r="G219" i="3"/>
  <c r="G223" i="3"/>
  <c r="G227" i="3"/>
  <c r="G231" i="3"/>
  <c r="G235" i="3"/>
  <c r="G239" i="3"/>
  <c r="G243" i="3"/>
  <c r="G247" i="3"/>
  <c r="G251" i="3"/>
  <c r="G255" i="3"/>
  <c r="G259" i="3"/>
  <c r="G263" i="3"/>
  <c r="G267" i="3"/>
  <c r="G271" i="3"/>
  <c r="G275" i="3"/>
  <c r="G279" i="3"/>
  <c r="G283" i="3"/>
  <c r="G287" i="3"/>
  <c r="G291" i="3"/>
  <c r="G295" i="3"/>
  <c r="G299" i="3"/>
  <c r="G303" i="3"/>
  <c r="G307" i="3"/>
  <c r="G311" i="3"/>
  <c r="G315" i="3"/>
  <c r="G319" i="3"/>
  <c r="G323" i="3"/>
  <c r="G146" i="3"/>
  <c r="G184" i="3"/>
  <c r="G198" i="3"/>
  <c r="G214" i="3"/>
  <c r="G230" i="3"/>
  <c r="G246" i="3"/>
  <c r="G262" i="3"/>
  <c r="G278" i="3"/>
  <c r="G294" i="3"/>
  <c r="G310" i="3"/>
  <c r="G331" i="3"/>
  <c r="G339" i="3"/>
  <c r="G347" i="3"/>
  <c r="G355" i="3"/>
  <c r="G363" i="3"/>
  <c r="G371" i="3"/>
  <c r="G379" i="3"/>
  <c r="G381" i="3"/>
  <c r="G385" i="3"/>
  <c r="G389" i="3"/>
  <c r="G393" i="3"/>
  <c r="G397" i="3"/>
  <c r="G401" i="3"/>
  <c r="G405" i="3"/>
  <c r="G409" i="3"/>
  <c r="G413" i="3"/>
  <c r="G417" i="3"/>
  <c r="G421" i="3"/>
  <c r="G425" i="3"/>
  <c r="G429" i="3"/>
  <c r="G433" i="3"/>
  <c r="G437" i="3"/>
  <c r="G441" i="3"/>
  <c r="G445" i="3"/>
  <c r="G449" i="3"/>
  <c r="G453" i="3"/>
  <c r="G457" i="3"/>
  <c r="G461" i="3"/>
  <c r="G465" i="3"/>
  <c r="G469" i="3"/>
  <c r="G473" i="3"/>
  <c r="G477" i="3"/>
  <c r="G481" i="3"/>
  <c r="G485" i="3"/>
  <c r="G489" i="3"/>
  <c r="G493" i="3"/>
  <c r="G497" i="3"/>
  <c r="G501" i="3"/>
  <c r="G505" i="3"/>
  <c r="G509" i="3"/>
  <c r="G513" i="3"/>
  <c r="G104" i="3"/>
  <c r="G130" i="3"/>
  <c r="G176" i="3"/>
  <c r="G194" i="3"/>
  <c r="G210" i="3"/>
  <c r="G226" i="3"/>
  <c r="G242" i="3"/>
  <c r="G258" i="3"/>
  <c r="G274" i="3"/>
  <c r="G290" i="3"/>
  <c r="G306" i="3"/>
  <c r="G322" i="3"/>
  <c r="G326" i="3"/>
  <c r="G334" i="3"/>
  <c r="G342" i="3"/>
  <c r="G350" i="3"/>
  <c r="G358" i="3"/>
  <c r="G366" i="3"/>
  <c r="G374" i="3"/>
  <c r="G384" i="3"/>
  <c r="G388" i="3"/>
  <c r="G392" i="3"/>
  <c r="G396" i="3"/>
  <c r="G400" i="3"/>
  <c r="G404" i="3"/>
  <c r="G408" i="3"/>
  <c r="G412" i="3"/>
  <c r="G416" i="3"/>
  <c r="G420" i="3"/>
  <c r="G424" i="3"/>
  <c r="G428" i="3"/>
  <c r="G432" i="3"/>
  <c r="G436" i="3"/>
  <c r="G440" i="3"/>
  <c r="G444" i="3"/>
  <c r="G448" i="3"/>
  <c r="G452" i="3"/>
  <c r="G456" i="3"/>
  <c r="G460" i="3"/>
  <c r="G464" i="3"/>
  <c r="G468" i="3"/>
  <c r="G472" i="3"/>
  <c r="G476" i="3"/>
  <c r="G480" i="3"/>
  <c r="G484" i="3"/>
  <c r="G488" i="3"/>
  <c r="G492" i="3"/>
  <c r="G496" i="3"/>
  <c r="G500" i="3"/>
  <c r="G504" i="3"/>
  <c r="G508" i="3"/>
  <c r="G512" i="3"/>
  <c r="G516" i="3"/>
  <c r="G520" i="3"/>
  <c r="G524" i="3"/>
  <c r="G528" i="3"/>
  <c r="G532" i="3"/>
  <c r="G536" i="3"/>
  <c r="G64" i="3"/>
  <c r="G114" i="3"/>
  <c r="G168" i="3"/>
  <c r="G206" i="3"/>
  <c r="G222" i="3"/>
  <c r="G238" i="3"/>
  <c r="G254" i="3"/>
  <c r="G270" i="3"/>
  <c r="G286" i="3"/>
  <c r="G302" i="3"/>
  <c r="G318" i="3"/>
  <c r="G327" i="3"/>
  <c r="G335" i="3"/>
  <c r="G343" i="3"/>
  <c r="G351" i="3"/>
  <c r="G359" i="3"/>
  <c r="G367" i="3"/>
  <c r="G375" i="3"/>
  <c r="G383" i="3"/>
  <c r="G387" i="3"/>
  <c r="G391" i="3"/>
  <c r="G395" i="3"/>
  <c r="G399" i="3"/>
  <c r="G403" i="3"/>
  <c r="G407" i="3"/>
  <c r="G411" i="3"/>
  <c r="G415" i="3"/>
  <c r="G419" i="3"/>
  <c r="G423" i="3"/>
  <c r="G427" i="3"/>
  <c r="G431" i="3"/>
  <c r="G435" i="3"/>
  <c r="G439" i="3"/>
  <c r="G443" i="3"/>
  <c r="G447" i="3"/>
  <c r="G451" i="3"/>
  <c r="G455" i="3"/>
  <c r="G459" i="3"/>
  <c r="G463" i="3"/>
  <c r="G467" i="3"/>
  <c r="G471" i="3"/>
  <c r="G475" i="3"/>
  <c r="G479" i="3"/>
  <c r="G483" i="3"/>
  <c r="G487" i="3"/>
  <c r="G491" i="3"/>
  <c r="G495" i="3"/>
  <c r="G499" i="3"/>
  <c r="G503" i="3"/>
  <c r="G507" i="3"/>
  <c r="G511" i="3"/>
  <c r="G515" i="3"/>
  <c r="G519" i="3"/>
  <c r="G523" i="3"/>
  <c r="G202" i="3"/>
  <c r="G266" i="3"/>
  <c r="G338" i="3"/>
  <c r="G370" i="3"/>
  <c r="G386" i="3"/>
  <c r="G402" i="3"/>
  <c r="G418" i="3"/>
  <c r="G434" i="3"/>
  <c r="G450" i="3"/>
  <c r="G466" i="3"/>
  <c r="G482" i="3"/>
  <c r="G498" i="3"/>
  <c r="G514" i="3"/>
  <c r="G517" i="3"/>
  <c r="G525" i="3"/>
  <c r="G529" i="3"/>
  <c r="G531" i="3"/>
  <c r="G539" i="3"/>
  <c r="G543" i="3"/>
  <c r="G547" i="3"/>
  <c r="G551" i="3"/>
  <c r="G555" i="3"/>
  <c r="G559" i="3"/>
  <c r="G563" i="3"/>
  <c r="G567" i="3"/>
  <c r="G571" i="3"/>
  <c r="G575" i="3"/>
  <c r="G579" i="3"/>
  <c r="G583" i="3"/>
  <c r="G587" i="3"/>
  <c r="G591" i="3"/>
  <c r="G595" i="3"/>
  <c r="G599" i="3"/>
  <c r="G603" i="3"/>
  <c r="G607" i="3"/>
  <c r="G611" i="3"/>
  <c r="G615" i="3"/>
  <c r="G619" i="3"/>
  <c r="G623" i="3"/>
  <c r="G627" i="3"/>
  <c r="G631" i="3"/>
  <c r="G635" i="3"/>
  <c r="G639" i="3"/>
  <c r="G643" i="3"/>
  <c r="G647" i="3"/>
  <c r="G250" i="3"/>
  <c r="G314" i="3"/>
  <c r="G330" i="3"/>
  <c r="G362" i="3"/>
  <c r="G382" i="3"/>
  <c r="G398" i="3"/>
  <c r="G414" i="3"/>
  <c r="G430" i="3"/>
  <c r="G446" i="3"/>
  <c r="G462" i="3"/>
  <c r="G478" i="3"/>
  <c r="G494" i="3"/>
  <c r="G510" i="3"/>
  <c r="G518" i="3"/>
  <c r="G526" i="3"/>
  <c r="G533" i="3"/>
  <c r="G535" i="3"/>
  <c r="G538" i="3"/>
  <c r="G542" i="3"/>
  <c r="G546" i="3"/>
  <c r="G550" i="3"/>
  <c r="G554" i="3"/>
  <c r="G558" i="3"/>
  <c r="G562" i="3"/>
  <c r="G566" i="3"/>
  <c r="G570" i="3"/>
  <c r="G574" i="3"/>
  <c r="G578" i="3"/>
  <c r="G582" i="3"/>
  <c r="G586" i="3"/>
  <c r="G590" i="3"/>
  <c r="G594" i="3"/>
  <c r="G598" i="3"/>
  <c r="G602" i="3"/>
  <c r="G606" i="3"/>
  <c r="G610" i="3"/>
  <c r="G614" i="3"/>
  <c r="G618" i="3"/>
  <c r="G622" i="3"/>
  <c r="G626" i="3"/>
  <c r="G630" i="3"/>
  <c r="G634" i="3"/>
  <c r="G638" i="3"/>
  <c r="G642" i="3"/>
  <c r="G646" i="3"/>
  <c r="G650" i="3"/>
  <c r="G654" i="3"/>
  <c r="G658" i="3"/>
  <c r="G662" i="3"/>
  <c r="G666" i="3"/>
  <c r="G670" i="3"/>
  <c r="G674" i="3"/>
  <c r="G678" i="3"/>
  <c r="G682" i="3"/>
  <c r="G686" i="3"/>
  <c r="G690" i="3"/>
  <c r="G694" i="3"/>
  <c r="G698" i="3"/>
  <c r="G234" i="3"/>
  <c r="G298" i="3"/>
  <c r="G354" i="3"/>
  <c r="G394" i="3"/>
  <c r="G410" i="3"/>
  <c r="G426" i="3"/>
  <c r="G442" i="3"/>
  <c r="G458" i="3"/>
  <c r="G474" i="3"/>
  <c r="G490" i="3"/>
  <c r="G506" i="3"/>
  <c r="G521" i="3"/>
  <c r="G530" i="3"/>
  <c r="G537" i="3"/>
  <c r="G541" i="3"/>
  <c r="G545" i="3"/>
  <c r="G549" i="3"/>
  <c r="G553" i="3"/>
  <c r="G557" i="3"/>
  <c r="G561" i="3"/>
  <c r="G565" i="3"/>
  <c r="G569" i="3"/>
  <c r="G573" i="3"/>
  <c r="G577" i="3"/>
  <c r="G581" i="3"/>
  <c r="G585" i="3"/>
  <c r="G589" i="3"/>
  <c r="G593" i="3"/>
  <c r="G597" i="3"/>
  <c r="G601" i="3"/>
  <c r="G605" i="3"/>
  <c r="G609" i="3"/>
  <c r="G613" i="3"/>
  <c r="G617" i="3"/>
  <c r="G621" i="3"/>
  <c r="G625" i="3"/>
  <c r="G629" i="3"/>
  <c r="G633" i="3"/>
  <c r="G637" i="3"/>
  <c r="G641" i="3"/>
  <c r="G645" i="3"/>
  <c r="G649" i="3"/>
  <c r="G653" i="3"/>
  <c r="G657" i="3"/>
  <c r="G661" i="3"/>
  <c r="G665" i="3"/>
  <c r="G669" i="3"/>
  <c r="G673" i="3"/>
  <c r="G677" i="3"/>
  <c r="G681" i="3"/>
  <c r="G685" i="3"/>
  <c r="G689" i="3"/>
  <c r="G693" i="3"/>
  <c r="G697" i="3"/>
  <c r="G160" i="3"/>
  <c r="G378" i="3"/>
  <c r="G422" i="3"/>
  <c r="G486" i="3"/>
  <c r="G522" i="3"/>
  <c r="G548" i="3"/>
  <c r="G564" i="3"/>
  <c r="G580" i="3"/>
  <c r="G596" i="3"/>
  <c r="G612" i="3"/>
  <c r="G628" i="3"/>
  <c r="G644" i="3"/>
  <c r="G652" i="3"/>
  <c r="G660" i="3"/>
  <c r="G668" i="3"/>
  <c r="G676" i="3"/>
  <c r="G684" i="3"/>
  <c r="G692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G941" i="3"/>
  <c r="G945" i="3"/>
  <c r="G949" i="3"/>
  <c r="G953" i="3"/>
  <c r="G957" i="3"/>
  <c r="G961" i="3"/>
  <c r="G965" i="3"/>
  <c r="G969" i="3"/>
  <c r="G973" i="3"/>
  <c r="G977" i="3"/>
  <c r="G981" i="3"/>
  <c r="G985" i="3"/>
  <c r="G989" i="3"/>
  <c r="G993" i="3"/>
  <c r="G997" i="3"/>
  <c r="G1001" i="3"/>
  <c r="G1005" i="3"/>
  <c r="G1009" i="3"/>
  <c r="G1013" i="3"/>
  <c r="G1017" i="3"/>
  <c r="G1021" i="3"/>
  <c r="G1025" i="3"/>
  <c r="G1029" i="3"/>
  <c r="G1033" i="3"/>
  <c r="G1037" i="3"/>
  <c r="G1041" i="3"/>
  <c r="G1045" i="3"/>
  <c r="G1049" i="3"/>
  <c r="G1053" i="3"/>
  <c r="G1057" i="3"/>
  <c r="G1061" i="3"/>
  <c r="G1065" i="3"/>
  <c r="G1069" i="3"/>
  <c r="G1073" i="3"/>
  <c r="G1077" i="3"/>
  <c r="G1081" i="3"/>
  <c r="G282" i="3"/>
  <c r="G346" i="3"/>
  <c r="G406" i="3"/>
  <c r="G470" i="3"/>
  <c r="G544" i="3"/>
  <c r="G560" i="3"/>
  <c r="G576" i="3"/>
  <c r="G592" i="3"/>
  <c r="G608" i="3"/>
  <c r="G624" i="3"/>
  <c r="G640" i="3"/>
  <c r="G655" i="3"/>
  <c r="G663" i="3"/>
  <c r="G671" i="3"/>
  <c r="G679" i="3"/>
  <c r="G687" i="3"/>
  <c r="G695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G940" i="3"/>
  <c r="G944" i="3"/>
  <c r="G948" i="3"/>
  <c r="G952" i="3"/>
  <c r="G956" i="3"/>
  <c r="G960" i="3"/>
  <c r="G964" i="3"/>
  <c r="G968" i="3"/>
  <c r="G972" i="3"/>
  <c r="G976" i="3"/>
  <c r="G980" i="3"/>
  <c r="G984" i="3"/>
  <c r="G988" i="3"/>
  <c r="G218" i="3"/>
  <c r="G390" i="3"/>
  <c r="G454" i="3"/>
  <c r="G527" i="3"/>
  <c r="G534" i="3"/>
  <c r="G540" i="3"/>
  <c r="G556" i="3"/>
  <c r="G572" i="3"/>
  <c r="G588" i="3"/>
  <c r="G604" i="3"/>
  <c r="G620" i="3"/>
  <c r="G636" i="3"/>
  <c r="G656" i="3"/>
  <c r="G664" i="3"/>
  <c r="G672" i="3"/>
  <c r="G680" i="3"/>
  <c r="G688" i="3"/>
  <c r="G696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G943" i="3"/>
  <c r="G947" i="3"/>
  <c r="G951" i="3"/>
  <c r="G955" i="3"/>
  <c r="G959" i="3"/>
  <c r="G963" i="3"/>
  <c r="G967" i="3"/>
  <c r="G971" i="3"/>
  <c r="G975" i="3"/>
  <c r="G979" i="3"/>
  <c r="G983" i="3"/>
  <c r="G987" i="3"/>
  <c r="G991" i="3"/>
  <c r="G995" i="3"/>
  <c r="G999" i="3"/>
  <c r="G1003" i="3"/>
  <c r="G1007" i="3"/>
  <c r="G1011" i="3"/>
  <c r="G1015" i="3"/>
  <c r="G1019" i="3"/>
  <c r="G1023" i="3"/>
  <c r="G1027" i="3"/>
  <c r="G1031" i="3"/>
  <c r="G1035" i="3"/>
  <c r="G1039" i="3"/>
  <c r="G1043" i="3"/>
  <c r="G1047" i="3"/>
  <c r="G1051" i="3"/>
  <c r="G1055" i="3"/>
  <c r="G1059" i="3"/>
  <c r="G1063" i="3"/>
  <c r="G1067" i="3"/>
  <c r="G1071" i="3"/>
  <c r="G1075" i="3"/>
  <c r="G1079" i="3"/>
  <c r="G1083" i="3"/>
  <c r="G502" i="3"/>
  <c r="G584" i="3"/>
  <c r="G648" i="3"/>
  <c r="G659" i="3"/>
  <c r="G691" i="3"/>
  <c r="G706" i="3"/>
  <c r="G722" i="3"/>
  <c r="G738" i="3"/>
  <c r="G754" i="3"/>
  <c r="G770" i="3"/>
  <c r="G786" i="3"/>
  <c r="G802" i="3"/>
  <c r="G818" i="3"/>
  <c r="G834" i="3"/>
  <c r="G850" i="3"/>
  <c r="G866" i="3"/>
  <c r="G882" i="3"/>
  <c r="G898" i="3"/>
  <c r="G914" i="3"/>
  <c r="G930" i="3"/>
  <c r="G946" i="3"/>
  <c r="G962" i="3"/>
  <c r="G978" i="3"/>
  <c r="G992" i="3"/>
  <c r="G1000" i="3"/>
  <c r="G1008" i="3"/>
  <c r="G1016" i="3"/>
  <c r="G1024" i="3"/>
  <c r="G1032" i="3"/>
  <c r="G1040" i="3"/>
  <c r="G1048" i="3"/>
  <c r="G1056" i="3"/>
  <c r="G1064" i="3"/>
  <c r="G1072" i="3"/>
  <c r="G1080" i="3"/>
  <c r="G1085" i="3"/>
  <c r="G1089" i="3"/>
  <c r="G1093" i="3"/>
  <c r="G1097" i="3"/>
  <c r="G1101" i="3"/>
  <c r="G1105" i="3"/>
  <c r="G1109" i="3"/>
  <c r="G1113" i="3"/>
  <c r="G1117" i="3"/>
  <c r="G1121" i="3"/>
  <c r="G1125" i="3"/>
  <c r="G1129" i="3"/>
  <c r="G1133" i="3"/>
  <c r="G1137" i="3"/>
  <c r="G1141" i="3"/>
  <c r="G1145" i="3"/>
  <c r="G1149" i="3"/>
  <c r="G1153" i="3"/>
  <c r="G1157" i="3"/>
  <c r="G1161" i="3"/>
  <c r="G1165" i="3"/>
  <c r="G1169" i="3"/>
  <c r="G1173" i="3"/>
  <c r="G1177" i="3"/>
  <c r="G1181" i="3"/>
  <c r="G1185" i="3"/>
  <c r="G1189" i="3"/>
  <c r="G1193" i="3"/>
  <c r="G1197" i="3"/>
  <c r="G1201" i="3"/>
  <c r="G1205" i="3"/>
  <c r="G1209" i="3"/>
  <c r="G1213" i="3"/>
  <c r="G1217" i="3"/>
  <c r="G1221" i="3"/>
  <c r="G1225" i="3"/>
  <c r="G1229" i="3"/>
  <c r="G1233" i="3"/>
  <c r="G1237" i="3"/>
  <c r="G1241" i="3"/>
  <c r="G1245" i="3"/>
  <c r="G1249" i="3"/>
  <c r="G1253" i="3"/>
  <c r="G1257" i="3"/>
  <c r="G1261" i="3"/>
  <c r="G1265" i="3"/>
  <c r="G1269" i="3"/>
  <c r="G1273" i="3"/>
  <c r="G1277" i="3"/>
  <c r="G1281" i="3"/>
  <c r="G1285" i="3"/>
  <c r="G1289" i="3"/>
  <c r="G1293" i="3"/>
  <c r="G1297" i="3"/>
  <c r="G1301" i="3"/>
  <c r="G1305" i="3"/>
  <c r="G1309" i="3"/>
  <c r="G1313" i="3"/>
  <c r="G1317" i="3"/>
  <c r="G1321" i="3"/>
  <c r="G1325" i="3"/>
  <c r="G1329" i="3"/>
  <c r="G1333" i="3"/>
  <c r="G1337" i="3"/>
  <c r="G1341" i="3"/>
  <c r="G1345" i="3"/>
  <c r="G1349" i="3"/>
  <c r="G1353" i="3"/>
  <c r="G1357" i="3"/>
  <c r="G1361" i="3"/>
  <c r="G1365" i="3"/>
  <c r="G1369" i="3"/>
  <c r="G1373" i="3"/>
  <c r="G1377" i="3"/>
  <c r="G1381" i="3"/>
  <c r="G1385" i="3"/>
  <c r="G1389" i="3"/>
  <c r="G1393" i="3"/>
  <c r="G1397" i="3"/>
  <c r="G1401" i="3"/>
  <c r="G438" i="3"/>
  <c r="G568" i="3"/>
  <c r="G632" i="3"/>
  <c r="G651" i="3"/>
  <c r="G683" i="3"/>
  <c r="G702" i="3"/>
  <c r="G718" i="3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G942" i="3"/>
  <c r="G958" i="3"/>
  <c r="G974" i="3"/>
  <c r="G990" i="3"/>
  <c r="G998" i="3"/>
  <c r="G1006" i="3"/>
  <c r="G1014" i="3"/>
  <c r="G1022" i="3"/>
  <c r="G1030" i="3"/>
  <c r="G1038" i="3"/>
  <c r="G1046" i="3"/>
  <c r="G1054" i="3"/>
  <c r="G1062" i="3"/>
  <c r="G1070" i="3"/>
  <c r="G1078" i="3"/>
  <c r="G1088" i="3"/>
  <c r="G1092" i="3"/>
  <c r="G1096" i="3"/>
  <c r="G1100" i="3"/>
  <c r="G1104" i="3"/>
  <c r="G1108" i="3"/>
  <c r="G1112" i="3"/>
  <c r="G1116" i="3"/>
  <c r="G1120" i="3"/>
  <c r="G1124" i="3"/>
  <c r="G1128" i="3"/>
  <c r="G1132" i="3"/>
  <c r="G1136" i="3"/>
  <c r="G1140" i="3"/>
  <c r="G1144" i="3"/>
  <c r="G1148" i="3"/>
  <c r="G1152" i="3"/>
  <c r="G1156" i="3"/>
  <c r="G1160" i="3"/>
  <c r="G1164" i="3"/>
  <c r="G1168" i="3"/>
  <c r="G1172" i="3"/>
  <c r="G1176" i="3"/>
  <c r="G1180" i="3"/>
  <c r="G1184" i="3"/>
  <c r="G1188" i="3"/>
  <c r="G1192" i="3"/>
  <c r="G1196" i="3"/>
  <c r="G1200" i="3"/>
  <c r="G1204" i="3"/>
  <c r="G1208" i="3"/>
  <c r="G1212" i="3"/>
  <c r="G1216" i="3"/>
  <c r="G1220" i="3"/>
  <c r="G1224" i="3"/>
  <c r="G1228" i="3"/>
  <c r="G1232" i="3"/>
  <c r="G1236" i="3"/>
  <c r="G1240" i="3"/>
  <c r="G1244" i="3"/>
  <c r="G1248" i="3"/>
  <c r="G1252" i="3"/>
  <c r="G1256" i="3"/>
  <c r="G1260" i="3"/>
  <c r="G1264" i="3"/>
  <c r="G1268" i="3"/>
  <c r="G1272" i="3"/>
  <c r="G1276" i="3"/>
  <c r="G1280" i="3"/>
  <c r="G1284" i="3"/>
  <c r="G1288" i="3"/>
  <c r="G1292" i="3"/>
  <c r="G1296" i="3"/>
  <c r="G1300" i="3"/>
  <c r="G1304" i="3"/>
  <c r="G1308" i="3"/>
  <c r="G1312" i="3"/>
  <c r="G1316" i="3"/>
  <c r="G1320" i="3"/>
  <c r="G1324" i="3"/>
  <c r="G1328" i="3"/>
  <c r="G1332" i="3"/>
  <c r="G1336" i="3"/>
  <c r="G1340" i="3"/>
  <c r="G1344" i="3"/>
  <c r="G1348" i="3"/>
  <c r="G1352" i="3"/>
  <c r="G1356" i="3"/>
  <c r="G1360" i="3"/>
  <c r="G1364" i="3"/>
  <c r="G1368" i="3"/>
  <c r="G1372" i="3"/>
  <c r="G1376" i="3"/>
  <c r="G1380" i="3"/>
  <c r="G1384" i="3"/>
  <c r="G1388" i="3"/>
  <c r="G1392" i="3"/>
  <c r="G1396" i="3"/>
  <c r="G1400" i="3"/>
  <c r="G552" i="3"/>
  <c r="G616" i="3"/>
  <c r="G675" i="3"/>
  <c r="G714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G954" i="3"/>
  <c r="G970" i="3"/>
  <c r="G986" i="3"/>
  <c r="G996" i="3"/>
  <c r="G1004" i="3"/>
  <c r="G1012" i="3"/>
  <c r="G1020" i="3"/>
  <c r="G1028" i="3"/>
  <c r="G1036" i="3"/>
  <c r="G1044" i="3"/>
  <c r="G1052" i="3"/>
  <c r="G1060" i="3"/>
  <c r="G1068" i="3"/>
  <c r="G1076" i="3"/>
  <c r="G1084" i="3"/>
  <c r="G1087" i="3"/>
  <c r="G1091" i="3"/>
  <c r="G1095" i="3"/>
  <c r="G1099" i="3"/>
  <c r="G1103" i="3"/>
  <c r="G1107" i="3"/>
  <c r="G1111" i="3"/>
  <c r="G1115" i="3"/>
  <c r="G1119" i="3"/>
  <c r="G1123" i="3"/>
  <c r="G1127" i="3"/>
  <c r="G1131" i="3"/>
  <c r="G1135" i="3"/>
  <c r="G1139" i="3"/>
  <c r="G1143" i="3"/>
  <c r="G1147" i="3"/>
  <c r="G1151" i="3"/>
  <c r="G1155" i="3"/>
  <c r="G1159" i="3"/>
  <c r="G1163" i="3"/>
  <c r="G1167" i="3"/>
  <c r="G1171" i="3"/>
  <c r="G1175" i="3"/>
  <c r="G1179" i="3"/>
  <c r="G1183" i="3"/>
  <c r="G1187" i="3"/>
  <c r="G1191" i="3"/>
  <c r="G1195" i="3"/>
  <c r="G1199" i="3"/>
  <c r="G1203" i="3"/>
  <c r="G1207" i="3"/>
  <c r="G1211" i="3"/>
  <c r="G1215" i="3"/>
  <c r="G1219" i="3"/>
  <c r="G1223" i="3"/>
  <c r="G1227" i="3"/>
  <c r="G1231" i="3"/>
  <c r="G1235" i="3"/>
  <c r="G1239" i="3"/>
  <c r="G1243" i="3"/>
  <c r="G1247" i="3"/>
  <c r="G1251" i="3"/>
  <c r="G1255" i="3"/>
  <c r="G1259" i="3"/>
  <c r="G1263" i="3"/>
  <c r="G1267" i="3"/>
  <c r="G1271" i="3"/>
  <c r="G1275" i="3"/>
  <c r="G1279" i="3"/>
  <c r="G1283" i="3"/>
  <c r="G1287" i="3"/>
  <c r="G1291" i="3"/>
  <c r="G1295" i="3"/>
  <c r="G1299" i="3"/>
  <c r="G1303" i="3"/>
  <c r="G1307" i="3"/>
  <c r="G1311" i="3"/>
  <c r="G1315" i="3"/>
  <c r="G1319" i="3"/>
  <c r="G1323" i="3"/>
  <c r="G1327" i="3"/>
  <c r="G1331" i="3"/>
  <c r="G1335" i="3"/>
  <c r="G1339" i="3"/>
  <c r="G1343" i="3"/>
  <c r="G1347" i="3"/>
  <c r="G1351" i="3"/>
  <c r="G1355" i="3"/>
  <c r="G1359" i="3"/>
  <c r="G1363" i="3"/>
  <c r="G1367" i="3"/>
  <c r="G1371" i="3"/>
  <c r="G1375" i="3"/>
  <c r="G699" i="3"/>
  <c r="G742" i="3"/>
  <c r="G806" i="3"/>
  <c r="G870" i="3"/>
  <c r="G934" i="3"/>
  <c r="G994" i="3"/>
  <c r="G1026" i="3"/>
  <c r="G1058" i="3"/>
  <c r="G1098" i="3"/>
  <c r="G1114" i="3"/>
  <c r="G1130" i="3"/>
  <c r="G1146" i="3"/>
  <c r="G1162" i="3"/>
  <c r="G1178" i="3"/>
  <c r="G1194" i="3"/>
  <c r="G1210" i="3"/>
  <c r="G1226" i="3"/>
  <c r="G1242" i="3"/>
  <c r="G1258" i="3"/>
  <c r="G1274" i="3"/>
  <c r="G1290" i="3"/>
  <c r="G1306" i="3"/>
  <c r="G1322" i="3"/>
  <c r="G1338" i="3"/>
  <c r="G1354" i="3"/>
  <c r="G1370" i="3"/>
  <c r="G1379" i="3"/>
  <c r="G1387" i="3"/>
  <c r="G1395" i="3"/>
  <c r="G1404" i="3"/>
  <c r="G1408" i="3"/>
  <c r="G1412" i="3"/>
  <c r="G1416" i="3"/>
  <c r="G1420" i="3"/>
  <c r="G1424" i="3"/>
  <c r="G1428" i="3"/>
  <c r="G1432" i="3"/>
  <c r="G1436" i="3"/>
  <c r="G1440" i="3"/>
  <c r="G1444" i="3"/>
  <c r="G1448" i="3"/>
  <c r="G1452" i="3"/>
  <c r="G1456" i="3"/>
  <c r="G1460" i="3"/>
  <c r="G1464" i="3"/>
  <c r="G1468" i="3"/>
  <c r="G1472" i="3"/>
  <c r="G1476" i="3"/>
  <c r="G1480" i="3"/>
  <c r="G1484" i="3"/>
  <c r="G1488" i="3"/>
  <c r="G1492" i="3"/>
  <c r="G1496" i="3"/>
  <c r="G1500" i="3"/>
  <c r="G1504" i="3"/>
  <c r="G1508" i="3"/>
  <c r="G1512" i="3"/>
  <c r="G1516" i="3"/>
  <c r="G1520" i="3"/>
  <c r="G1524" i="3"/>
  <c r="G1528" i="3"/>
  <c r="G1532" i="3"/>
  <c r="G1536" i="3"/>
  <c r="G1540" i="3"/>
  <c r="G1544" i="3"/>
  <c r="G1548" i="3"/>
  <c r="G1552" i="3"/>
  <c r="G1556" i="3"/>
  <c r="G1560" i="3"/>
  <c r="G1564" i="3"/>
  <c r="G1568" i="3"/>
  <c r="G1572" i="3"/>
  <c r="G1576" i="3"/>
  <c r="G1580" i="3"/>
  <c r="G1584" i="3"/>
  <c r="G1588" i="3"/>
  <c r="G1592" i="3"/>
  <c r="G1596" i="3"/>
  <c r="G1600" i="3"/>
  <c r="G1604" i="3"/>
  <c r="G1608" i="3"/>
  <c r="G1612" i="3"/>
  <c r="G1616" i="3"/>
  <c r="G1620" i="3"/>
  <c r="G1624" i="3"/>
  <c r="G1628" i="3"/>
  <c r="G1632" i="3"/>
  <c r="G1636" i="3"/>
  <c r="G1640" i="3"/>
  <c r="G1644" i="3"/>
  <c r="G1648" i="3"/>
  <c r="G1652" i="3"/>
  <c r="G1656" i="3"/>
  <c r="G1660" i="3"/>
  <c r="G1664" i="3"/>
  <c r="G1668" i="3"/>
  <c r="G1672" i="3"/>
  <c r="G1676" i="3"/>
  <c r="G1680" i="3"/>
  <c r="G1684" i="3"/>
  <c r="G1688" i="3"/>
  <c r="G1692" i="3"/>
  <c r="G1696" i="3"/>
  <c r="G1700" i="3"/>
  <c r="G1704" i="3"/>
  <c r="G1708" i="3"/>
  <c r="G1712" i="3"/>
  <c r="G1716" i="3"/>
  <c r="G1720" i="3"/>
  <c r="G1724" i="3"/>
  <c r="G1728" i="3"/>
  <c r="G1732" i="3"/>
  <c r="G1736" i="3"/>
  <c r="G1740" i="3"/>
  <c r="G1744" i="3"/>
  <c r="G1748" i="3"/>
  <c r="G1752" i="3"/>
  <c r="G1756" i="3"/>
  <c r="G1760" i="3"/>
  <c r="G1764" i="3"/>
  <c r="G1768" i="3"/>
  <c r="G1772" i="3"/>
  <c r="G1776" i="3"/>
  <c r="G1780" i="3"/>
  <c r="G1784" i="3"/>
  <c r="G1788" i="3"/>
  <c r="G1792" i="3"/>
  <c r="G1796" i="3"/>
  <c r="G1800" i="3"/>
  <c r="G1804" i="3"/>
  <c r="G1808" i="3"/>
  <c r="G1812" i="3"/>
  <c r="G1816" i="3"/>
  <c r="G1820" i="3"/>
  <c r="G1824" i="3"/>
  <c r="G1828" i="3"/>
  <c r="G1832" i="3"/>
  <c r="G1836" i="3"/>
  <c r="G1840" i="3"/>
  <c r="G1844" i="3"/>
  <c r="G1848" i="3"/>
  <c r="G1852" i="3"/>
  <c r="G1856" i="3"/>
  <c r="G1860" i="3"/>
  <c r="G1864" i="3"/>
  <c r="G1868" i="3"/>
  <c r="G1872" i="3"/>
  <c r="G1876" i="3"/>
  <c r="G1880" i="3"/>
  <c r="G1884" i="3"/>
  <c r="G1888" i="3"/>
  <c r="G1892" i="3"/>
  <c r="G1896" i="3"/>
  <c r="G1900" i="3"/>
  <c r="G1904" i="3"/>
  <c r="G1908" i="3"/>
  <c r="G1912" i="3"/>
  <c r="G1916" i="3"/>
  <c r="G1920" i="3"/>
  <c r="G1924" i="3"/>
  <c r="G1928" i="3"/>
  <c r="G1932" i="3"/>
  <c r="G1936" i="3"/>
  <c r="G1940" i="3"/>
  <c r="G1944" i="3"/>
  <c r="G1948" i="3"/>
  <c r="G1952" i="3"/>
  <c r="G1956" i="3"/>
  <c r="G1960" i="3"/>
  <c r="G1964" i="3"/>
  <c r="G1968" i="3"/>
  <c r="G1972" i="3"/>
  <c r="G1976" i="3"/>
  <c r="G1980" i="3"/>
  <c r="G1984" i="3"/>
  <c r="G1988" i="3"/>
  <c r="G1992" i="3"/>
  <c r="G1996" i="3"/>
  <c r="G2000" i="3"/>
  <c r="G2004" i="3"/>
  <c r="G2008" i="3"/>
  <c r="G2012" i="3"/>
  <c r="G2016" i="3"/>
  <c r="G2020" i="3"/>
  <c r="G2024" i="3"/>
  <c r="G2028" i="3"/>
  <c r="G2032" i="3"/>
  <c r="G2036" i="3"/>
  <c r="G2040" i="3"/>
  <c r="G2044" i="3"/>
  <c r="G2048" i="3"/>
  <c r="G2052" i="3"/>
  <c r="G2056" i="3"/>
  <c r="G2060" i="3"/>
  <c r="G600" i="3"/>
  <c r="G667" i="3"/>
  <c r="G726" i="3"/>
  <c r="G790" i="3"/>
  <c r="G854" i="3"/>
  <c r="G918" i="3"/>
  <c r="G982" i="3"/>
  <c r="G1018" i="3"/>
  <c r="G1050" i="3"/>
  <c r="G1082" i="3"/>
  <c r="G1094" i="3"/>
  <c r="G1110" i="3"/>
  <c r="G1126" i="3"/>
  <c r="G1142" i="3"/>
  <c r="G1158" i="3"/>
  <c r="G1174" i="3"/>
  <c r="G1190" i="3"/>
  <c r="G1206" i="3"/>
  <c r="G1222" i="3"/>
  <c r="G1238" i="3"/>
  <c r="G1254" i="3"/>
  <c r="G1270" i="3"/>
  <c r="G1286" i="3"/>
  <c r="G1302" i="3"/>
  <c r="G1318" i="3"/>
  <c r="G1334" i="3"/>
  <c r="G1350" i="3"/>
  <c r="G1366" i="3"/>
  <c r="G1382" i="3"/>
  <c r="G1390" i="3"/>
  <c r="G1398" i="3"/>
  <c r="G1403" i="3"/>
  <c r="G1407" i="3"/>
  <c r="G1411" i="3"/>
  <c r="G1415" i="3"/>
  <c r="G1419" i="3"/>
  <c r="G1423" i="3"/>
  <c r="G1427" i="3"/>
  <c r="G1431" i="3"/>
  <c r="G1435" i="3"/>
  <c r="G1439" i="3"/>
  <c r="G1443" i="3"/>
  <c r="G1447" i="3"/>
  <c r="G1451" i="3"/>
  <c r="G1455" i="3"/>
  <c r="G1459" i="3"/>
  <c r="G1463" i="3"/>
  <c r="G1467" i="3"/>
  <c r="G1471" i="3"/>
  <c r="G1475" i="3"/>
  <c r="G1479" i="3"/>
  <c r="G1483" i="3"/>
  <c r="G1487" i="3"/>
  <c r="G1491" i="3"/>
  <c r="G1495" i="3"/>
  <c r="G1499" i="3"/>
  <c r="G1503" i="3"/>
  <c r="G1507" i="3"/>
  <c r="G1511" i="3"/>
  <c r="G1515" i="3"/>
  <c r="G1519" i="3"/>
  <c r="G1523" i="3"/>
  <c r="G1527" i="3"/>
  <c r="G1531" i="3"/>
  <c r="G1535" i="3"/>
  <c r="G1539" i="3"/>
  <c r="G1543" i="3"/>
  <c r="G1547" i="3"/>
  <c r="G1551" i="3"/>
  <c r="G1555" i="3"/>
  <c r="G1559" i="3"/>
  <c r="G1563" i="3"/>
  <c r="G1567" i="3"/>
  <c r="G1571" i="3"/>
  <c r="G1575" i="3"/>
  <c r="G1579" i="3"/>
  <c r="G1583" i="3"/>
  <c r="G1587" i="3"/>
  <c r="G1591" i="3"/>
  <c r="G1595" i="3"/>
  <c r="G1599" i="3"/>
  <c r="G1603" i="3"/>
  <c r="G1607" i="3"/>
  <c r="G1611" i="3"/>
  <c r="G1615" i="3"/>
  <c r="G1619" i="3"/>
  <c r="G1623" i="3"/>
  <c r="G1627" i="3"/>
  <c r="G1631" i="3"/>
  <c r="G1635" i="3"/>
  <c r="G1639" i="3"/>
  <c r="G1643" i="3"/>
  <c r="G1647" i="3"/>
  <c r="G1651" i="3"/>
  <c r="G1655" i="3"/>
  <c r="G1659" i="3"/>
  <c r="G1663" i="3"/>
  <c r="G1667" i="3"/>
  <c r="G1671" i="3"/>
  <c r="G1675" i="3"/>
  <c r="G1679" i="3"/>
  <c r="G1683" i="3"/>
  <c r="G1687" i="3"/>
  <c r="G1691" i="3"/>
  <c r="G1695" i="3"/>
  <c r="G1699" i="3"/>
  <c r="G1703" i="3"/>
  <c r="G1707" i="3"/>
  <c r="G1711" i="3"/>
  <c r="G1715" i="3"/>
  <c r="G1719" i="3"/>
  <c r="G1723" i="3"/>
  <c r="G1727" i="3"/>
  <c r="G1731" i="3"/>
  <c r="G1735" i="3"/>
  <c r="G1739" i="3"/>
  <c r="G1743" i="3"/>
  <c r="G1747" i="3"/>
  <c r="G1751" i="3"/>
  <c r="G1755" i="3"/>
  <c r="G1759" i="3"/>
  <c r="G1763" i="3"/>
  <c r="G1767" i="3"/>
  <c r="G1771" i="3"/>
  <c r="G1775" i="3"/>
  <c r="G1779" i="3"/>
  <c r="G1783" i="3"/>
  <c r="G1787" i="3"/>
  <c r="G1791" i="3"/>
  <c r="G1795" i="3"/>
  <c r="G1799" i="3"/>
  <c r="G1803" i="3"/>
  <c r="G1807" i="3"/>
  <c r="G1811" i="3"/>
  <c r="G1815" i="3"/>
  <c r="G1819" i="3"/>
  <c r="G1823" i="3"/>
  <c r="G1827" i="3"/>
  <c r="G1831" i="3"/>
  <c r="G1835" i="3"/>
  <c r="G1839" i="3"/>
  <c r="G1843" i="3"/>
  <c r="G1847" i="3"/>
  <c r="G1851" i="3"/>
  <c r="G1855" i="3"/>
  <c r="G1859" i="3"/>
  <c r="G1863" i="3"/>
  <c r="G1867" i="3"/>
  <c r="G1871" i="3"/>
  <c r="G1875" i="3"/>
  <c r="G1879" i="3"/>
  <c r="G1883" i="3"/>
  <c r="G1887" i="3"/>
  <c r="G1891" i="3"/>
  <c r="G1895" i="3"/>
  <c r="G1899" i="3"/>
  <c r="G1903" i="3"/>
  <c r="G1907" i="3"/>
  <c r="G1911" i="3"/>
  <c r="G1915" i="3"/>
  <c r="G1919" i="3"/>
  <c r="G1923" i="3"/>
  <c r="G1927" i="3"/>
  <c r="G1931" i="3"/>
  <c r="G1935" i="3"/>
  <c r="G1939" i="3"/>
  <c r="G1943" i="3"/>
  <c r="G1947" i="3"/>
  <c r="G1951" i="3"/>
  <c r="G1955" i="3"/>
  <c r="G1959" i="3"/>
  <c r="G1963" i="3"/>
  <c r="G1967" i="3"/>
  <c r="G1971" i="3"/>
  <c r="G1975" i="3"/>
  <c r="G1979" i="3"/>
  <c r="G1983" i="3"/>
  <c r="G1987" i="3"/>
  <c r="G1991" i="3"/>
  <c r="G1995" i="3"/>
  <c r="G1999" i="3"/>
  <c r="G2003" i="3"/>
  <c r="G2007" i="3"/>
  <c r="G2011" i="3"/>
  <c r="G2015" i="3"/>
  <c r="G2019" i="3"/>
  <c r="G2023" i="3"/>
  <c r="G2027" i="3"/>
  <c r="G2031" i="3"/>
  <c r="G2035" i="3"/>
  <c r="G2039" i="3"/>
  <c r="G2043" i="3"/>
  <c r="G2047" i="3"/>
  <c r="G2051" i="3"/>
  <c r="G2055" i="3"/>
  <c r="G2059" i="3"/>
  <c r="G2063" i="3"/>
  <c r="G2067" i="3"/>
  <c r="G2071" i="3"/>
  <c r="G2075" i="3"/>
  <c r="G2079" i="3"/>
  <c r="G2083" i="3"/>
  <c r="G2087" i="3"/>
  <c r="G710" i="3"/>
  <c r="G774" i="3"/>
  <c r="G838" i="3"/>
  <c r="G902" i="3"/>
  <c r="G966" i="3"/>
  <c r="G1010" i="3"/>
  <c r="G1042" i="3"/>
  <c r="G1074" i="3"/>
  <c r="G1090" i="3"/>
  <c r="G1106" i="3"/>
  <c r="G1122" i="3"/>
  <c r="G1138" i="3"/>
  <c r="G1154" i="3"/>
  <c r="G1170" i="3"/>
  <c r="G1186" i="3"/>
  <c r="G1202" i="3"/>
  <c r="G1218" i="3"/>
  <c r="G1234" i="3"/>
  <c r="G1250" i="3"/>
  <c r="G1266" i="3"/>
  <c r="G1282" i="3"/>
  <c r="G1298" i="3"/>
  <c r="G1314" i="3"/>
  <c r="G1330" i="3"/>
  <c r="G1346" i="3"/>
  <c r="G1362" i="3"/>
  <c r="G1383" i="3"/>
  <c r="G1391" i="3"/>
  <c r="G1399" i="3"/>
  <c r="G1406" i="3"/>
  <c r="G1410" i="3"/>
  <c r="G1414" i="3"/>
  <c r="G1418" i="3"/>
  <c r="G1422" i="3"/>
  <c r="G1426" i="3"/>
  <c r="G1430" i="3"/>
  <c r="G1434" i="3"/>
  <c r="G1438" i="3"/>
  <c r="G1442" i="3"/>
  <c r="G1446" i="3"/>
  <c r="G1450" i="3"/>
  <c r="G1454" i="3"/>
  <c r="G1458" i="3"/>
  <c r="G1462" i="3"/>
  <c r="G1466" i="3"/>
  <c r="G1470" i="3"/>
  <c r="G1474" i="3"/>
  <c r="G1478" i="3"/>
  <c r="G1482" i="3"/>
  <c r="G1486" i="3"/>
  <c r="G1490" i="3"/>
  <c r="G1494" i="3"/>
  <c r="G1498" i="3"/>
  <c r="G1502" i="3"/>
  <c r="G1506" i="3"/>
  <c r="G1510" i="3"/>
  <c r="G1514" i="3"/>
  <c r="G1518" i="3"/>
  <c r="G1522" i="3"/>
  <c r="G1526" i="3"/>
  <c r="G1530" i="3"/>
  <c r="G1534" i="3"/>
  <c r="G1538" i="3"/>
  <c r="G1542" i="3"/>
  <c r="G1546" i="3"/>
  <c r="G1550" i="3"/>
  <c r="G1554" i="3"/>
  <c r="G1558" i="3"/>
  <c r="G1562" i="3"/>
  <c r="G1566" i="3"/>
  <c r="G1570" i="3"/>
  <c r="G1574" i="3"/>
  <c r="G1578" i="3"/>
  <c r="G1582" i="3"/>
  <c r="G1586" i="3"/>
  <c r="G1590" i="3"/>
  <c r="G1594" i="3"/>
  <c r="G1598" i="3"/>
  <c r="G1602" i="3"/>
  <c r="G1606" i="3"/>
  <c r="G1610" i="3"/>
  <c r="G1614" i="3"/>
  <c r="G1618" i="3"/>
  <c r="G1622" i="3"/>
  <c r="G1626" i="3"/>
  <c r="G1630" i="3"/>
  <c r="G1634" i="3"/>
  <c r="G1638" i="3"/>
  <c r="G1642" i="3"/>
  <c r="G1646" i="3"/>
  <c r="G1650" i="3"/>
  <c r="G1654" i="3"/>
  <c r="G1658" i="3"/>
  <c r="G1662" i="3"/>
  <c r="G1666" i="3"/>
  <c r="G1670" i="3"/>
  <c r="G1674" i="3"/>
  <c r="G1678" i="3"/>
  <c r="G1682" i="3"/>
  <c r="G1686" i="3"/>
  <c r="G1690" i="3"/>
  <c r="G1694" i="3"/>
  <c r="G1698" i="3"/>
  <c r="G1702" i="3"/>
  <c r="G1706" i="3"/>
  <c r="G1710" i="3"/>
  <c r="G1714" i="3"/>
  <c r="G1718" i="3"/>
  <c r="G1722" i="3"/>
  <c r="G1726" i="3"/>
  <c r="G1730" i="3"/>
  <c r="G1734" i="3"/>
  <c r="G822" i="3"/>
  <c r="G1034" i="3"/>
  <c r="G1102" i="3"/>
  <c r="G1166" i="3"/>
  <c r="G1230" i="3"/>
  <c r="G1294" i="3"/>
  <c r="G1358" i="3"/>
  <c r="G1378" i="3"/>
  <c r="G1417" i="3"/>
  <c r="G1433" i="3"/>
  <c r="G1449" i="3"/>
  <c r="G1465" i="3"/>
  <c r="G1481" i="3"/>
  <c r="G1497" i="3"/>
  <c r="G1513" i="3"/>
  <c r="G1529" i="3"/>
  <c r="G1545" i="3"/>
  <c r="G1561" i="3"/>
  <c r="G1577" i="3"/>
  <c r="G1593" i="3"/>
  <c r="G1609" i="3"/>
  <c r="G1625" i="3"/>
  <c r="G1641" i="3"/>
  <c r="G1657" i="3"/>
  <c r="G1673" i="3"/>
  <c r="G1689" i="3"/>
  <c r="G1705" i="3"/>
  <c r="G1721" i="3"/>
  <c r="G1737" i="3"/>
  <c r="G1745" i="3"/>
  <c r="G1753" i="3"/>
  <c r="G1761" i="3"/>
  <c r="G1769" i="3"/>
  <c r="G1777" i="3"/>
  <c r="G1785" i="3"/>
  <c r="G1793" i="3"/>
  <c r="G1801" i="3"/>
  <c r="G1809" i="3"/>
  <c r="G1817" i="3"/>
  <c r="G1825" i="3"/>
  <c r="G1833" i="3"/>
  <c r="G1841" i="3"/>
  <c r="G1849" i="3"/>
  <c r="G1857" i="3"/>
  <c r="G1865" i="3"/>
  <c r="G1873" i="3"/>
  <c r="G1881" i="3"/>
  <c r="G1889" i="3"/>
  <c r="G1897" i="3"/>
  <c r="G1905" i="3"/>
  <c r="G1913" i="3"/>
  <c r="G1921" i="3"/>
  <c r="G1929" i="3"/>
  <c r="G1937" i="3"/>
  <c r="G1945" i="3"/>
  <c r="G1953" i="3"/>
  <c r="G1961" i="3"/>
  <c r="G1969" i="3"/>
  <c r="G1977" i="3"/>
  <c r="G1985" i="3"/>
  <c r="G1993" i="3"/>
  <c r="G2001" i="3"/>
  <c r="G2009" i="3"/>
  <c r="G2017" i="3"/>
  <c r="G2025" i="3"/>
  <c r="G2033" i="3"/>
  <c r="G2041" i="3"/>
  <c r="G2049" i="3"/>
  <c r="G2057" i="3"/>
  <c r="G2062" i="3"/>
  <c r="G2069" i="3"/>
  <c r="G2076" i="3"/>
  <c r="G2078" i="3"/>
  <c r="G2085" i="3"/>
  <c r="G2093" i="3"/>
  <c r="G2097" i="3"/>
  <c r="G2101" i="3"/>
  <c r="G2105" i="3"/>
  <c r="G2109" i="3"/>
  <c r="G2113" i="3"/>
  <c r="G2117" i="3"/>
  <c r="G2121" i="3"/>
  <c r="G2125" i="3"/>
  <c r="G2129" i="3"/>
  <c r="G2133" i="3"/>
  <c r="G2137" i="3"/>
  <c r="G2141" i="3"/>
  <c r="G2145" i="3"/>
  <c r="G2149" i="3"/>
  <c r="G2153" i="3"/>
  <c r="G2157" i="3"/>
  <c r="G2161" i="3"/>
  <c r="G2165" i="3"/>
  <c r="G2169" i="3"/>
  <c r="G2173" i="3"/>
  <c r="G2177" i="3"/>
  <c r="G2181" i="3"/>
  <c r="G2185" i="3"/>
  <c r="G2189" i="3"/>
  <c r="G2193" i="3"/>
  <c r="G2197" i="3"/>
  <c r="G2201" i="3"/>
  <c r="G2205" i="3"/>
  <c r="G2209" i="3"/>
  <c r="G2213" i="3"/>
  <c r="G2217" i="3"/>
  <c r="G2221" i="3"/>
  <c r="G2225" i="3"/>
  <c r="G2229" i="3"/>
  <c r="G2233" i="3"/>
  <c r="G2237" i="3"/>
  <c r="G2241" i="3"/>
  <c r="G2245" i="3"/>
  <c r="G2249" i="3"/>
  <c r="G2253" i="3"/>
  <c r="G2257" i="3"/>
  <c r="G2261" i="3"/>
  <c r="G2265" i="3"/>
  <c r="G2269" i="3"/>
  <c r="G2273" i="3"/>
  <c r="G2277" i="3"/>
  <c r="G2281" i="3"/>
  <c r="G2285" i="3"/>
  <c r="G2289" i="3"/>
  <c r="G2293" i="3"/>
  <c r="G2297" i="3"/>
  <c r="G2301" i="3"/>
  <c r="G2305" i="3"/>
  <c r="G2309" i="3"/>
  <c r="G2313" i="3"/>
  <c r="G2317" i="3"/>
  <c r="G2321" i="3"/>
  <c r="G2325" i="3"/>
  <c r="G2329" i="3"/>
  <c r="G2333" i="3"/>
  <c r="G2337" i="3"/>
  <c r="G2341" i="3"/>
  <c r="G2345" i="3"/>
  <c r="G2349" i="3"/>
  <c r="G2353" i="3"/>
  <c r="G2357" i="3"/>
  <c r="G2361" i="3"/>
  <c r="G2365" i="3"/>
  <c r="G2369" i="3"/>
  <c r="G2373" i="3"/>
  <c r="G2377" i="3"/>
  <c r="G2381" i="3"/>
  <c r="G2385" i="3"/>
  <c r="G2389" i="3"/>
  <c r="G2393" i="3"/>
  <c r="G2397" i="3"/>
  <c r="G2401" i="3"/>
  <c r="G2405" i="3"/>
  <c r="G2409" i="3"/>
  <c r="G2413" i="3"/>
  <c r="G2417" i="3"/>
  <c r="G2421" i="3"/>
  <c r="G2425" i="3"/>
  <c r="G2429" i="3"/>
  <c r="G2433" i="3"/>
  <c r="G2437" i="3"/>
  <c r="G2441" i="3"/>
  <c r="G2445" i="3"/>
  <c r="G2449" i="3"/>
  <c r="G2453" i="3"/>
  <c r="G2457" i="3"/>
  <c r="G2461" i="3"/>
  <c r="G2465" i="3"/>
  <c r="G2469" i="3"/>
  <c r="G2473" i="3"/>
  <c r="G2477" i="3"/>
  <c r="G2481" i="3"/>
  <c r="G2485" i="3"/>
  <c r="G2489" i="3"/>
  <c r="G2493" i="3"/>
  <c r="G2497" i="3"/>
  <c r="G2501" i="3"/>
  <c r="G2505" i="3"/>
  <c r="G2509" i="3"/>
  <c r="G2513" i="3"/>
  <c r="G2517" i="3"/>
  <c r="G2521" i="3"/>
  <c r="G2525" i="3"/>
  <c r="G2529" i="3"/>
  <c r="G2533" i="3"/>
  <c r="G2537" i="3"/>
  <c r="G2541" i="3"/>
  <c r="G2545" i="3"/>
  <c r="G2549" i="3"/>
  <c r="G2553" i="3"/>
  <c r="G2557" i="3"/>
  <c r="G2561" i="3"/>
  <c r="G2565" i="3"/>
  <c r="G2569" i="3"/>
  <c r="G2573" i="3"/>
  <c r="G2577" i="3"/>
  <c r="G2581" i="3"/>
  <c r="G2585" i="3"/>
  <c r="G2589" i="3"/>
  <c r="G2593" i="3"/>
  <c r="G2597" i="3"/>
  <c r="G2601" i="3"/>
  <c r="G2605" i="3"/>
  <c r="G2609" i="3"/>
  <c r="G2613" i="3"/>
  <c r="G2617" i="3"/>
  <c r="G2621" i="3"/>
  <c r="G2625" i="3"/>
  <c r="G2629" i="3"/>
  <c r="G2633" i="3"/>
  <c r="G2637" i="3"/>
  <c r="G2641" i="3"/>
  <c r="G2645" i="3"/>
  <c r="G2649" i="3"/>
  <c r="G2653" i="3"/>
  <c r="G2657" i="3"/>
  <c r="G2661" i="3"/>
  <c r="G2665" i="3"/>
  <c r="G2669" i="3"/>
  <c r="G2673" i="3"/>
  <c r="G2677" i="3"/>
  <c r="G2681" i="3"/>
  <c r="G2685" i="3"/>
  <c r="G2689" i="3"/>
  <c r="G2693" i="3"/>
  <c r="G2697" i="3"/>
  <c r="G2701" i="3"/>
  <c r="G758" i="3"/>
  <c r="G1002" i="3"/>
  <c r="G1086" i="3"/>
  <c r="G1150" i="3"/>
  <c r="G1214" i="3"/>
  <c r="G1278" i="3"/>
  <c r="G1342" i="3"/>
  <c r="G1402" i="3"/>
  <c r="G1413" i="3"/>
  <c r="G1429" i="3"/>
  <c r="G1445" i="3"/>
  <c r="G1461" i="3"/>
  <c r="G1477" i="3"/>
  <c r="G1493" i="3"/>
  <c r="G1509" i="3"/>
  <c r="G1525" i="3"/>
  <c r="G1541" i="3"/>
  <c r="G1557" i="3"/>
  <c r="G1573" i="3"/>
  <c r="G1589" i="3"/>
  <c r="G1605" i="3"/>
  <c r="G1621" i="3"/>
  <c r="G1637" i="3"/>
  <c r="G1653" i="3"/>
  <c r="G1669" i="3"/>
  <c r="G1685" i="3"/>
  <c r="G1701" i="3"/>
  <c r="G1717" i="3"/>
  <c r="G1733" i="3"/>
  <c r="G1738" i="3"/>
  <c r="G1746" i="3"/>
  <c r="G1754" i="3"/>
  <c r="G1762" i="3"/>
  <c r="G1770" i="3"/>
  <c r="G1778" i="3"/>
  <c r="G1786" i="3"/>
  <c r="G1794" i="3"/>
  <c r="G1802" i="3"/>
  <c r="G1810" i="3"/>
  <c r="G1818" i="3"/>
  <c r="G1826" i="3"/>
  <c r="G1834" i="3"/>
  <c r="G1842" i="3"/>
  <c r="G1850" i="3"/>
  <c r="G1858" i="3"/>
  <c r="G1866" i="3"/>
  <c r="G1874" i="3"/>
  <c r="G1882" i="3"/>
  <c r="G1890" i="3"/>
  <c r="G1898" i="3"/>
  <c r="G1906" i="3"/>
  <c r="G1914" i="3"/>
  <c r="G1922" i="3"/>
  <c r="G1930" i="3"/>
  <c r="G1938" i="3"/>
  <c r="G1946" i="3"/>
  <c r="G1954" i="3"/>
  <c r="G1962" i="3"/>
  <c r="G1970" i="3"/>
  <c r="G1978" i="3"/>
  <c r="G1986" i="3"/>
  <c r="G1994" i="3"/>
  <c r="G2002" i="3"/>
  <c r="G2010" i="3"/>
  <c r="G2018" i="3"/>
  <c r="G2026" i="3"/>
  <c r="G2034" i="3"/>
  <c r="G2042" i="3"/>
  <c r="G2050" i="3"/>
  <c r="G2058" i="3"/>
  <c r="G2064" i="3"/>
  <c r="G2066" i="3"/>
  <c r="G2073" i="3"/>
  <c r="G2080" i="3"/>
  <c r="G2082" i="3"/>
  <c r="G2089" i="3"/>
  <c r="G2092" i="3"/>
  <c r="G2096" i="3"/>
  <c r="G2100" i="3"/>
  <c r="G2104" i="3"/>
  <c r="G2108" i="3"/>
  <c r="G2112" i="3"/>
  <c r="G2116" i="3"/>
  <c r="G2120" i="3"/>
  <c r="G2124" i="3"/>
  <c r="G2128" i="3"/>
  <c r="G2132" i="3"/>
  <c r="G2136" i="3"/>
  <c r="G2140" i="3"/>
  <c r="G2144" i="3"/>
  <c r="G2148" i="3"/>
  <c r="G2152" i="3"/>
  <c r="G2156" i="3"/>
  <c r="G2160" i="3"/>
  <c r="G2164" i="3"/>
  <c r="G2168" i="3"/>
  <c r="G2172" i="3"/>
  <c r="G2176" i="3"/>
  <c r="G2180" i="3"/>
  <c r="G2184" i="3"/>
  <c r="G2188" i="3"/>
  <c r="G2192" i="3"/>
  <c r="G2196" i="3"/>
  <c r="G2200" i="3"/>
  <c r="G2204" i="3"/>
  <c r="G2208" i="3"/>
  <c r="G2212" i="3"/>
  <c r="G2216" i="3"/>
  <c r="G2220" i="3"/>
  <c r="G2224" i="3"/>
  <c r="G2228" i="3"/>
  <c r="G2232" i="3"/>
  <c r="G2236" i="3"/>
  <c r="G2240" i="3"/>
  <c r="G2244" i="3"/>
  <c r="G2248" i="3"/>
  <c r="G2252" i="3"/>
  <c r="G2256" i="3"/>
  <c r="G2260" i="3"/>
  <c r="G2264" i="3"/>
  <c r="G2268" i="3"/>
  <c r="G2272" i="3"/>
  <c r="G2276" i="3"/>
  <c r="G2280" i="3"/>
  <c r="G2284" i="3"/>
  <c r="G2288" i="3"/>
  <c r="G2292" i="3"/>
  <c r="G2296" i="3"/>
  <c r="G2300" i="3"/>
  <c r="G2304" i="3"/>
  <c r="G2308" i="3"/>
  <c r="G2312" i="3"/>
  <c r="G2316" i="3"/>
  <c r="G2320" i="3"/>
  <c r="G2324" i="3"/>
  <c r="G2328" i="3"/>
  <c r="G2332" i="3"/>
  <c r="G2336" i="3"/>
  <c r="G2340" i="3"/>
  <c r="G2344" i="3"/>
  <c r="G2348" i="3"/>
  <c r="G2352" i="3"/>
  <c r="G2356" i="3"/>
  <c r="G2360" i="3"/>
  <c r="G2364" i="3"/>
  <c r="G2368" i="3"/>
  <c r="G2372" i="3"/>
  <c r="G2376" i="3"/>
  <c r="G2380" i="3"/>
  <c r="G2384" i="3"/>
  <c r="G2388" i="3"/>
  <c r="G2392" i="3"/>
  <c r="G2396" i="3"/>
  <c r="G2400" i="3"/>
  <c r="G2404" i="3"/>
  <c r="G2408" i="3"/>
  <c r="G2412" i="3"/>
  <c r="G2416" i="3"/>
  <c r="G2420" i="3"/>
  <c r="G2424" i="3"/>
  <c r="G2428" i="3"/>
  <c r="G2432" i="3"/>
  <c r="G2436" i="3"/>
  <c r="G2440" i="3"/>
  <c r="G950" i="3"/>
  <c r="G1134" i="3"/>
  <c r="G1198" i="3"/>
  <c r="G1262" i="3"/>
  <c r="G1326" i="3"/>
  <c r="G1394" i="3"/>
  <c r="G1409" i="3"/>
  <c r="G1425" i="3"/>
  <c r="G1441" i="3"/>
  <c r="G1457" i="3"/>
  <c r="G1473" i="3"/>
  <c r="G1489" i="3"/>
  <c r="G1505" i="3"/>
  <c r="G1521" i="3"/>
  <c r="G1537" i="3"/>
  <c r="G1553" i="3"/>
  <c r="G1569" i="3"/>
  <c r="G1585" i="3"/>
  <c r="G1601" i="3"/>
  <c r="G1617" i="3"/>
  <c r="G1633" i="3"/>
  <c r="G1649" i="3"/>
  <c r="G1665" i="3"/>
  <c r="G1681" i="3"/>
  <c r="G1697" i="3"/>
  <c r="G1713" i="3"/>
  <c r="G1729" i="3"/>
  <c r="G1741" i="3"/>
  <c r="G1749" i="3"/>
  <c r="G1757" i="3"/>
  <c r="G1765" i="3"/>
  <c r="G1773" i="3"/>
  <c r="G1781" i="3"/>
  <c r="G1789" i="3"/>
  <c r="G1797" i="3"/>
  <c r="G1805" i="3"/>
  <c r="G1813" i="3"/>
  <c r="G1821" i="3"/>
  <c r="G1829" i="3"/>
  <c r="G1837" i="3"/>
  <c r="G1845" i="3"/>
  <c r="G1853" i="3"/>
  <c r="G1861" i="3"/>
  <c r="G1869" i="3"/>
  <c r="G1877" i="3"/>
  <c r="G1885" i="3"/>
  <c r="G1893" i="3"/>
  <c r="G1901" i="3"/>
  <c r="G1909" i="3"/>
  <c r="G1917" i="3"/>
  <c r="G1925" i="3"/>
  <c r="G1933" i="3"/>
  <c r="G1941" i="3"/>
  <c r="G1949" i="3"/>
  <c r="G1957" i="3"/>
  <c r="G1965" i="3"/>
  <c r="G1973" i="3"/>
  <c r="G1981" i="3"/>
  <c r="G1989" i="3"/>
  <c r="G1997" i="3"/>
  <c r="G2005" i="3"/>
  <c r="G2013" i="3"/>
  <c r="G2021" i="3"/>
  <c r="G2029" i="3"/>
  <c r="G2037" i="3"/>
  <c r="G2045" i="3"/>
  <c r="G2053" i="3"/>
  <c r="G2061" i="3"/>
  <c r="G2068" i="3"/>
  <c r="G2070" i="3"/>
  <c r="G2077" i="3"/>
  <c r="G2084" i="3"/>
  <c r="G2086" i="3"/>
  <c r="G2091" i="3"/>
  <c r="G2095" i="3"/>
  <c r="G2099" i="3"/>
  <c r="G2103" i="3"/>
  <c r="G2107" i="3"/>
  <c r="G2111" i="3"/>
  <c r="G2115" i="3"/>
  <c r="G2119" i="3"/>
  <c r="G2123" i="3"/>
  <c r="G2127" i="3"/>
  <c r="G2131" i="3"/>
  <c r="G2135" i="3"/>
  <c r="G2139" i="3"/>
  <c r="G2143" i="3"/>
  <c r="G2147" i="3"/>
  <c r="G2151" i="3"/>
  <c r="G2155" i="3"/>
  <c r="G2159" i="3"/>
  <c r="G2163" i="3"/>
  <c r="G2167" i="3"/>
  <c r="G2171" i="3"/>
  <c r="G2175" i="3"/>
  <c r="G2179" i="3"/>
  <c r="G2183" i="3"/>
  <c r="G2187" i="3"/>
  <c r="G2191" i="3"/>
  <c r="G2195" i="3"/>
  <c r="G2199" i="3"/>
  <c r="G2203" i="3"/>
  <c r="G2207" i="3"/>
  <c r="G2211" i="3"/>
  <c r="G2215" i="3"/>
  <c r="G2219" i="3"/>
  <c r="G2223" i="3"/>
  <c r="G2227" i="3"/>
  <c r="G2231" i="3"/>
  <c r="G2235" i="3"/>
  <c r="G2239" i="3"/>
  <c r="G2243" i="3"/>
  <c r="G2247" i="3"/>
  <c r="G2251" i="3"/>
  <c r="G2255" i="3"/>
  <c r="G2259" i="3"/>
  <c r="G2263" i="3"/>
  <c r="G2267" i="3"/>
  <c r="G2271" i="3"/>
  <c r="G2275" i="3"/>
  <c r="G2279" i="3"/>
  <c r="G2283" i="3"/>
  <c r="G2287" i="3"/>
  <c r="G2291" i="3"/>
  <c r="G2295" i="3"/>
  <c r="G2299" i="3"/>
  <c r="G2303" i="3"/>
  <c r="G2307" i="3"/>
  <c r="G2311" i="3"/>
  <c r="G2315" i="3"/>
  <c r="G2319" i="3"/>
  <c r="G2323" i="3"/>
  <c r="G2327" i="3"/>
  <c r="G2331" i="3"/>
  <c r="G2335" i="3"/>
  <c r="G2339" i="3"/>
  <c r="G2343" i="3"/>
  <c r="G2347" i="3"/>
  <c r="G2351" i="3"/>
  <c r="G2355" i="3"/>
  <c r="G2359" i="3"/>
  <c r="G2363" i="3"/>
  <c r="G2367" i="3"/>
  <c r="G2371" i="3"/>
  <c r="G2375" i="3"/>
  <c r="G2379" i="3"/>
  <c r="G2383" i="3"/>
  <c r="G2387" i="3"/>
  <c r="G2391" i="3"/>
  <c r="G2395" i="3"/>
  <c r="G2399" i="3"/>
  <c r="G2403" i="3"/>
  <c r="G2407" i="3"/>
  <c r="G2411" i="3"/>
  <c r="G2415" i="3"/>
  <c r="G2419" i="3"/>
  <c r="G2423" i="3"/>
  <c r="G2427" i="3"/>
  <c r="G2431" i="3"/>
  <c r="G2435" i="3"/>
  <c r="G2439" i="3"/>
  <c r="G2443" i="3"/>
  <c r="G2447" i="3"/>
  <c r="G2451" i="3"/>
  <c r="G2455" i="3"/>
  <c r="G2459" i="3"/>
  <c r="G2463" i="3"/>
  <c r="G2467" i="3"/>
  <c r="G2471" i="3"/>
  <c r="G2475" i="3"/>
  <c r="G2479" i="3"/>
  <c r="G2483" i="3"/>
  <c r="G2487" i="3"/>
  <c r="G2491" i="3"/>
  <c r="G2495" i="3"/>
  <c r="G2499" i="3"/>
  <c r="G2503" i="3"/>
  <c r="G2507" i="3"/>
  <c r="G2511" i="3"/>
  <c r="G2515" i="3"/>
  <c r="G2519" i="3"/>
  <c r="G2523" i="3"/>
  <c r="G2527" i="3"/>
  <c r="G2531" i="3"/>
  <c r="G2535" i="3"/>
  <c r="G2539" i="3"/>
  <c r="G2543" i="3"/>
  <c r="G2547" i="3"/>
  <c r="G2551" i="3"/>
  <c r="G2555" i="3"/>
  <c r="G2559" i="3"/>
  <c r="G2563" i="3"/>
  <c r="G2567" i="3"/>
  <c r="G2571" i="3"/>
  <c r="G2575" i="3"/>
  <c r="G2579" i="3"/>
  <c r="G2583" i="3"/>
  <c r="G2587" i="3"/>
  <c r="G2591" i="3"/>
  <c r="G2595" i="3"/>
  <c r="G2599" i="3"/>
  <c r="G2603" i="3"/>
  <c r="G2607" i="3"/>
  <c r="G2611" i="3"/>
  <c r="G2615" i="3"/>
  <c r="G2619" i="3"/>
  <c r="G2623" i="3"/>
  <c r="G2627" i="3"/>
  <c r="G2631" i="3"/>
  <c r="G2635" i="3"/>
  <c r="G2639" i="3"/>
  <c r="G2643" i="3"/>
  <c r="G2647" i="3"/>
  <c r="G2651" i="3"/>
  <c r="G2655" i="3"/>
  <c r="G2659" i="3"/>
  <c r="G2663" i="3"/>
  <c r="G2667" i="3"/>
  <c r="G2671" i="3"/>
  <c r="G2675" i="3"/>
  <c r="G2679" i="3"/>
  <c r="G2683" i="3"/>
  <c r="G2687" i="3"/>
  <c r="G2691" i="3"/>
  <c r="G2695" i="3"/>
  <c r="G2699" i="3"/>
  <c r="G1310" i="3"/>
  <c r="G1386" i="3"/>
  <c r="G1437" i="3"/>
  <c r="G1501" i="3"/>
  <c r="G1565" i="3"/>
  <c r="G1629" i="3"/>
  <c r="G1693" i="3"/>
  <c r="G1758" i="3"/>
  <c r="G1790" i="3"/>
  <c r="G1822" i="3"/>
  <c r="G1854" i="3"/>
  <c r="G1886" i="3"/>
  <c r="G1918" i="3"/>
  <c r="G1950" i="3"/>
  <c r="G1982" i="3"/>
  <c r="G2014" i="3"/>
  <c r="G2046" i="3"/>
  <c r="G2065" i="3"/>
  <c r="G2072" i="3"/>
  <c r="G2098" i="3"/>
  <c r="G2114" i="3"/>
  <c r="G2130" i="3"/>
  <c r="G2146" i="3"/>
  <c r="G2162" i="3"/>
  <c r="G2178" i="3"/>
  <c r="G2194" i="3"/>
  <c r="G2210" i="3"/>
  <c r="G2226" i="3"/>
  <c r="G2242" i="3"/>
  <c r="G2258" i="3"/>
  <c r="G2274" i="3"/>
  <c r="G2290" i="3"/>
  <c r="G2306" i="3"/>
  <c r="G2322" i="3"/>
  <c r="G2338" i="3"/>
  <c r="G2354" i="3"/>
  <c r="G2370" i="3"/>
  <c r="G2386" i="3"/>
  <c r="G2402" i="3"/>
  <c r="G2418" i="3"/>
  <c r="G2434" i="3"/>
  <c r="G2448" i="3"/>
  <c r="G2456" i="3"/>
  <c r="G2464" i="3"/>
  <c r="G2472" i="3"/>
  <c r="G2480" i="3"/>
  <c r="G2488" i="3"/>
  <c r="G2496" i="3"/>
  <c r="G2504" i="3"/>
  <c r="G2512" i="3"/>
  <c r="G2520" i="3"/>
  <c r="G2528" i="3"/>
  <c r="G2536" i="3"/>
  <c r="G2544" i="3"/>
  <c r="G2552" i="3"/>
  <c r="G2560" i="3"/>
  <c r="G2568" i="3"/>
  <c r="G2576" i="3"/>
  <c r="G2584" i="3"/>
  <c r="G2592" i="3"/>
  <c r="G2600" i="3"/>
  <c r="G2608" i="3"/>
  <c r="G2616" i="3"/>
  <c r="G2624" i="3"/>
  <c r="G2632" i="3"/>
  <c r="G2640" i="3"/>
  <c r="G2648" i="3"/>
  <c r="G2656" i="3"/>
  <c r="G2664" i="3"/>
  <c r="G2672" i="3"/>
  <c r="G2680" i="3"/>
  <c r="G2688" i="3"/>
  <c r="G2696" i="3"/>
  <c r="G2703" i="3"/>
  <c r="G2707" i="3"/>
  <c r="G2711" i="3"/>
  <c r="G2715" i="3"/>
  <c r="G2719" i="3"/>
  <c r="G2723" i="3"/>
  <c r="G2727" i="3"/>
  <c r="G2731" i="3"/>
  <c r="G2735" i="3"/>
  <c r="G2739" i="3"/>
  <c r="G2743" i="3"/>
  <c r="G2747" i="3"/>
  <c r="G2751" i="3"/>
  <c r="G2755" i="3"/>
  <c r="G2759" i="3"/>
  <c r="G2763" i="3"/>
  <c r="G2767" i="3"/>
  <c r="G2771" i="3"/>
  <c r="G2775" i="3"/>
  <c r="G2779" i="3"/>
  <c r="G2783" i="3"/>
  <c r="G2787" i="3"/>
  <c r="G2791" i="3"/>
  <c r="G2795" i="3"/>
  <c r="G2799" i="3"/>
  <c r="G2803" i="3"/>
  <c r="G2807" i="3"/>
  <c r="G2811" i="3"/>
  <c r="G2815" i="3"/>
  <c r="G2819" i="3"/>
  <c r="G2823" i="3"/>
  <c r="G2827" i="3"/>
  <c r="G2831" i="3"/>
  <c r="G2835" i="3"/>
  <c r="G2839" i="3"/>
  <c r="G2843" i="3"/>
  <c r="G2847" i="3"/>
  <c r="G2851" i="3"/>
  <c r="G2855" i="3"/>
  <c r="G2859" i="3"/>
  <c r="G2863" i="3"/>
  <c r="G2867" i="3"/>
  <c r="G2871" i="3"/>
  <c r="G2875" i="3"/>
  <c r="G2879" i="3"/>
  <c r="G2883" i="3"/>
  <c r="G2887" i="3"/>
  <c r="G2891" i="3"/>
  <c r="G2895" i="3"/>
  <c r="G2899" i="3"/>
  <c r="G2903" i="3"/>
  <c r="G2907" i="3"/>
  <c r="G2911" i="3"/>
  <c r="G2915" i="3"/>
  <c r="G2919" i="3"/>
  <c r="G2923" i="3"/>
  <c r="G2927" i="3"/>
  <c r="G2931" i="3"/>
  <c r="G2935" i="3"/>
  <c r="G2939" i="3"/>
  <c r="G2943" i="3"/>
  <c r="G2947" i="3"/>
  <c r="G2951" i="3"/>
  <c r="G2955" i="3"/>
  <c r="G2959" i="3"/>
  <c r="G2963" i="3"/>
  <c r="G2967" i="3"/>
  <c r="G2971" i="3"/>
  <c r="G2975" i="3"/>
  <c r="G2979" i="3"/>
  <c r="G2983" i="3"/>
  <c r="G2987" i="3"/>
  <c r="G2991" i="3"/>
  <c r="G2995" i="3"/>
  <c r="G2999" i="3"/>
  <c r="G3003" i="3"/>
  <c r="G3007" i="3"/>
  <c r="G3011" i="3"/>
  <c r="G3015" i="3"/>
  <c r="G3019" i="3"/>
  <c r="G3023" i="3"/>
  <c r="G3027" i="3"/>
  <c r="G3031" i="3"/>
  <c r="G3035" i="3"/>
  <c r="G3039" i="3"/>
  <c r="G3043" i="3"/>
  <c r="G3047" i="3"/>
  <c r="G3051" i="3"/>
  <c r="G3055" i="3"/>
  <c r="G3059" i="3"/>
  <c r="G3063" i="3"/>
  <c r="G3067" i="3"/>
  <c r="G3071" i="3"/>
  <c r="G3075" i="3"/>
  <c r="G3079" i="3"/>
  <c r="G3083" i="3"/>
  <c r="G3087" i="3"/>
  <c r="G3091" i="3"/>
  <c r="G3095" i="3"/>
  <c r="G3099" i="3"/>
  <c r="G3103" i="3"/>
  <c r="G3107" i="3"/>
  <c r="G3111" i="3"/>
  <c r="G3115" i="3"/>
  <c r="G3119" i="3"/>
  <c r="G3123" i="3"/>
  <c r="G3127" i="3"/>
  <c r="G3131" i="3"/>
  <c r="G3135" i="3"/>
  <c r="G3139" i="3"/>
  <c r="G3143" i="3"/>
  <c r="G3147" i="3"/>
  <c r="G3151" i="3"/>
  <c r="G3155" i="3"/>
  <c r="G3159" i="3"/>
  <c r="G3163" i="3"/>
  <c r="G3167" i="3"/>
  <c r="G3171" i="3"/>
  <c r="G3175" i="3"/>
  <c r="G3179" i="3"/>
  <c r="G3183" i="3"/>
  <c r="G3187" i="3"/>
  <c r="G3191" i="3"/>
  <c r="G3195" i="3"/>
  <c r="G3199" i="3"/>
  <c r="G3203" i="3"/>
  <c r="G3207" i="3"/>
  <c r="G3211" i="3"/>
  <c r="G3215" i="3"/>
  <c r="G3219" i="3"/>
  <c r="G3223" i="3"/>
  <c r="G3227" i="3"/>
  <c r="G3231" i="3"/>
  <c r="G3235" i="3"/>
  <c r="G3239" i="3"/>
  <c r="G3243" i="3"/>
  <c r="G3247" i="3"/>
  <c r="G3251" i="3"/>
  <c r="G3255" i="3"/>
  <c r="G3259" i="3"/>
  <c r="G3263" i="3"/>
  <c r="G3267" i="3"/>
  <c r="G3271" i="3"/>
  <c r="G3275" i="3"/>
  <c r="G3279" i="3"/>
  <c r="G3283" i="3"/>
  <c r="G3287" i="3"/>
  <c r="G3291" i="3"/>
  <c r="G3295" i="3"/>
  <c r="G3299" i="3"/>
  <c r="G3303" i="3"/>
  <c r="G3307" i="3"/>
  <c r="G3311" i="3"/>
  <c r="G3315" i="3"/>
  <c r="G3319" i="3"/>
  <c r="G1066" i="3"/>
  <c r="G1246" i="3"/>
  <c r="G1421" i="3"/>
  <c r="G1485" i="3"/>
  <c r="G1549" i="3"/>
  <c r="G1613" i="3"/>
  <c r="G1677" i="3"/>
  <c r="G1750" i="3"/>
  <c r="G1782" i="3"/>
  <c r="G1814" i="3"/>
  <c r="G1846" i="3"/>
  <c r="G1878" i="3"/>
  <c r="G1910" i="3"/>
  <c r="G1942" i="3"/>
  <c r="G1974" i="3"/>
  <c r="G2006" i="3"/>
  <c r="G2038" i="3"/>
  <c r="G2074" i="3"/>
  <c r="G2081" i="3"/>
  <c r="G2088" i="3"/>
  <c r="G2094" i="3"/>
  <c r="G2110" i="3"/>
  <c r="G2126" i="3"/>
  <c r="G2142" i="3"/>
  <c r="G2158" i="3"/>
  <c r="G2174" i="3"/>
  <c r="G2190" i="3"/>
  <c r="G2206" i="3"/>
  <c r="G2222" i="3"/>
  <c r="G2238" i="3"/>
  <c r="G2254" i="3"/>
  <c r="G2270" i="3"/>
  <c r="G2286" i="3"/>
  <c r="G2302" i="3"/>
  <c r="G2318" i="3"/>
  <c r="G2334" i="3"/>
  <c r="G2350" i="3"/>
  <c r="G2366" i="3"/>
  <c r="G2382" i="3"/>
  <c r="G2398" i="3"/>
  <c r="G2414" i="3"/>
  <c r="G2430" i="3"/>
  <c r="G2446" i="3"/>
  <c r="G2454" i="3"/>
  <c r="G2462" i="3"/>
  <c r="G2470" i="3"/>
  <c r="G2478" i="3"/>
  <c r="G2486" i="3"/>
  <c r="G2494" i="3"/>
  <c r="G2502" i="3"/>
  <c r="G2510" i="3"/>
  <c r="G2518" i="3"/>
  <c r="G2526" i="3"/>
  <c r="G2534" i="3"/>
  <c r="G2542" i="3"/>
  <c r="G2550" i="3"/>
  <c r="G2558" i="3"/>
  <c r="G2566" i="3"/>
  <c r="G2574" i="3"/>
  <c r="G2582" i="3"/>
  <c r="G2590" i="3"/>
  <c r="G2598" i="3"/>
  <c r="G2606" i="3"/>
  <c r="G2614" i="3"/>
  <c r="G2622" i="3"/>
  <c r="G2630" i="3"/>
  <c r="G2638" i="3"/>
  <c r="G2646" i="3"/>
  <c r="G2654" i="3"/>
  <c r="G2662" i="3"/>
  <c r="G2670" i="3"/>
  <c r="G2678" i="3"/>
  <c r="G2686" i="3"/>
  <c r="G2694" i="3"/>
  <c r="G2702" i="3"/>
  <c r="G2706" i="3"/>
  <c r="G2710" i="3"/>
  <c r="G2714" i="3"/>
  <c r="G2718" i="3"/>
  <c r="G2722" i="3"/>
  <c r="G2726" i="3"/>
  <c r="G2730" i="3"/>
  <c r="G2734" i="3"/>
  <c r="G2738" i="3"/>
  <c r="G2742" i="3"/>
  <c r="G2746" i="3"/>
  <c r="G2750" i="3"/>
  <c r="G2754" i="3"/>
  <c r="G2758" i="3"/>
  <c r="G2762" i="3"/>
  <c r="G2766" i="3"/>
  <c r="G2770" i="3"/>
  <c r="G2774" i="3"/>
  <c r="G2778" i="3"/>
  <c r="G2782" i="3"/>
  <c r="G2786" i="3"/>
  <c r="G2790" i="3"/>
  <c r="G2794" i="3"/>
  <c r="G2798" i="3"/>
  <c r="G2802" i="3"/>
  <c r="G2806" i="3"/>
  <c r="G2810" i="3"/>
  <c r="G2814" i="3"/>
  <c r="G2818" i="3"/>
  <c r="G2822" i="3"/>
  <c r="G2826" i="3"/>
  <c r="G2830" i="3"/>
  <c r="G2834" i="3"/>
  <c r="G2838" i="3"/>
  <c r="G2842" i="3"/>
  <c r="G2846" i="3"/>
  <c r="G2850" i="3"/>
  <c r="G2854" i="3"/>
  <c r="G2858" i="3"/>
  <c r="G2862" i="3"/>
  <c r="G2866" i="3"/>
  <c r="G2870" i="3"/>
  <c r="G2874" i="3"/>
  <c r="G2878" i="3"/>
  <c r="G2882" i="3"/>
  <c r="G2886" i="3"/>
  <c r="G2890" i="3"/>
  <c r="G2894" i="3"/>
  <c r="G2898" i="3"/>
  <c r="G2902" i="3"/>
  <c r="G2906" i="3"/>
  <c r="G2910" i="3"/>
  <c r="G2914" i="3"/>
  <c r="G2918" i="3"/>
  <c r="G2922" i="3"/>
  <c r="G2926" i="3"/>
  <c r="G2930" i="3"/>
  <c r="G2934" i="3"/>
  <c r="G2938" i="3"/>
  <c r="G2942" i="3"/>
  <c r="G2946" i="3"/>
  <c r="G2950" i="3"/>
  <c r="G2954" i="3"/>
  <c r="G2958" i="3"/>
  <c r="G2962" i="3"/>
  <c r="G2966" i="3"/>
  <c r="G2970" i="3"/>
  <c r="G2974" i="3"/>
  <c r="G2978" i="3"/>
  <c r="G2982" i="3"/>
  <c r="G2986" i="3"/>
  <c r="G2990" i="3"/>
  <c r="G2994" i="3"/>
  <c r="G2998" i="3"/>
  <c r="G3002" i="3"/>
  <c r="G3006" i="3"/>
  <c r="G3010" i="3"/>
  <c r="G3014" i="3"/>
  <c r="G3018" i="3"/>
  <c r="G3022" i="3"/>
  <c r="G3026" i="3"/>
  <c r="G3030" i="3"/>
  <c r="G3034" i="3"/>
  <c r="G3038" i="3"/>
  <c r="G3042" i="3"/>
  <c r="G3046" i="3"/>
  <c r="G3050" i="3"/>
  <c r="G3054" i="3"/>
  <c r="G3058" i="3"/>
  <c r="G3062" i="3"/>
  <c r="G3066" i="3"/>
  <c r="G3070" i="3"/>
  <c r="G3074" i="3"/>
  <c r="G3078" i="3"/>
  <c r="G3082" i="3"/>
  <c r="G3086" i="3"/>
  <c r="G3090" i="3"/>
  <c r="G3094" i="3"/>
  <c r="G3098" i="3"/>
  <c r="G3102" i="3"/>
  <c r="G3106" i="3"/>
  <c r="G3110" i="3"/>
  <c r="G3114" i="3"/>
  <c r="G3118" i="3"/>
  <c r="G3122" i="3"/>
  <c r="G3126" i="3"/>
  <c r="G3130" i="3"/>
  <c r="G3134" i="3"/>
  <c r="G3138" i="3"/>
  <c r="G3142" i="3"/>
  <c r="G3146" i="3"/>
  <c r="G3150" i="3"/>
  <c r="G3154" i="3"/>
  <c r="G3158" i="3"/>
  <c r="G3162" i="3"/>
  <c r="G3166" i="3"/>
  <c r="G3170" i="3"/>
  <c r="G3174" i="3"/>
  <c r="G3178" i="3"/>
  <c r="G3182" i="3"/>
  <c r="G3186" i="3"/>
  <c r="G3190" i="3"/>
  <c r="G3194" i="3"/>
  <c r="G3198" i="3"/>
  <c r="G3202" i="3"/>
  <c r="G3206" i="3"/>
  <c r="G3210" i="3"/>
  <c r="G3214" i="3"/>
  <c r="G3218" i="3"/>
  <c r="G3222" i="3"/>
  <c r="G3226" i="3"/>
  <c r="G3230" i="3"/>
  <c r="G3234" i="3"/>
  <c r="G3238" i="3"/>
  <c r="G3242" i="3"/>
  <c r="G3246" i="3"/>
  <c r="G3250" i="3"/>
  <c r="G3254" i="3"/>
  <c r="G3258" i="3"/>
  <c r="G3262" i="3"/>
  <c r="G3266" i="3"/>
  <c r="G3270" i="3"/>
  <c r="G3274" i="3"/>
  <c r="G3278" i="3"/>
  <c r="G3282" i="3"/>
  <c r="G3286" i="3"/>
  <c r="G3290" i="3"/>
  <c r="G3294" i="3"/>
  <c r="G3298" i="3"/>
  <c r="G3302" i="3"/>
  <c r="G3306" i="3"/>
  <c r="G3310" i="3"/>
  <c r="G3314" i="3"/>
  <c r="G3318" i="3"/>
  <c r="G886" i="3"/>
  <c r="G1182" i="3"/>
  <c r="G1405" i="3"/>
  <c r="G1469" i="3"/>
  <c r="G1533" i="3"/>
  <c r="G1597" i="3"/>
  <c r="G1661" i="3"/>
  <c r="G1725" i="3"/>
  <c r="G1742" i="3"/>
  <c r="G1774" i="3"/>
  <c r="G1806" i="3"/>
  <c r="G1838" i="3"/>
  <c r="G1870" i="3"/>
  <c r="G1902" i="3"/>
  <c r="G1934" i="3"/>
  <c r="G1966" i="3"/>
  <c r="G1998" i="3"/>
  <c r="G2030" i="3"/>
  <c r="G2090" i="3"/>
  <c r="G2106" i="3"/>
  <c r="G2122" i="3"/>
  <c r="G2138" i="3"/>
  <c r="G2154" i="3"/>
  <c r="G2170" i="3"/>
  <c r="G2186" i="3"/>
  <c r="G2202" i="3"/>
  <c r="G2218" i="3"/>
  <c r="G2234" i="3"/>
  <c r="G2250" i="3"/>
  <c r="G2266" i="3"/>
  <c r="G2282" i="3"/>
  <c r="G2298" i="3"/>
  <c r="G2314" i="3"/>
  <c r="G2330" i="3"/>
  <c r="G2346" i="3"/>
  <c r="G2362" i="3"/>
  <c r="G2378" i="3"/>
  <c r="G2394" i="3"/>
  <c r="G2410" i="3"/>
  <c r="G2426" i="3"/>
  <c r="G2444" i="3"/>
  <c r="G2452" i="3"/>
  <c r="G2460" i="3"/>
  <c r="G2468" i="3"/>
  <c r="G2476" i="3"/>
  <c r="G2484" i="3"/>
  <c r="G2492" i="3"/>
  <c r="G2500" i="3"/>
  <c r="G2508" i="3"/>
  <c r="G2516" i="3"/>
  <c r="G2524" i="3"/>
  <c r="G2532" i="3"/>
  <c r="G2540" i="3"/>
  <c r="G2548" i="3"/>
  <c r="G2556" i="3"/>
  <c r="G2564" i="3"/>
  <c r="G2572" i="3"/>
  <c r="G2580" i="3"/>
  <c r="G2588" i="3"/>
  <c r="G2596" i="3"/>
  <c r="G2604" i="3"/>
  <c r="G2612" i="3"/>
  <c r="G2620" i="3"/>
  <c r="G2628" i="3"/>
  <c r="G2636" i="3"/>
  <c r="G2644" i="3"/>
  <c r="G2652" i="3"/>
  <c r="G2660" i="3"/>
  <c r="G2668" i="3"/>
  <c r="G2676" i="3"/>
  <c r="G2684" i="3"/>
  <c r="G2692" i="3"/>
  <c r="G2700" i="3"/>
  <c r="G2705" i="3"/>
  <c r="G2709" i="3"/>
  <c r="G2713" i="3"/>
  <c r="G2717" i="3"/>
  <c r="G2721" i="3"/>
  <c r="G2725" i="3"/>
  <c r="G2729" i="3"/>
  <c r="G2733" i="3"/>
  <c r="G2737" i="3"/>
  <c r="G2741" i="3"/>
  <c r="G2745" i="3"/>
  <c r="G2749" i="3"/>
  <c r="G2753" i="3"/>
  <c r="G2757" i="3"/>
  <c r="G2761" i="3"/>
  <c r="G2765" i="3"/>
  <c r="G2769" i="3"/>
  <c r="G2773" i="3"/>
  <c r="G2777" i="3"/>
  <c r="G2781" i="3"/>
  <c r="G2785" i="3"/>
  <c r="G2789" i="3"/>
  <c r="G2793" i="3"/>
  <c r="G2797" i="3"/>
  <c r="G2801" i="3"/>
  <c r="G2805" i="3"/>
  <c r="G2809" i="3"/>
  <c r="G2813" i="3"/>
  <c r="G2817" i="3"/>
  <c r="G2821" i="3"/>
  <c r="G2825" i="3"/>
  <c r="G2829" i="3"/>
  <c r="G2833" i="3"/>
  <c r="G2837" i="3"/>
  <c r="G2841" i="3"/>
  <c r="G2845" i="3"/>
  <c r="G2849" i="3"/>
  <c r="G2853" i="3"/>
  <c r="G2857" i="3"/>
  <c r="G2861" i="3"/>
  <c r="G2865" i="3"/>
  <c r="G2869" i="3"/>
  <c r="G2873" i="3"/>
  <c r="G2877" i="3"/>
  <c r="G2881" i="3"/>
  <c r="G2885" i="3"/>
  <c r="G2889" i="3"/>
  <c r="G2893" i="3"/>
  <c r="G2897" i="3"/>
  <c r="G2901" i="3"/>
  <c r="G2905" i="3"/>
  <c r="G2909" i="3"/>
  <c r="G2913" i="3"/>
  <c r="G2917" i="3"/>
  <c r="G2921" i="3"/>
  <c r="G2925" i="3"/>
  <c r="G2929" i="3"/>
  <c r="G2933" i="3"/>
  <c r="G2937" i="3"/>
  <c r="G2941" i="3"/>
  <c r="G2945" i="3"/>
  <c r="G2949" i="3"/>
  <c r="G2953" i="3"/>
  <c r="G2957" i="3"/>
  <c r="G2961" i="3"/>
  <c r="G2965" i="3"/>
  <c r="G2969" i="3"/>
  <c r="G2973" i="3"/>
  <c r="G2977" i="3"/>
  <c r="G2981" i="3"/>
  <c r="G2985" i="3"/>
  <c r="G2989" i="3"/>
  <c r="G2993" i="3"/>
  <c r="G2997" i="3"/>
  <c r="G3001" i="3"/>
  <c r="G3005" i="3"/>
  <c r="G3009" i="3"/>
  <c r="G3013" i="3"/>
  <c r="G3017" i="3"/>
  <c r="G3021" i="3"/>
  <c r="G3025" i="3"/>
  <c r="G3029" i="3"/>
  <c r="G3033" i="3"/>
  <c r="G3037" i="3"/>
  <c r="G3041" i="3"/>
  <c r="G3045" i="3"/>
  <c r="G3049" i="3"/>
  <c r="G3053" i="3"/>
  <c r="G3057" i="3"/>
  <c r="G3061" i="3"/>
  <c r="G3065" i="3"/>
  <c r="G3069" i="3"/>
  <c r="G3073" i="3"/>
  <c r="G3077" i="3"/>
  <c r="G3081" i="3"/>
  <c r="G3085" i="3"/>
  <c r="G3089" i="3"/>
  <c r="G3093" i="3"/>
  <c r="G3097" i="3"/>
  <c r="G3101" i="3"/>
  <c r="G3105" i="3"/>
  <c r="G3109" i="3"/>
  <c r="G3113" i="3"/>
  <c r="G3117" i="3"/>
  <c r="G3121" i="3"/>
  <c r="G3125" i="3"/>
  <c r="G3129" i="3"/>
  <c r="G3133" i="3"/>
  <c r="G3137" i="3"/>
  <c r="G3141" i="3"/>
  <c r="G3145" i="3"/>
  <c r="G3149" i="3"/>
  <c r="G3153" i="3"/>
  <c r="G3157" i="3"/>
  <c r="G3161" i="3"/>
  <c r="G3165" i="3"/>
  <c r="G3169" i="3"/>
  <c r="G3173" i="3"/>
  <c r="G3177" i="3"/>
  <c r="G3181" i="3"/>
  <c r="G3185" i="3"/>
  <c r="G3189" i="3"/>
  <c r="G3193" i="3"/>
  <c r="G3197" i="3"/>
  <c r="G3201" i="3"/>
  <c r="G3205" i="3"/>
  <c r="G3209" i="3"/>
  <c r="G3213" i="3"/>
  <c r="G3217" i="3"/>
  <c r="G3221" i="3"/>
  <c r="G3225" i="3"/>
  <c r="G3229" i="3"/>
  <c r="G3233" i="3"/>
  <c r="G3237" i="3"/>
  <c r="G3241" i="3"/>
  <c r="G3245" i="3"/>
  <c r="G3249" i="3"/>
  <c r="G3253" i="3"/>
  <c r="G3257" i="3"/>
  <c r="G3261" i="3"/>
  <c r="G3265" i="3"/>
  <c r="G1374" i="3"/>
  <c r="G1645" i="3"/>
  <c r="G1862" i="3"/>
  <c r="G1990" i="3"/>
  <c r="G2118" i="3"/>
  <c r="G2182" i="3"/>
  <c r="G2246" i="3"/>
  <c r="G2310" i="3"/>
  <c r="G2374" i="3"/>
  <c r="G2438" i="3"/>
  <c r="G2450" i="3"/>
  <c r="G2482" i="3"/>
  <c r="G2514" i="3"/>
  <c r="G2546" i="3"/>
  <c r="G2578" i="3"/>
  <c r="G2610" i="3"/>
  <c r="G2642" i="3"/>
  <c r="G2674" i="3"/>
  <c r="G2704" i="3"/>
  <c r="G2720" i="3"/>
  <c r="G2736" i="3"/>
  <c r="G2752" i="3"/>
  <c r="G2768" i="3"/>
  <c r="G2784" i="3"/>
  <c r="G2800" i="3"/>
  <c r="G2816" i="3"/>
  <c r="G2832" i="3"/>
  <c r="G2848" i="3"/>
  <c r="G2864" i="3"/>
  <c r="G2880" i="3"/>
  <c r="G2896" i="3"/>
  <c r="G2912" i="3"/>
  <c r="G2928" i="3"/>
  <c r="G2944" i="3"/>
  <c r="G2960" i="3"/>
  <c r="G2976" i="3"/>
  <c r="G2992" i="3"/>
  <c r="G3008" i="3"/>
  <c r="G3024" i="3"/>
  <c r="G3040" i="3"/>
  <c r="G3056" i="3"/>
  <c r="G3072" i="3"/>
  <c r="G3088" i="3"/>
  <c r="G3104" i="3"/>
  <c r="G3120" i="3"/>
  <c r="G3136" i="3"/>
  <c r="G3152" i="3"/>
  <c r="G3168" i="3"/>
  <c r="G3184" i="3"/>
  <c r="G3200" i="3"/>
  <c r="G3216" i="3"/>
  <c r="G3232" i="3"/>
  <c r="G3248" i="3"/>
  <c r="G3264" i="3"/>
  <c r="G3273" i="3"/>
  <c r="G3281" i="3"/>
  <c r="G3289" i="3"/>
  <c r="G3297" i="3"/>
  <c r="G3305" i="3"/>
  <c r="G3313" i="3"/>
  <c r="G3320" i="3"/>
  <c r="G3324" i="3"/>
  <c r="G3328" i="3"/>
  <c r="G3332" i="3"/>
  <c r="G3336" i="3"/>
  <c r="G3340" i="3"/>
  <c r="G3344" i="3"/>
  <c r="G3348" i="3"/>
  <c r="G3352" i="3"/>
  <c r="G3356" i="3"/>
  <c r="G3360" i="3"/>
  <c r="G3364" i="3"/>
  <c r="G3368" i="3"/>
  <c r="G3372" i="3"/>
  <c r="G3376" i="3"/>
  <c r="G3380" i="3"/>
  <c r="G3384" i="3"/>
  <c r="G3388" i="3"/>
  <c r="G3392" i="3"/>
  <c r="G2650" i="3"/>
  <c r="G2756" i="3"/>
  <c r="G2900" i="3"/>
  <c r="G2916" i="3"/>
  <c r="G2932" i="3"/>
  <c r="G2948" i="3"/>
  <c r="G3028" i="3"/>
  <c r="G3044" i="3"/>
  <c r="G3092" i="3"/>
  <c r="G3108" i="3"/>
  <c r="G3204" i="3"/>
  <c r="G3220" i="3"/>
  <c r="G3236" i="3"/>
  <c r="G3252" i="3"/>
  <c r="G3296" i="3"/>
  <c r="G3304" i="3"/>
  <c r="G3312" i="3"/>
  <c r="G3321" i="3"/>
  <c r="G3325" i="3"/>
  <c r="G3329" i="3"/>
  <c r="G3333" i="3"/>
  <c r="G3341" i="3"/>
  <c r="G3345" i="3"/>
  <c r="G3357" i="3"/>
  <c r="G3361" i="3"/>
  <c r="G3365" i="3"/>
  <c r="G1118" i="3"/>
  <c r="G1581" i="3"/>
  <c r="G1830" i="3"/>
  <c r="G1958" i="3"/>
  <c r="G2102" i="3"/>
  <c r="G2166" i="3"/>
  <c r="G2230" i="3"/>
  <c r="G2294" i="3"/>
  <c r="G2358" i="3"/>
  <c r="G2422" i="3"/>
  <c r="G2442" i="3"/>
  <c r="G2474" i="3"/>
  <c r="G2506" i="3"/>
  <c r="G2538" i="3"/>
  <c r="G2570" i="3"/>
  <c r="G2602" i="3"/>
  <c r="G2634" i="3"/>
  <c r="G2666" i="3"/>
  <c r="G2698" i="3"/>
  <c r="G2716" i="3"/>
  <c r="G2732" i="3"/>
  <c r="G2748" i="3"/>
  <c r="G2764" i="3"/>
  <c r="G2780" i="3"/>
  <c r="G2796" i="3"/>
  <c r="G2812" i="3"/>
  <c r="G2828" i="3"/>
  <c r="G2844" i="3"/>
  <c r="G2860" i="3"/>
  <c r="G2876" i="3"/>
  <c r="G2892" i="3"/>
  <c r="G2908" i="3"/>
  <c r="G2924" i="3"/>
  <c r="G2940" i="3"/>
  <c r="G2956" i="3"/>
  <c r="G2972" i="3"/>
  <c r="G2988" i="3"/>
  <c r="G3004" i="3"/>
  <c r="G3020" i="3"/>
  <c r="G3036" i="3"/>
  <c r="G3052" i="3"/>
  <c r="G3068" i="3"/>
  <c r="G3084" i="3"/>
  <c r="G3100" i="3"/>
  <c r="G3116" i="3"/>
  <c r="G3132" i="3"/>
  <c r="G3148" i="3"/>
  <c r="G3164" i="3"/>
  <c r="G3180" i="3"/>
  <c r="G3196" i="3"/>
  <c r="G3212" i="3"/>
  <c r="G3228" i="3"/>
  <c r="G3244" i="3"/>
  <c r="G3260" i="3"/>
  <c r="G3268" i="3"/>
  <c r="G3276" i="3"/>
  <c r="G3284" i="3"/>
  <c r="G3292" i="3"/>
  <c r="G3300" i="3"/>
  <c r="G3308" i="3"/>
  <c r="G3316" i="3"/>
  <c r="G3323" i="3"/>
  <c r="G3327" i="3"/>
  <c r="G3331" i="3"/>
  <c r="G3335" i="3"/>
  <c r="G3339" i="3"/>
  <c r="G3343" i="3"/>
  <c r="G3347" i="3"/>
  <c r="G3351" i="3"/>
  <c r="G3355" i="3"/>
  <c r="G3359" i="3"/>
  <c r="G3363" i="3"/>
  <c r="G3367" i="3"/>
  <c r="G3371" i="3"/>
  <c r="G3375" i="3"/>
  <c r="G3379" i="3"/>
  <c r="G3383" i="3"/>
  <c r="G3387" i="3"/>
  <c r="G3391" i="3"/>
  <c r="G3395" i="3"/>
  <c r="G3326" i="3"/>
  <c r="G3330" i="3"/>
  <c r="G3338" i="3"/>
  <c r="G3342" i="3"/>
  <c r="G3346" i="3"/>
  <c r="G3350" i="3"/>
  <c r="G3354" i="3"/>
  <c r="G3358" i="3"/>
  <c r="G3366" i="3"/>
  <c r="G3370" i="3"/>
  <c r="G3374" i="3"/>
  <c r="G3378" i="3"/>
  <c r="G3382" i="3"/>
  <c r="G3386" i="3"/>
  <c r="G3390" i="3"/>
  <c r="G3394" i="3"/>
  <c r="G1709" i="3"/>
  <c r="G1766" i="3"/>
  <c r="G1894" i="3"/>
  <c r="G2022" i="3"/>
  <c r="G2134" i="3"/>
  <c r="G2198" i="3"/>
  <c r="G2262" i="3"/>
  <c r="G2326" i="3"/>
  <c r="G2390" i="3"/>
  <c r="G2458" i="3"/>
  <c r="G2490" i="3"/>
  <c r="G2522" i="3"/>
  <c r="G2554" i="3"/>
  <c r="G2586" i="3"/>
  <c r="G2618" i="3"/>
  <c r="G2724" i="3"/>
  <c r="G2740" i="3"/>
  <c r="G2772" i="3"/>
  <c r="G2788" i="3"/>
  <c r="G2804" i="3"/>
  <c r="G2836" i="3"/>
  <c r="G2852" i="3"/>
  <c r="G2868" i="3"/>
  <c r="G2884" i="3"/>
  <c r="G3060" i="3"/>
  <c r="G3076" i="3"/>
  <c r="G3124" i="3"/>
  <c r="G3140" i="3"/>
  <c r="G3156" i="3"/>
  <c r="G3172" i="3"/>
  <c r="G3188" i="3"/>
  <c r="G3280" i="3"/>
  <c r="G3288" i="3"/>
  <c r="G3337" i="3"/>
  <c r="G3369" i="3"/>
  <c r="G3373" i="3"/>
  <c r="G3381" i="3"/>
  <c r="G3385" i="3"/>
  <c r="G3389" i="3"/>
  <c r="G3393" i="3"/>
  <c r="G1517" i="3"/>
  <c r="G1798" i="3"/>
  <c r="G1926" i="3"/>
  <c r="G2054" i="3"/>
  <c r="G2150" i="3"/>
  <c r="G2214" i="3"/>
  <c r="G2278" i="3"/>
  <c r="G2342" i="3"/>
  <c r="G2406" i="3"/>
  <c r="G2466" i="3"/>
  <c r="G2498" i="3"/>
  <c r="G2530" i="3"/>
  <c r="G2562" i="3"/>
  <c r="G2594" i="3"/>
  <c r="G2626" i="3"/>
  <c r="G2658" i="3"/>
  <c r="G2690" i="3"/>
  <c r="G2712" i="3"/>
  <c r="G2728" i="3"/>
  <c r="G2744" i="3"/>
  <c r="G2760" i="3"/>
  <c r="G2776" i="3"/>
  <c r="G2792" i="3"/>
  <c r="G2808" i="3"/>
  <c r="G2824" i="3"/>
  <c r="G2840" i="3"/>
  <c r="G2856" i="3"/>
  <c r="G2872" i="3"/>
  <c r="G2888" i="3"/>
  <c r="G2904" i="3"/>
  <c r="G2920" i="3"/>
  <c r="G2936" i="3"/>
  <c r="G2952" i="3"/>
  <c r="G2968" i="3"/>
  <c r="G2984" i="3"/>
  <c r="G3000" i="3"/>
  <c r="G3016" i="3"/>
  <c r="G3032" i="3"/>
  <c r="G3048" i="3"/>
  <c r="G3064" i="3"/>
  <c r="G3080" i="3"/>
  <c r="G3096" i="3"/>
  <c r="G3112" i="3"/>
  <c r="G3128" i="3"/>
  <c r="G3144" i="3"/>
  <c r="G3160" i="3"/>
  <c r="G3176" i="3"/>
  <c r="G3192" i="3"/>
  <c r="G3208" i="3"/>
  <c r="G3224" i="3"/>
  <c r="G3240" i="3"/>
  <c r="G3256" i="3"/>
  <c r="G3269" i="3"/>
  <c r="G3277" i="3"/>
  <c r="G3285" i="3"/>
  <c r="G3293" i="3"/>
  <c r="G3301" i="3"/>
  <c r="G3309" i="3"/>
  <c r="G3317" i="3"/>
  <c r="G3322" i="3"/>
  <c r="G3334" i="3"/>
  <c r="G3362" i="3"/>
  <c r="G1453" i="3"/>
  <c r="G2682" i="3"/>
  <c r="G2708" i="3"/>
  <c r="G2820" i="3"/>
  <c r="G2964" i="3"/>
  <c r="G2980" i="3"/>
  <c r="G2996" i="3"/>
  <c r="G3012" i="3"/>
  <c r="G3272" i="3"/>
  <c r="G3349" i="3"/>
  <c r="G3353" i="3"/>
  <c r="G3377" i="3"/>
  <c r="G3" i="3"/>
  <c r="C2" i="3"/>
  <c r="B2" i="3"/>
  <c r="G2" i="3"/>
  <c r="A2" i="3" l="1"/>
</calcChain>
</file>

<file path=xl/sharedStrings.xml><?xml version="1.0" encoding="utf-8"?>
<sst xmlns="http://schemas.openxmlformats.org/spreadsheetml/2006/main" count="20463" uniqueCount="74">
  <si>
    <t>Month</t>
  </si>
  <si>
    <t>Bill Cycle</t>
  </si>
  <si>
    <t>BC</t>
  </si>
  <si>
    <t>1st Bill</t>
  </si>
  <si>
    <t>5th Bill</t>
  </si>
  <si>
    <t>12th Bill</t>
  </si>
  <si>
    <t>20th Bill</t>
  </si>
  <si>
    <t>25th Bill</t>
  </si>
  <si>
    <t>Allocation</t>
  </si>
  <si>
    <t>Portfolio</t>
  </si>
  <si>
    <t>26th SME</t>
  </si>
  <si>
    <t>SME Medium</t>
  </si>
  <si>
    <t>Overall</t>
  </si>
  <si>
    <t>Bucket</t>
  </si>
  <si>
    <t>Status</t>
  </si>
  <si>
    <t>O Accounts</t>
  </si>
  <si>
    <t>U Count</t>
  </si>
  <si>
    <t>A Value</t>
  </si>
  <si>
    <t>C Value</t>
  </si>
  <si>
    <t>Paid</t>
  </si>
  <si>
    <t>Unpaid</t>
  </si>
  <si>
    <t>&amp;&amp;&amp;&amp;</t>
  </si>
  <si>
    <t>Cluster</t>
  </si>
  <si>
    <t>CHN NORTH</t>
  </si>
  <si>
    <t>CHN OCL</t>
  </si>
  <si>
    <t>CHN SOUTH</t>
  </si>
  <si>
    <t>COIMBATORE</t>
  </si>
  <si>
    <t>ERODE</t>
  </si>
  <si>
    <t>MADURAI</t>
  </si>
  <si>
    <t>PONDY</t>
  </si>
  <si>
    <t>RTN NORTH</t>
  </si>
  <si>
    <t>RTN OCL</t>
  </si>
  <si>
    <t>RTN SOUTH</t>
  </si>
  <si>
    <t>SALEM</t>
  </si>
  <si>
    <t>TANJORE</t>
  </si>
  <si>
    <t>TIRUNELVELI</t>
  </si>
  <si>
    <t>TIRUPPUR</t>
  </si>
  <si>
    <t>TRICHY</t>
  </si>
  <si>
    <t>VELLORE</t>
  </si>
  <si>
    <t>101-130</t>
  </si>
  <si>
    <t>131-160</t>
  </si>
  <si>
    <t>161-190</t>
  </si>
  <si>
    <t>026-040</t>
  </si>
  <si>
    <t>041-070</t>
  </si>
  <si>
    <t>071-100</t>
  </si>
  <si>
    <t>Above 190</t>
  </si>
  <si>
    <t>Apr'18</t>
  </si>
  <si>
    <t>May'18</t>
  </si>
  <si>
    <t>Line Spread</t>
  </si>
  <si>
    <t>AON Spread</t>
  </si>
  <si>
    <t>Team</t>
  </si>
  <si>
    <t>000 - 030</t>
  </si>
  <si>
    <t>031 - 060</t>
  </si>
  <si>
    <t>061 - 090</t>
  </si>
  <si>
    <t>091 - 120</t>
  </si>
  <si>
    <t>151 - 180</t>
  </si>
  <si>
    <t>121 - 150</t>
  </si>
  <si>
    <t>180+</t>
  </si>
  <si>
    <t>New Zone</t>
  </si>
  <si>
    <t>Accounts</t>
  </si>
  <si>
    <t>Date</t>
  </si>
  <si>
    <t>Value</t>
  </si>
  <si>
    <t>Metric</t>
  </si>
  <si>
    <t>Resolution</t>
  </si>
  <si>
    <t>%</t>
  </si>
  <si>
    <t>Total</t>
  </si>
  <si>
    <t>FTD</t>
  </si>
  <si>
    <t>Option1</t>
  </si>
  <si>
    <t>Option2</t>
  </si>
  <si>
    <t>Option3</t>
  </si>
  <si>
    <t>Option4</t>
  </si>
  <si>
    <t>Option5</t>
  </si>
  <si>
    <t>Option6</t>
  </si>
  <si>
    <t>Option7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</si>
</sst>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₹&quot;\ #,##0.00"/>
    <numFmt numFmtId="165" formatCode="dd/mm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8"/>
      <color rgb="FF000000"/>
      <name val="Segoe UI"/>
      <family val="2"/>
    </font>
    <font>
      <b/>
      <sz val="14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theme="3"/>
      </bottom>
      <diagonal/>
    </border>
    <border>
      <left/>
      <right/>
      <top style="double">
        <color theme="3"/>
      </top>
      <bottom style="thin">
        <color theme="3"/>
      </bottom>
      <diagonal/>
    </border>
    <border>
      <left/>
      <right/>
      <top style="double">
        <color theme="3"/>
      </top>
      <bottom/>
      <diagonal/>
    </border>
    <border>
      <left/>
      <right/>
      <top style="thin">
        <color theme="3"/>
      </top>
      <bottom style="double">
        <color theme="3"/>
      </bottom>
      <diagonal/>
    </border>
    <border>
      <left/>
      <right/>
      <top style="double">
        <color theme="3"/>
      </top>
      <bottom style="double">
        <color theme="3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37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6" fillId="0" borderId="0" xfId="0" applyFont="1"/>
    <xf numFmtId="0" fontId="7" fillId="0" borderId="0" xfId="0" applyFont="1" applyFill="1" applyBorder="1" applyAlignment="1">
      <alignment horizontal="center" vertical="center"/>
    </xf>
    <xf numFmtId="14" fontId="0" fillId="0" borderId="0" xfId="0" applyNumberFormat="1"/>
    <xf numFmtId="14" fontId="1" fillId="0" borderId="0" xfId="0" applyNumberFormat="1" applyFont="1"/>
    <xf numFmtId="0" fontId="4" fillId="0" borderId="0" xfId="0" applyFont="1" applyAlignment="1">
      <alignment horizontal="left" vertical="center" indent="1"/>
    </xf>
    <xf numFmtId="0" fontId="4" fillId="2" borderId="2" xfId="0" applyFont="1" applyFill="1" applyBorder="1"/>
    <xf numFmtId="0" fontId="3" fillId="2" borderId="2" xfId="0" applyFont="1" applyFill="1" applyBorder="1"/>
    <xf numFmtId="0" fontId="4" fillId="2" borderId="4" xfId="0" applyFont="1" applyFill="1" applyBorder="1"/>
    <xf numFmtId="164" fontId="3" fillId="2" borderId="4" xfId="0" applyNumberFormat="1" applyFont="1" applyFill="1" applyBorder="1"/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10" fontId="3" fillId="2" borderId="2" xfId="1" applyNumberFormat="1" applyFont="1" applyFill="1" applyBorder="1"/>
    <xf numFmtId="10" fontId="3" fillId="2" borderId="4" xfId="1" applyNumberFormat="1" applyFont="1" applyFill="1" applyBorder="1"/>
    <xf numFmtId="0" fontId="2" fillId="0" borderId="0" xfId="0" applyFont="1"/>
    <xf numFmtId="0" fontId="2" fillId="3" borderId="2" xfId="0" applyFont="1" applyFill="1" applyBorder="1"/>
    <xf numFmtId="164" fontId="2" fillId="3" borderId="4" xfId="0" applyNumberFormat="1" applyFont="1" applyFill="1" applyBorder="1"/>
    <xf numFmtId="10" fontId="2" fillId="3" borderId="2" xfId="1" applyNumberFormat="1" applyFont="1" applyFill="1" applyBorder="1"/>
    <xf numFmtId="10" fontId="2" fillId="3" borderId="4" xfId="1" applyNumberFormat="1" applyFont="1" applyFill="1" applyBorder="1"/>
    <xf numFmtId="164" fontId="8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5" fontId="4" fillId="0" borderId="0" xfId="0" applyNumberFormat="1" applyFont="1"/>
    <xf numFmtId="0" fontId="4" fillId="2" borderId="2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4" fontId="10" fillId="2" borderId="6" xfId="0" applyNumberFormat="1" applyFont="1" applyFill="1" applyBorder="1" applyAlignment="1">
      <alignment horizontal="center" vertical="center"/>
    </xf>
    <xf numFmtId="164" fontId="10" fillId="2" borderId="7" xfId="0" applyNumberFormat="1" applyFont="1" applyFill="1" applyBorder="1" applyAlignment="1">
      <alignment horizontal="center" vertical="center"/>
    </xf>
    <xf numFmtId="164" fontId="10" fillId="2" borderId="8" xfId="0" applyNumberFormat="1" applyFont="1" applyFill="1" applyBorder="1" applyAlignment="1">
      <alignment horizontal="center" vertical="center"/>
    </xf>
    <xf numFmtId="164" fontId="10" fillId="2" borderId="9" xfId="0" applyNumberFormat="1" applyFont="1" applyFill="1" applyBorder="1" applyAlignment="1">
      <alignment horizontal="center" vertical="center"/>
    </xf>
    <xf numFmtId="164" fontId="10" fillId="2" borderId="10" xfId="0" applyNumberFormat="1" applyFont="1" applyFill="1" applyBorder="1" applyAlignment="1">
      <alignment horizontal="center" vertical="center"/>
    </xf>
    <xf numFmtId="164" fontId="10" fillId="2" borderId="1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FTD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Summary!$B$21</c:f>
              <c:strCache>
                <c:ptCount val="1"/>
                <c:pt idx="0">
                  <c:v>FTD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Summary!$C$20:$J$20</c:f>
              <c:numCache>
                <c:formatCode>dd/mm</c:formatCode>
                <c:ptCount val="8"/>
                <c:pt idx="0">
                  <c:v>44022</c:v>
                </c:pt>
                <c:pt idx="1">
                  <c:v>44023</c:v>
                </c:pt>
                <c:pt idx="2">
                  <c:v>44025</c:v>
                </c:pt>
                <c:pt idx="3">
                  <c:v>44026</c:v>
                </c:pt>
                <c:pt idx="4">
                  <c:v>44027</c:v>
                </c:pt>
                <c:pt idx="5">
                  <c:v>44028</c:v>
                </c:pt>
                <c:pt idx="6">
                  <c:v>44029</c:v>
                </c:pt>
                <c:pt idx="7">
                  <c:v>44030</c:v>
                </c:pt>
              </c:numCache>
            </c:numRef>
          </c:cat>
          <c:val>
            <c:numRef>
              <c:f>Summary!$C$21:$J$21</c:f>
              <c:numCache>
                <c:formatCode>General</c:formatCode>
                <c:ptCount val="8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8-4251-9E07-575413126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458047"/>
        <c:axId val="1981780591"/>
      </c:lineChart>
      <c:catAx>
        <c:axId val="1975458047"/>
        <c:scaling>
          <c:orientation val="minMax"/>
        </c:scaling>
        <c:delete val="0"/>
        <c:axPos val="b"/>
        <c:numFmt formatCode="dd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780591"/>
        <c:crosses val="autoZero"/>
        <c:auto val="0"/>
        <c:lblAlgn val="ctr"/>
        <c:lblOffset val="100"/>
        <c:noMultiLvlLbl val="0"/>
      </c:catAx>
      <c:valAx>
        <c:axId val="19817805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75458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6" dropStyle="combo" dx="22" fmlaLink="A7" fmlaRange="Setup!$B$2:$B$7" sel="1" val="0"/>
</file>

<file path=xl/ctrlProps/ctrlProp2.xml><?xml version="1.0" encoding="utf-8"?>
<formControlPr xmlns="http://schemas.microsoft.com/office/spreadsheetml/2009/9/main" objectType="Drop" dropStyle="combo" dx="22" fmlaLink="A8" fmlaRange="Setup!$N$2:$N$9" sel="1" val="0"/>
</file>

<file path=xl/ctrlProps/ctrlProp3.xml><?xml version="1.0" encoding="utf-8"?>
<formControlPr xmlns="http://schemas.microsoft.com/office/spreadsheetml/2009/9/main" objectType="Drop" dropStyle="combo" dx="22" fmlaLink="A9" fmlaRange="Setup!$H$2:$H$7" sel="1" val="0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9524</xdr:rowOff>
    </xdr:from>
    <xdr:to>
      <xdr:col>12</xdr:col>
      <xdr:colOff>0</xdr:colOff>
      <xdr:row>5</xdr:row>
      <xdr:rowOff>152399</xdr:rowOff>
    </xdr:to>
    <xdr:sp macro="" textlink="">
      <xdr:nvSpPr>
        <xdr:cNvPr id="33" name="Rounded Rectangle 23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0" y="581024"/>
          <a:ext cx="12839700" cy="390525"/>
        </a:xfrm>
        <a:prstGeom prst="roundRect">
          <a:avLst>
            <a:gd name="adj" fmla="val 0"/>
          </a:avLst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9525</xdr:colOff>
      <xdr:row>0</xdr:row>
      <xdr:rowOff>32809</xdr:rowOff>
    </xdr:from>
    <xdr:to>
      <xdr:col>12</xdr:col>
      <xdr:colOff>0</xdr:colOff>
      <xdr:row>2</xdr:row>
      <xdr:rowOff>180975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525" y="32809"/>
          <a:ext cx="12830175" cy="529166"/>
        </a:xfrm>
        <a:prstGeom prst="roundRect">
          <a:avLst>
            <a:gd name="adj" fmla="val 0"/>
          </a:avLst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2800">
              <a:solidFill>
                <a:schemeClr val="bg1"/>
              </a:solidFill>
            </a:rPr>
            <a:t>Performance</a:t>
          </a:r>
          <a:r>
            <a:rPr lang="en-IN" sz="2800" baseline="0">
              <a:solidFill>
                <a:schemeClr val="bg1"/>
              </a:solidFill>
            </a:rPr>
            <a:t> Dashboard</a:t>
          </a:r>
          <a:endParaRPr lang="en-IN" sz="2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209550</xdr:rowOff>
    </xdr:from>
    <xdr:to>
      <xdr:col>7</xdr:col>
      <xdr:colOff>0</xdr:colOff>
      <xdr:row>7</xdr:row>
      <xdr:rowOff>0</xdr:rowOff>
    </xdr:to>
    <xdr:sp macro="" textlink="">
      <xdr:nvSpPr>
        <xdr:cNvPr id="30" name="Rectangle: Top Corners Rounded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5172075" y="1028700"/>
          <a:ext cx="2495550" cy="285750"/>
        </a:xfrm>
        <a:prstGeom prst="round2SameRect">
          <a:avLst>
            <a:gd name="adj1" fmla="val 17976"/>
            <a:gd name="adj2" fmla="val 0"/>
          </a:avLst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MTD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4</xdr:row>
          <xdr:rowOff>66675</xdr:rowOff>
        </xdr:from>
        <xdr:to>
          <xdr:col>2</xdr:col>
          <xdr:colOff>600075</xdr:colOff>
          <xdr:row>5</xdr:row>
          <xdr:rowOff>57150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4</xdr:row>
          <xdr:rowOff>66675</xdr:rowOff>
        </xdr:from>
        <xdr:to>
          <xdr:col>3</xdr:col>
          <xdr:colOff>933450</xdr:colOff>
          <xdr:row>5</xdr:row>
          <xdr:rowOff>57150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4</xdr:row>
          <xdr:rowOff>66675</xdr:rowOff>
        </xdr:from>
        <xdr:to>
          <xdr:col>4</xdr:col>
          <xdr:colOff>1219200</xdr:colOff>
          <xdr:row>5</xdr:row>
          <xdr:rowOff>57150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4</xdr:row>
          <xdr:rowOff>0</xdr:rowOff>
        </xdr:from>
        <xdr:to>
          <xdr:col>5</xdr:col>
          <xdr:colOff>47625</xdr:colOff>
          <xdr:row>5</xdr:row>
          <xdr:rowOff>104775</xdr:rowOff>
        </xdr:to>
        <xdr:sp macro="" textlink="">
          <xdr:nvSpPr>
            <xdr:cNvPr id="1041" name="Group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11</xdr:col>
          <xdr:colOff>9525</xdr:colOff>
          <xdr:row>28</xdr:row>
          <xdr:rowOff>0</xdr:rowOff>
        </xdr:to>
        <xdr:sp macro="" textlink="">
          <xdr:nvSpPr>
            <xdr:cNvPr id="1049" name="ScrollBar1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4</xdr:row>
          <xdr:rowOff>0</xdr:rowOff>
        </xdr:from>
        <xdr:to>
          <xdr:col>10</xdr:col>
          <xdr:colOff>742950</xdr:colOff>
          <xdr:row>5</xdr:row>
          <xdr:rowOff>104775</xdr:rowOff>
        </xdr:to>
        <xdr:sp macro="" textlink="">
          <xdr:nvSpPr>
            <xdr:cNvPr id="1050" name="Group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4</xdr:row>
          <xdr:rowOff>0</xdr:rowOff>
        </xdr:from>
        <xdr:to>
          <xdr:col>7</xdr:col>
          <xdr:colOff>781050</xdr:colOff>
          <xdr:row>5</xdr:row>
          <xdr:rowOff>104775</xdr:rowOff>
        </xdr:to>
        <xdr:sp macro="" textlink="">
          <xdr:nvSpPr>
            <xdr:cNvPr id="1051" name="Group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Priority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</xdr:row>
          <xdr:rowOff>47625</xdr:rowOff>
        </xdr:from>
        <xdr:to>
          <xdr:col>9</xdr:col>
          <xdr:colOff>657225</xdr:colOff>
          <xdr:row>5</xdr:row>
          <xdr:rowOff>95250</xdr:rowOff>
        </xdr:to>
        <xdr:sp macro="" textlink="">
          <xdr:nvSpPr>
            <xdr:cNvPr id="1058" name="OptionButton1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4</xdr:row>
          <xdr:rowOff>47625</xdr:rowOff>
        </xdr:from>
        <xdr:to>
          <xdr:col>10</xdr:col>
          <xdr:colOff>57150</xdr:colOff>
          <xdr:row>5</xdr:row>
          <xdr:rowOff>95250</xdr:rowOff>
        </xdr:to>
        <xdr:sp macro="" textlink="">
          <xdr:nvSpPr>
            <xdr:cNvPr id="1059" name="OptionButton2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4</xdr:row>
          <xdr:rowOff>47625</xdr:rowOff>
        </xdr:from>
        <xdr:to>
          <xdr:col>10</xdr:col>
          <xdr:colOff>657225</xdr:colOff>
          <xdr:row>5</xdr:row>
          <xdr:rowOff>95250</xdr:rowOff>
        </xdr:to>
        <xdr:sp macro="" textlink="">
          <xdr:nvSpPr>
            <xdr:cNvPr id="1060" name="OptionButton3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933450</xdr:colOff>
          <xdr:row>4</xdr:row>
          <xdr:rowOff>47625</xdr:rowOff>
        </xdr:from>
        <xdr:to>
          <xdr:col>8</xdr:col>
          <xdr:colOff>47625</xdr:colOff>
          <xdr:row>5</xdr:row>
          <xdr:rowOff>95250</xdr:rowOff>
        </xdr:to>
        <xdr:sp macro="" textlink="">
          <xdr:nvSpPr>
            <xdr:cNvPr id="1061" name="OptionButton4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4</xdr:row>
          <xdr:rowOff>47625</xdr:rowOff>
        </xdr:from>
        <xdr:to>
          <xdr:col>8</xdr:col>
          <xdr:colOff>723900</xdr:colOff>
          <xdr:row>5</xdr:row>
          <xdr:rowOff>95250</xdr:rowOff>
        </xdr:to>
        <xdr:sp macro="" textlink="">
          <xdr:nvSpPr>
            <xdr:cNvPr id="1062" name="OptionButton5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981075</xdr:colOff>
          <xdr:row>4</xdr:row>
          <xdr:rowOff>47625</xdr:rowOff>
        </xdr:from>
        <xdr:to>
          <xdr:col>9</xdr:col>
          <xdr:colOff>95250</xdr:colOff>
          <xdr:row>5</xdr:row>
          <xdr:rowOff>95250</xdr:rowOff>
        </xdr:to>
        <xdr:sp macro="" textlink="">
          <xdr:nvSpPr>
            <xdr:cNvPr id="1063" name="OptionButton6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4</xdr:row>
          <xdr:rowOff>57150</xdr:rowOff>
        </xdr:from>
        <xdr:to>
          <xdr:col>5</xdr:col>
          <xdr:colOff>514350</xdr:colOff>
          <xdr:row>5</xdr:row>
          <xdr:rowOff>104775</xdr:rowOff>
        </xdr:to>
        <xdr:sp macro="" textlink="">
          <xdr:nvSpPr>
            <xdr:cNvPr id="1067" name="OptionButton7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1028700</xdr:colOff>
          <xdr:row>4</xdr:row>
          <xdr:rowOff>57150</xdr:rowOff>
        </xdr:from>
        <xdr:to>
          <xdr:col>6</xdr:col>
          <xdr:colOff>142875</xdr:colOff>
          <xdr:row>5</xdr:row>
          <xdr:rowOff>104775</xdr:rowOff>
        </xdr:to>
        <xdr:sp macro="" textlink="">
          <xdr:nvSpPr>
            <xdr:cNvPr id="1068" name="OptionButton8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733425</xdr:colOff>
          <xdr:row>4</xdr:row>
          <xdr:rowOff>57150</xdr:rowOff>
        </xdr:from>
        <xdr:to>
          <xdr:col>6</xdr:col>
          <xdr:colOff>1095375</xdr:colOff>
          <xdr:row>5</xdr:row>
          <xdr:rowOff>104775</xdr:rowOff>
        </xdr:to>
        <xdr:sp macro="" textlink="">
          <xdr:nvSpPr>
            <xdr:cNvPr id="1069" name="OptionButton9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4</xdr:row>
          <xdr:rowOff>57150</xdr:rowOff>
        </xdr:from>
        <xdr:to>
          <xdr:col>7</xdr:col>
          <xdr:colOff>714375</xdr:colOff>
          <xdr:row>5</xdr:row>
          <xdr:rowOff>104775</xdr:rowOff>
        </xdr:to>
        <xdr:sp macro="" textlink="">
          <xdr:nvSpPr>
            <xdr:cNvPr id="1070" name="OptionButton10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5</xdr:row>
      <xdr:rowOff>209550</xdr:rowOff>
    </xdr:from>
    <xdr:to>
      <xdr:col>4</xdr:col>
      <xdr:colOff>0</xdr:colOff>
      <xdr:row>7</xdr:row>
      <xdr:rowOff>0</xdr:rowOff>
    </xdr:to>
    <xdr:sp macro="" textlink="">
      <xdr:nvSpPr>
        <xdr:cNvPr id="25" name="Rectangle: Top Corners Rounded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172075" y="838200"/>
          <a:ext cx="1247775" cy="285750"/>
        </a:xfrm>
        <a:prstGeom prst="round2SameRect">
          <a:avLst>
            <a:gd name="adj1" fmla="val 17976"/>
            <a:gd name="adj2" fmla="val 0"/>
          </a:avLst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FTD</a:t>
          </a:r>
        </a:p>
      </xdr:txBody>
    </xdr:sp>
    <xdr:clientData/>
  </xdr:twoCellAnchor>
  <xdr:twoCellAnchor>
    <xdr:from>
      <xdr:col>8</xdr:col>
      <xdr:colOff>0</xdr:colOff>
      <xdr:row>5</xdr:row>
      <xdr:rowOff>209550</xdr:rowOff>
    </xdr:from>
    <xdr:to>
      <xdr:col>9</xdr:col>
      <xdr:colOff>0</xdr:colOff>
      <xdr:row>7</xdr:row>
      <xdr:rowOff>0</xdr:rowOff>
    </xdr:to>
    <xdr:sp macro="" textlink="">
      <xdr:nvSpPr>
        <xdr:cNvPr id="26" name="Rectangle: Top Corners Rounded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7667625" y="838200"/>
          <a:ext cx="1247775" cy="285750"/>
        </a:xfrm>
        <a:prstGeom prst="round2SameRect">
          <a:avLst>
            <a:gd name="adj1" fmla="val 17976"/>
            <a:gd name="adj2" fmla="val 0"/>
          </a:avLst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DRR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904875</xdr:colOff>
          <xdr:row>4</xdr:row>
          <xdr:rowOff>0</xdr:rowOff>
        </xdr:from>
        <xdr:to>
          <xdr:col>9</xdr:col>
          <xdr:colOff>133350</xdr:colOff>
          <xdr:row>5</xdr:row>
          <xdr:rowOff>104775</xdr:rowOff>
        </xdr:to>
        <xdr:sp macro="" textlink="">
          <xdr:nvSpPr>
            <xdr:cNvPr id="1071" name="Group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Status</a:t>
              </a:r>
            </a:p>
          </xdr:txBody>
        </xdr:sp>
        <xdr:clientData/>
      </xdr:twoCellAnchor>
    </mc:Choice>
    <mc:Fallback/>
  </mc:AlternateContent>
  <xdr:oneCellAnchor>
    <xdr:from>
      <xdr:col>1</xdr:col>
      <xdr:colOff>476250</xdr:colOff>
      <xdr:row>4</xdr:row>
      <xdr:rowOff>20120</xdr:rowOff>
    </xdr:from>
    <xdr:ext cx="320922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57225" y="648770"/>
          <a:ext cx="320922" cy="264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 anchorCtr="0">
          <a:spAutoFit/>
        </a:bodyPr>
        <a:lstStyle/>
        <a:p>
          <a:r>
            <a:rPr lang="en-IN" sz="1100" b="1"/>
            <a:t>F1</a:t>
          </a:r>
        </a:p>
      </xdr:txBody>
    </xdr:sp>
    <xdr:clientData/>
  </xdr:oneCellAnchor>
  <xdr:oneCellAnchor>
    <xdr:from>
      <xdr:col>2</xdr:col>
      <xdr:colOff>771525</xdr:colOff>
      <xdr:row>4</xdr:row>
      <xdr:rowOff>29645</xdr:rowOff>
    </xdr:from>
    <xdr:ext cx="323850" cy="26456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2200275" y="658295"/>
          <a:ext cx="323850" cy="264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r>
            <a:rPr lang="en-IN" sz="1100" b="1"/>
            <a:t>F2</a:t>
          </a:r>
        </a:p>
      </xdr:txBody>
    </xdr:sp>
    <xdr:clientData/>
  </xdr:oneCellAnchor>
  <xdr:oneCellAnchor>
    <xdr:from>
      <xdr:col>3</xdr:col>
      <xdr:colOff>1047750</xdr:colOff>
      <xdr:row>4</xdr:row>
      <xdr:rowOff>29645</xdr:rowOff>
    </xdr:from>
    <xdr:ext cx="320922" cy="264560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3724275" y="658295"/>
          <a:ext cx="320922" cy="264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 anchorCtr="0">
          <a:spAutoFit/>
        </a:bodyPr>
        <a:lstStyle/>
        <a:p>
          <a:r>
            <a:rPr lang="en-IN" sz="1100" b="1"/>
            <a:t>F3</a:t>
          </a:r>
        </a:p>
      </xdr:txBody>
    </xdr:sp>
    <xdr:clientData/>
  </xdr:oneCellAnchor>
  <xdr:twoCellAnchor>
    <xdr:from>
      <xdr:col>1</xdr:col>
      <xdr:colOff>0</xdr:colOff>
      <xdr:row>18</xdr:row>
      <xdr:rowOff>38099</xdr:rowOff>
    </xdr:from>
    <xdr:to>
      <xdr:col>11</xdr:col>
      <xdr:colOff>0</xdr:colOff>
      <xdr:row>26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trlProp" Target="../ctrlProps/ctrlProp7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Relationship Id="rId30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1"/>
  <sheetViews>
    <sheetView tabSelected="1" zoomScaleNormal="100" workbookViewId="0">
      <pane ySplit="10" topLeftCell="A11" activePane="bottomLeft" state="frozen"/>
      <selection pane="bottomLeft" activeCell="B2" sqref="B2"/>
    </sheetView>
  </sheetViews>
  <sheetFormatPr defaultColWidth="0" defaultRowHeight="15" x14ac:dyDescent="0.25"/>
  <cols>
    <col min="1" max="1" width="2.7109375" style="2" customWidth="1"/>
    <col min="2" max="11" width="18.7109375" style="2" customWidth="1"/>
    <col min="12" max="12" width="2.7109375" style="2" customWidth="1"/>
    <col min="13" max="16384" width="9.140625" style="2" hidden="1"/>
  </cols>
  <sheetData>
    <row r="1" spans="1:12" ht="15" customHeight="1" x14ac:dyDescent="0.25"/>
    <row r="2" spans="1:12" x14ac:dyDescent="0.25">
      <c r="H2" s="3"/>
    </row>
    <row r="3" spans="1:12" ht="15" customHeight="1" x14ac:dyDescent="0.25">
      <c r="H3" s="3"/>
      <c r="I3" s="3"/>
      <c r="J3" s="2" t="b">
        <v>0</v>
      </c>
      <c r="K3" s="3" t="b">
        <v>1</v>
      </c>
      <c r="L3" s="2" t="b">
        <v>0</v>
      </c>
    </row>
    <row r="4" spans="1:12" ht="5.0999999999999996" customHeight="1" x14ac:dyDescent="0.25">
      <c r="H4" s="3"/>
      <c r="I4" s="3"/>
      <c r="J4" s="2" t="b">
        <v>0</v>
      </c>
      <c r="K4" s="3" t="b">
        <v>1</v>
      </c>
      <c r="L4" s="2" t="b">
        <v>0</v>
      </c>
    </row>
    <row r="5" spans="1:12" ht="15" customHeight="1" x14ac:dyDescent="0.25">
      <c r="H5" s="3"/>
      <c r="I5" s="3"/>
      <c r="J5" s="4"/>
      <c r="K5" s="18"/>
      <c r="L5" s="4"/>
    </row>
    <row r="6" spans="1:12" ht="20.100000000000001" customHeight="1" x14ac:dyDescent="0.25">
      <c r="E6" s="5"/>
      <c r="F6" s="5"/>
      <c r="G6" s="5"/>
      <c r="H6" s="5"/>
      <c r="I6" s="5"/>
      <c r="J6" s="8"/>
    </row>
    <row r="7" spans="1:12" ht="20.100000000000001" customHeight="1" x14ac:dyDescent="0.25">
      <c r="A7" s="4">
        <v>1</v>
      </c>
      <c r="D7" s="23"/>
      <c r="F7" s="23"/>
      <c r="G7" s="15"/>
      <c r="I7" s="23"/>
      <c r="J7" s="8"/>
      <c r="L7" s="4"/>
    </row>
    <row r="8" spans="1:12" ht="20.100000000000001" customHeight="1" x14ac:dyDescent="0.25">
      <c r="A8" s="4">
        <v>1</v>
      </c>
      <c r="B8" s="4"/>
      <c r="D8" s="30">
        <v>1245</v>
      </c>
      <c r="F8" s="32">
        <v>1245</v>
      </c>
      <c r="G8" s="33"/>
      <c r="H8" s="24">
        <v>1246</v>
      </c>
      <c r="I8" s="30">
        <v>1246</v>
      </c>
      <c r="J8" s="4" t="b">
        <v>0</v>
      </c>
      <c r="K8" s="4" t="b">
        <v>0</v>
      </c>
    </row>
    <row r="9" spans="1:12" ht="20.100000000000001" customHeight="1" x14ac:dyDescent="0.25">
      <c r="A9" s="4">
        <v>1</v>
      </c>
      <c r="B9" s="4"/>
      <c r="D9" s="31"/>
      <c r="E9" s="5"/>
      <c r="F9" s="34"/>
      <c r="G9" s="35"/>
      <c r="H9" s="24">
        <v>1300</v>
      </c>
      <c r="I9" s="31"/>
      <c r="J9" s="4" t="b">
        <v>1</v>
      </c>
      <c r="K9" s="4" t="b">
        <v>0</v>
      </c>
    </row>
    <row r="10" spans="1:12" ht="5.0999999999999996" customHeight="1" x14ac:dyDescent="0.25"/>
    <row r="11" spans="1:12" ht="5.0999999999999996" customHeight="1" thickBot="1" x14ac:dyDescent="0.3">
      <c r="D11" s="4"/>
    </row>
    <row r="12" spans="1:12" ht="16.5" thickTop="1" thickBot="1" x14ac:dyDescent="0.3">
      <c r="B12" s="36" t="s">
        <v>62</v>
      </c>
      <c r="C12" s="36"/>
      <c r="D12" s="13" t="s">
        <v>51</v>
      </c>
      <c r="E12" s="14" t="s">
        <v>52</v>
      </c>
      <c r="F12" s="14" t="s">
        <v>53</v>
      </c>
      <c r="G12" s="14" t="s">
        <v>54</v>
      </c>
      <c r="H12" s="14" t="s">
        <v>56</v>
      </c>
      <c r="I12" s="14" t="s">
        <v>55</v>
      </c>
      <c r="J12" s="14" t="s">
        <v>57</v>
      </c>
      <c r="K12" s="14" t="s">
        <v>65</v>
      </c>
    </row>
    <row r="13" spans="1:12" ht="15.75" thickTop="1" x14ac:dyDescent="0.25">
      <c r="B13" s="26" t="s">
        <v>8</v>
      </c>
      <c r="C13" s="9" t="s">
        <v>59</v>
      </c>
      <c r="D13" s="10"/>
      <c r="E13" s="10"/>
      <c r="F13" s="10"/>
      <c r="G13" s="10"/>
      <c r="H13" s="10"/>
      <c r="I13" s="10"/>
      <c r="J13" s="10"/>
      <c r="K13" s="19">
        <f>SUM(D13:J13)</f>
        <v>0</v>
      </c>
    </row>
    <row r="14" spans="1:12" ht="15.75" thickBot="1" x14ac:dyDescent="0.3">
      <c r="B14" s="27"/>
      <c r="C14" s="11" t="s">
        <v>61</v>
      </c>
      <c r="D14" s="12"/>
      <c r="E14" s="12"/>
      <c r="F14" s="12"/>
      <c r="G14" s="12"/>
      <c r="H14" s="12"/>
      <c r="I14" s="12"/>
      <c r="J14" s="12"/>
      <c r="K14" s="20">
        <f t="shared" ref="K14:K16" si="0">SUM(D14:J14)</f>
        <v>0</v>
      </c>
    </row>
    <row r="15" spans="1:12" ht="15.75" thickTop="1" x14ac:dyDescent="0.25">
      <c r="B15" s="26" t="s">
        <v>63</v>
      </c>
      <c r="C15" s="9" t="s">
        <v>59</v>
      </c>
      <c r="D15" s="10"/>
      <c r="E15" s="10"/>
      <c r="F15" s="10"/>
      <c r="G15" s="10"/>
      <c r="H15" s="10"/>
      <c r="I15" s="10"/>
      <c r="J15" s="10"/>
      <c r="K15" s="19">
        <f t="shared" si="0"/>
        <v>0</v>
      </c>
    </row>
    <row r="16" spans="1:12" ht="15.75" thickBot="1" x14ac:dyDescent="0.3">
      <c r="B16" s="27"/>
      <c r="C16" s="11" t="s">
        <v>61</v>
      </c>
      <c r="D16" s="12"/>
      <c r="E16" s="12"/>
      <c r="F16" s="12"/>
      <c r="G16" s="12"/>
      <c r="H16" s="12"/>
      <c r="I16" s="12"/>
      <c r="J16" s="12"/>
      <c r="K16" s="20">
        <f t="shared" si="0"/>
        <v>0</v>
      </c>
    </row>
    <row r="17" spans="1:11" ht="15.75" thickTop="1" x14ac:dyDescent="0.25">
      <c r="B17" s="28" t="s">
        <v>64</v>
      </c>
      <c r="C17" s="9" t="s">
        <v>59</v>
      </c>
      <c r="D17" s="16" t="e">
        <f t="shared" ref="D17:K18" si="1">D15/D13</f>
        <v>#DIV/0!</v>
      </c>
      <c r="E17" s="16" t="e">
        <f t="shared" si="1"/>
        <v>#DIV/0!</v>
      </c>
      <c r="F17" s="16" t="e">
        <f t="shared" si="1"/>
        <v>#DIV/0!</v>
      </c>
      <c r="G17" s="16" t="e">
        <f t="shared" si="1"/>
        <v>#DIV/0!</v>
      </c>
      <c r="H17" s="16" t="e">
        <f t="shared" si="1"/>
        <v>#DIV/0!</v>
      </c>
      <c r="I17" s="16" t="e">
        <f t="shared" si="1"/>
        <v>#DIV/0!</v>
      </c>
      <c r="J17" s="16" t="e">
        <f t="shared" si="1"/>
        <v>#DIV/0!</v>
      </c>
      <c r="K17" s="21" t="e">
        <f t="shared" si="1"/>
        <v>#DIV/0!</v>
      </c>
    </row>
    <row r="18" spans="1:11" ht="15.75" thickBot="1" x14ac:dyDescent="0.3">
      <c r="B18" s="29"/>
      <c r="C18" s="11" t="s">
        <v>61</v>
      </c>
      <c r="D18" s="17" t="e">
        <f t="shared" si="1"/>
        <v>#DIV/0!</v>
      </c>
      <c r="E18" s="17" t="e">
        <f t="shared" si="1"/>
        <v>#DIV/0!</v>
      </c>
      <c r="F18" s="17" t="e">
        <f t="shared" si="1"/>
        <v>#DIV/0!</v>
      </c>
      <c r="G18" s="17" t="e">
        <f t="shared" si="1"/>
        <v>#DIV/0!</v>
      </c>
      <c r="H18" s="17" t="e">
        <f t="shared" si="1"/>
        <v>#DIV/0!</v>
      </c>
      <c r="I18" s="17" t="e">
        <f t="shared" si="1"/>
        <v>#DIV/0!</v>
      </c>
      <c r="J18" s="17" t="e">
        <f t="shared" si="1"/>
        <v>#DIV/0!</v>
      </c>
      <c r="K18" s="22" t="e">
        <f t="shared" si="1"/>
        <v>#DIV/0!</v>
      </c>
    </row>
    <row r="19" spans="1:11" ht="15.75" thickTop="1" x14ac:dyDescent="0.25">
      <c r="C19" s="2">
        <v>0</v>
      </c>
      <c r="D19" s="2">
        <v>1</v>
      </c>
      <c r="E19" s="2">
        <v>2</v>
      </c>
      <c r="F19" s="2">
        <v>3</v>
      </c>
      <c r="G19" s="2">
        <v>4</v>
      </c>
      <c r="H19" s="2">
        <v>5</v>
      </c>
      <c r="I19" s="2">
        <v>6</v>
      </c>
      <c r="J19" s="2">
        <v>7</v>
      </c>
    </row>
    <row r="20" spans="1:11" x14ac:dyDescent="0.25">
      <c r="A20" s="4">
        <v>9</v>
      </c>
      <c r="B20" s="3" t="s">
        <v>60</v>
      </c>
      <c r="C20" s="25">
        <f>VLOOKUP($A$20+C19,Setup!$P:$R,2,0)</f>
        <v>44022</v>
      </c>
      <c r="D20" s="25">
        <f>VLOOKUP($A$20+D19,Setup!$P:$R,2,0)</f>
        <v>44023</v>
      </c>
      <c r="E20" s="25">
        <f>VLOOKUP($A$20+E19,Setup!$P:$R,2,0)</f>
        <v>44025</v>
      </c>
      <c r="F20" s="25">
        <f>VLOOKUP($A$20+F19,Setup!$P:$R,2,0)</f>
        <v>44026</v>
      </c>
      <c r="G20" s="25">
        <f>VLOOKUP($A$20+G19,Setup!$P:$R,2,0)</f>
        <v>44027</v>
      </c>
      <c r="H20" s="25">
        <f>VLOOKUP($A$20+H19,Setup!$P:$R,2,0)</f>
        <v>44028</v>
      </c>
      <c r="I20" s="25">
        <f>VLOOKUP($A$20+I19,Setup!$P:$R,2,0)</f>
        <v>44029</v>
      </c>
      <c r="J20" s="25">
        <f>VLOOKUP($A$20+J19,Setup!$P:$R,2,0)</f>
        <v>44030</v>
      </c>
    </row>
    <row r="21" spans="1:11" x14ac:dyDescent="0.25">
      <c r="B21" s="2" t="s">
        <v>66</v>
      </c>
      <c r="C21" s="2">
        <f>VLOOKUP($A$20+C19,Setup!$P:$R,3,0)</f>
        <v>30</v>
      </c>
      <c r="D21" s="2">
        <f>VLOOKUP($A$20+D19,Setup!$P:$R,3,0)</f>
        <v>31</v>
      </c>
      <c r="E21" s="2">
        <f>VLOOKUP($A$20+E19,Setup!$P:$R,3,0)</f>
        <v>32</v>
      </c>
      <c r="F21" s="2">
        <f>VLOOKUP($A$20+F19,Setup!$P:$R,3,0)</f>
        <v>33</v>
      </c>
      <c r="G21" s="2">
        <f>VLOOKUP($A$20+G19,Setup!$P:$R,3,0)</f>
        <v>34</v>
      </c>
      <c r="H21" s="2">
        <f>VLOOKUP($A$20+H19,Setup!$P:$R,3,0)</f>
        <v>35</v>
      </c>
      <c r="I21" s="2">
        <f>VLOOKUP($A$20+I19,Setup!$P:$R,3,0)</f>
        <v>36</v>
      </c>
      <c r="J21" s="2">
        <f>VLOOKUP($A$20+J19,Setup!$P:$R,3,0)</f>
        <v>37</v>
      </c>
    </row>
  </sheetData>
  <mergeCells count="7">
    <mergeCell ref="B15:B16"/>
    <mergeCell ref="B17:B18"/>
    <mergeCell ref="D8:D9"/>
    <mergeCell ref="F8:G9"/>
    <mergeCell ref="I8:I9"/>
    <mergeCell ref="B12:C12"/>
    <mergeCell ref="B13:B14"/>
  </mergeCells>
  <conditionalFormatting sqref="D8">
    <cfRule type="iconSet" priority="7">
      <iconSet iconSet="3TrafficLights2">
        <cfvo type="percent" val="0"/>
        <cfvo type="num" val="$H$8"/>
        <cfvo type="num" val="$H$8" gte="0"/>
      </iconSet>
    </cfRule>
  </conditionalFormatting>
  <conditionalFormatting sqref="I8">
    <cfRule type="iconSet" priority="8">
      <iconSet iconSet="3TrafficLights2" reverse="1">
        <cfvo type="percent" val="0"/>
        <cfvo type="num" val="$H$9"/>
        <cfvo type="num" val="$H$9" gte="0"/>
      </iconSe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70" r:id="rId4" name="OptionButton10">
          <controlPr defaultSize="0" autoLine="0" linkedCell="K9" r:id="rId5">
            <anchor moveWithCells="1">
              <from>
                <xdr:col>7</xdr:col>
                <xdr:colOff>352425</xdr:colOff>
                <xdr:row>4</xdr:row>
                <xdr:rowOff>57150</xdr:rowOff>
              </from>
              <to>
                <xdr:col>7</xdr:col>
                <xdr:colOff>714375</xdr:colOff>
                <xdr:row>5</xdr:row>
                <xdr:rowOff>104775</xdr:rowOff>
              </to>
            </anchor>
          </controlPr>
        </control>
      </mc:Choice>
      <mc:Fallback>
        <control shapeId="1070" r:id="rId4" name="OptionButton10"/>
      </mc:Fallback>
    </mc:AlternateContent>
    <mc:AlternateContent xmlns:mc="http://schemas.openxmlformats.org/markup-compatibility/2006">
      <mc:Choice Requires="x14">
        <control shapeId="1069" r:id="rId6" name="OptionButton9">
          <controlPr defaultSize="0" autoLine="0" linkedCell="K8" r:id="rId7">
            <anchor moveWithCells="1">
              <from>
                <xdr:col>6</xdr:col>
                <xdr:colOff>733425</xdr:colOff>
                <xdr:row>4</xdr:row>
                <xdr:rowOff>57150</xdr:rowOff>
              </from>
              <to>
                <xdr:col>6</xdr:col>
                <xdr:colOff>1095375</xdr:colOff>
                <xdr:row>5</xdr:row>
                <xdr:rowOff>104775</xdr:rowOff>
              </to>
            </anchor>
          </controlPr>
        </control>
      </mc:Choice>
      <mc:Fallback>
        <control shapeId="1069" r:id="rId6" name="OptionButton9"/>
      </mc:Fallback>
    </mc:AlternateContent>
    <mc:AlternateContent xmlns:mc="http://schemas.openxmlformats.org/markup-compatibility/2006">
      <mc:Choice Requires="x14">
        <control shapeId="1068" r:id="rId8" name="OptionButton8">
          <controlPr defaultSize="0" autoLine="0" linkedCell="J9" r:id="rId9">
            <anchor moveWithCells="1">
              <from>
                <xdr:col>5</xdr:col>
                <xdr:colOff>1028700</xdr:colOff>
                <xdr:row>4</xdr:row>
                <xdr:rowOff>57150</xdr:rowOff>
              </from>
              <to>
                <xdr:col>6</xdr:col>
                <xdr:colOff>142875</xdr:colOff>
                <xdr:row>5</xdr:row>
                <xdr:rowOff>104775</xdr:rowOff>
              </to>
            </anchor>
          </controlPr>
        </control>
      </mc:Choice>
      <mc:Fallback>
        <control shapeId="1068" r:id="rId8" name="OptionButton8"/>
      </mc:Fallback>
    </mc:AlternateContent>
    <mc:AlternateContent xmlns:mc="http://schemas.openxmlformats.org/markup-compatibility/2006">
      <mc:Choice Requires="x14">
        <control shapeId="1067" r:id="rId10" name="OptionButton7">
          <controlPr defaultSize="0" autoLine="0" linkedCell="J8" r:id="rId11">
            <anchor moveWithCells="1">
              <from>
                <xdr:col>5</xdr:col>
                <xdr:colOff>152400</xdr:colOff>
                <xdr:row>4</xdr:row>
                <xdr:rowOff>57150</xdr:rowOff>
              </from>
              <to>
                <xdr:col>5</xdr:col>
                <xdr:colOff>514350</xdr:colOff>
                <xdr:row>5</xdr:row>
                <xdr:rowOff>104775</xdr:rowOff>
              </to>
            </anchor>
          </controlPr>
        </control>
      </mc:Choice>
      <mc:Fallback>
        <control shapeId="1067" r:id="rId10" name="OptionButton7"/>
      </mc:Fallback>
    </mc:AlternateContent>
    <mc:AlternateContent xmlns:mc="http://schemas.openxmlformats.org/markup-compatibility/2006">
      <mc:Choice Requires="x14">
        <control shapeId="1063" r:id="rId12" name="OptionButton6">
          <controlPr defaultSize="0" autoLine="0" linkedCell="L4" r:id="rId13">
            <anchor moveWithCells="1">
              <from>
                <xdr:col>8</xdr:col>
                <xdr:colOff>981075</xdr:colOff>
                <xdr:row>4</xdr:row>
                <xdr:rowOff>47625</xdr:rowOff>
              </from>
              <to>
                <xdr:col>9</xdr:col>
                <xdr:colOff>95250</xdr:colOff>
                <xdr:row>5</xdr:row>
                <xdr:rowOff>95250</xdr:rowOff>
              </to>
            </anchor>
          </controlPr>
        </control>
      </mc:Choice>
      <mc:Fallback>
        <control shapeId="1063" r:id="rId12" name="OptionButton6"/>
      </mc:Fallback>
    </mc:AlternateContent>
    <mc:AlternateContent xmlns:mc="http://schemas.openxmlformats.org/markup-compatibility/2006">
      <mc:Choice Requires="x14">
        <control shapeId="1062" r:id="rId14" name="OptionButton5">
          <controlPr defaultSize="0" autoLine="0" linkedCell="K4" r:id="rId15">
            <anchor moveWithCells="1">
              <from>
                <xdr:col>8</xdr:col>
                <xdr:colOff>361950</xdr:colOff>
                <xdr:row>4</xdr:row>
                <xdr:rowOff>47625</xdr:rowOff>
              </from>
              <to>
                <xdr:col>8</xdr:col>
                <xdr:colOff>723900</xdr:colOff>
                <xdr:row>5</xdr:row>
                <xdr:rowOff>95250</xdr:rowOff>
              </to>
            </anchor>
          </controlPr>
        </control>
      </mc:Choice>
      <mc:Fallback>
        <control shapeId="1062" r:id="rId14" name="OptionButton5"/>
      </mc:Fallback>
    </mc:AlternateContent>
    <mc:AlternateContent xmlns:mc="http://schemas.openxmlformats.org/markup-compatibility/2006">
      <mc:Choice Requires="x14">
        <control shapeId="1061" r:id="rId16" name="OptionButton4">
          <controlPr defaultSize="0" autoLine="0" autoPict="0" linkedCell="J4" r:id="rId17">
            <anchor moveWithCells="1">
              <from>
                <xdr:col>7</xdr:col>
                <xdr:colOff>933450</xdr:colOff>
                <xdr:row>4</xdr:row>
                <xdr:rowOff>47625</xdr:rowOff>
              </from>
              <to>
                <xdr:col>8</xdr:col>
                <xdr:colOff>47625</xdr:colOff>
                <xdr:row>5</xdr:row>
                <xdr:rowOff>95250</xdr:rowOff>
              </to>
            </anchor>
          </controlPr>
        </control>
      </mc:Choice>
      <mc:Fallback>
        <control shapeId="1061" r:id="rId16" name="OptionButton4"/>
      </mc:Fallback>
    </mc:AlternateContent>
    <mc:AlternateContent xmlns:mc="http://schemas.openxmlformats.org/markup-compatibility/2006">
      <mc:Choice Requires="x14">
        <control shapeId="1060" r:id="rId18" name="OptionButton3">
          <controlPr defaultSize="0" autoLine="0" autoPict="0" linkedCell="L3" r:id="rId19">
            <anchor moveWithCells="1">
              <from>
                <xdr:col>10</xdr:col>
                <xdr:colOff>295275</xdr:colOff>
                <xdr:row>4</xdr:row>
                <xdr:rowOff>47625</xdr:rowOff>
              </from>
              <to>
                <xdr:col>10</xdr:col>
                <xdr:colOff>657225</xdr:colOff>
                <xdr:row>5</xdr:row>
                <xdr:rowOff>95250</xdr:rowOff>
              </to>
            </anchor>
          </controlPr>
        </control>
      </mc:Choice>
      <mc:Fallback>
        <control shapeId="1060" r:id="rId18" name="OptionButton3"/>
      </mc:Fallback>
    </mc:AlternateContent>
    <mc:AlternateContent xmlns:mc="http://schemas.openxmlformats.org/markup-compatibility/2006">
      <mc:Choice Requires="x14">
        <control shapeId="1059" r:id="rId20" name="OptionButton2">
          <controlPr defaultSize="0" autoLine="0" autoPict="0" linkedCell="K3" r:id="rId21">
            <anchor moveWithCells="1">
              <from>
                <xdr:col>9</xdr:col>
                <xdr:colOff>942975</xdr:colOff>
                <xdr:row>4</xdr:row>
                <xdr:rowOff>47625</xdr:rowOff>
              </from>
              <to>
                <xdr:col>10</xdr:col>
                <xdr:colOff>57150</xdr:colOff>
                <xdr:row>5</xdr:row>
                <xdr:rowOff>95250</xdr:rowOff>
              </to>
            </anchor>
          </controlPr>
        </control>
      </mc:Choice>
      <mc:Fallback>
        <control shapeId="1059" r:id="rId20" name="OptionButton2"/>
      </mc:Fallback>
    </mc:AlternateContent>
    <mc:AlternateContent xmlns:mc="http://schemas.openxmlformats.org/markup-compatibility/2006">
      <mc:Choice Requires="x14">
        <control shapeId="1058" r:id="rId22" name="OptionButton1">
          <controlPr defaultSize="0" autoLine="0" autoPict="0" linkedCell="J3" r:id="rId23">
            <anchor moveWithCells="1">
              <from>
                <xdr:col>9</xdr:col>
                <xdr:colOff>295275</xdr:colOff>
                <xdr:row>4</xdr:row>
                <xdr:rowOff>47625</xdr:rowOff>
              </from>
              <to>
                <xdr:col>9</xdr:col>
                <xdr:colOff>657225</xdr:colOff>
                <xdr:row>5</xdr:row>
                <xdr:rowOff>95250</xdr:rowOff>
              </to>
            </anchor>
          </controlPr>
        </control>
      </mc:Choice>
      <mc:Fallback>
        <control shapeId="1058" r:id="rId22" name="OptionButton1"/>
      </mc:Fallback>
    </mc:AlternateContent>
    <mc:AlternateContent xmlns:mc="http://schemas.openxmlformats.org/markup-compatibility/2006">
      <mc:Choice Requires="x14">
        <control shapeId="1049" r:id="rId24" name="ScrollBar1">
          <controlPr defaultSize="0" autoLine="0" linkedCell="A20" r:id="rId25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11</xdr:col>
                <xdr:colOff>9525</xdr:colOff>
                <xdr:row>28</xdr:row>
                <xdr:rowOff>0</xdr:rowOff>
              </to>
            </anchor>
          </controlPr>
        </control>
      </mc:Choice>
      <mc:Fallback>
        <control shapeId="1049" r:id="rId24" name="ScrollBar1"/>
      </mc:Fallback>
    </mc:AlternateContent>
    <mc:AlternateContent xmlns:mc="http://schemas.openxmlformats.org/markup-compatibility/2006">
      <mc:Choice Requires="x14">
        <control shapeId="1037" r:id="rId26" name="Drop Down 13">
          <controlPr defaultSize="0" autoLine="0" autoPict="0">
            <anchor moveWithCells="1">
              <from>
                <xdr:col>1</xdr:col>
                <xdr:colOff>771525</xdr:colOff>
                <xdr:row>4</xdr:row>
                <xdr:rowOff>66675</xdr:rowOff>
              </from>
              <to>
                <xdr:col>2</xdr:col>
                <xdr:colOff>600075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27" name="Drop Down 14">
          <controlPr defaultSize="0" autoLine="0" autoPict="0">
            <anchor moveWithCells="1">
              <from>
                <xdr:col>2</xdr:col>
                <xdr:colOff>1104900</xdr:colOff>
                <xdr:row>4</xdr:row>
                <xdr:rowOff>66675</xdr:rowOff>
              </from>
              <to>
                <xdr:col>3</xdr:col>
                <xdr:colOff>933450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28" name="Drop Down 16">
          <controlPr defaultSize="0" autoLine="0" autoPict="0">
            <anchor moveWithCells="1">
              <from>
                <xdr:col>4</xdr:col>
                <xdr:colOff>142875</xdr:colOff>
                <xdr:row>4</xdr:row>
                <xdr:rowOff>66675</xdr:rowOff>
              </from>
              <to>
                <xdr:col>4</xdr:col>
                <xdr:colOff>1219200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9" name="Group Box 17">
          <controlPr defaultSize="0" autoFill="0" autoPict="0">
            <anchor moveWithCells="1">
              <from>
                <xdr:col>1</xdr:col>
                <xdr:colOff>466725</xdr:colOff>
                <xdr:row>4</xdr:row>
                <xdr:rowOff>0</xdr:rowOff>
              </from>
              <to>
                <xdr:col>5</xdr:col>
                <xdr:colOff>47625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30" name="Group Box 26">
          <controlPr defaultSize="0" autoFill="0" autoPict="0">
            <anchor moveWithCells="1">
              <from>
                <xdr:col>9</xdr:col>
                <xdr:colOff>266700</xdr:colOff>
                <xdr:row>4</xdr:row>
                <xdr:rowOff>0</xdr:rowOff>
              </from>
              <to>
                <xdr:col>10</xdr:col>
                <xdr:colOff>742950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31" name="Group Box 27">
          <controlPr defaultSize="0" autoFill="0" autoPict="0">
            <anchor moveWithCells="1">
              <from>
                <xdr:col>5</xdr:col>
                <xdr:colOff>152400</xdr:colOff>
                <xdr:row>4</xdr:row>
                <xdr:rowOff>0</xdr:rowOff>
              </from>
              <to>
                <xdr:col>7</xdr:col>
                <xdr:colOff>781050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32" name="Group Box 47">
          <controlPr defaultSize="0" autoFill="0" autoPict="0">
            <anchor moveWithCells="1">
              <from>
                <xdr:col>7</xdr:col>
                <xdr:colOff>904875</xdr:colOff>
                <xdr:row>4</xdr:row>
                <xdr:rowOff>0</xdr:rowOff>
              </from>
              <to>
                <xdr:col>9</xdr:col>
                <xdr:colOff>133350</xdr:colOff>
                <xdr:row>5</xdr:row>
                <xdr:rowOff>104775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28"/>
  <sheetViews>
    <sheetView showGridLines="0" workbookViewId="0"/>
  </sheetViews>
  <sheetFormatPr defaultRowHeight="15" x14ac:dyDescent="0.25"/>
  <cols>
    <col min="17" max="17" width="10.7109375" style="6" bestFit="1" customWidth="1"/>
  </cols>
  <sheetData>
    <row r="1" spans="1:18" x14ac:dyDescent="0.25">
      <c r="A1" s="1"/>
      <c r="B1" s="1" t="s">
        <v>2</v>
      </c>
      <c r="D1" s="1" t="s">
        <v>48</v>
      </c>
      <c r="F1" s="1" t="s">
        <v>50</v>
      </c>
      <c r="H1" s="1" t="s">
        <v>49</v>
      </c>
      <c r="J1" s="1" t="s">
        <v>13</v>
      </c>
      <c r="L1" s="1" t="s">
        <v>14</v>
      </c>
      <c r="N1" s="1" t="s">
        <v>58</v>
      </c>
      <c r="P1" s="1">
        <f>MAX(P2:P28)</f>
        <v>27</v>
      </c>
      <c r="Q1" s="7" t="s">
        <v>60</v>
      </c>
      <c r="R1" s="1" t="str">
        <f>IF(Summary!J8=TRUE,"Collections",IF(Summary!J9=TRUE,"Bad Debts",IF(Summary!K8=TRUE,"PMSR","CMSR")))</f>
        <v>Bad Debts</v>
      </c>
    </row>
    <row r="2" spans="1:18" x14ac:dyDescent="0.25">
      <c r="A2">
        <v>1</v>
      </c>
      <c r="B2" t="s">
        <v>12</v>
      </c>
      <c r="C2">
        <v>1</v>
      </c>
      <c r="D2" t="s">
        <v>12</v>
      </c>
      <c r="E2">
        <v>1</v>
      </c>
      <c r="F2" t="s">
        <v>12</v>
      </c>
      <c r="G2">
        <v>1</v>
      </c>
      <c r="H2" t="s">
        <v>12</v>
      </c>
      <c r="I2">
        <v>1</v>
      </c>
      <c r="J2" t="s">
        <v>12</v>
      </c>
      <c r="K2">
        <v>1</v>
      </c>
      <c r="L2" t="s">
        <v>12</v>
      </c>
      <c r="M2">
        <v>1</v>
      </c>
      <c r="N2" t="s">
        <v>12</v>
      </c>
      <c r="P2">
        <v>1</v>
      </c>
      <c r="Q2" s="6">
        <v>44013</v>
      </c>
      <c r="R2">
        <v>15</v>
      </c>
    </row>
    <row r="3" spans="1:18" x14ac:dyDescent="0.25">
      <c r="A3">
        <f>A2+1</f>
        <v>2</v>
      </c>
      <c r="B3" t="s">
        <v>67</v>
      </c>
      <c r="C3">
        <f>C2+1</f>
        <v>2</v>
      </c>
      <c r="D3" t="s">
        <v>67</v>
      </c>
      <c r="E3">
        <f>E2+1</f>
        <v>2</v>
      </c>
      <c r="F3" t="s">
        <v>67</v>
      </c>
      <c r="G3">
        <f>G2+1</f>
        <v>2</v>
      </c>
      <c r="H3" t="s">
        <v>67</v>
      </c>
      <c r="I3">
        <f>I2+1</f>
        <v>2</v>
      </c>
      <c r="J3" t="s">
        <v>67</v>
      </c>
      <c r="K3">
        <f>K2+1</f>
        <v>2</v>
      </c>
      <c r="L3" t="s">
        <v>19</v>
      </c>
      <c r="M3">
        <f>M2+1</f>
        <v>2</v>
      </c>
      <c r="N3" t="s">
        <v>67</v>
      </c>
      <c r="P3">
        <f>P2+1</f>
        <v>2</v>
      </c>
      <c r="Q3" s="6">
        <f>Q2+1</f>
        <v>44014</v>
      </c>
      <c r="R3">
        <f>R2+2</f>
        <v>17</v>
      </c>
    </row>
    <row r="4" spans="1:18" x14ac:dyDescent="0.25">
      <c r="A4">
        <f t="shared" ref="A4:G9" si="0">A3+1</f>
        <v>3</v>
      </c>
      <c r="B4" t="s">
        <v>68</v>
      </c>
      <c r="C4">
        <f t="shared" si="0"/>
        <v>3</v>
      </c>
      <c r="D4" t="s">
        <v>68</v>
      </c>
      <c r="E4">
        <f t="shared" si="0"/>
        <v>3</v>
      </c>
      <c r="F4" t="s">
        <v>68</v>
      </c>
      <c r="G4">
        <f t="shared" si="0"/>
        <v>3</v>
      </c>
      <c r="H4" t="s">
        <v>68</v>
      </c>
      <c r="I4">
        <f t="shared" ref="I4:K4" si="1">I3+1</f>
        <v>3</v>
      </c>
      <c r="J4" t="s">
        <v>68</v>
      </c>
      <c r="K4">
        <f t="shared" si="1"/>
        <v>3</v>
      </c>
      <c r="L4" t="s">
        <v>20</v>
      </c>
      <c r="M4">
        <f t="shared" ref="M4:M9" si="2">M3+1</f>
        <v>3</v>
      </c>
      <c r="N4" t="s">
        <v>68</v>
      </c>
      <c r="P4">
        <f t="shared" ref="P4:P28" si="3">P3+1</f>
        <v>3</v>
      </c>
      <c r="Q4" s="6">
        <f t="shared" ref="Q4:Q5" si="4">Q3+1</f>
        <v>44015</v>
      </c>
      <c r="R4">
        <f t="shared" ref="R4:R9" si="5">R3+2</f>
        <v>19</v>
      </c>
    </row>
    <row r="5" spans="1:18" x14ac:dyDescent="0.25">
      <c r="A5">
        <f t="shared" si="0"/>
        <v>4</v>
      </c>
      <c r="B5" t="s">
        <v>69</v>
      </c>
      <c r="C5">
        <f t="shared" si="0"/>
        <v>4</v>
      </c>
      <c r="D5" t="s">
        <v>69</v>
      </c>
      <c r="G5">
        <f t="shared" si="0"/>
        <v>4</v>
      </c>
      <c r="H5" t="s">
        <v>69</v>
      </c>
      <c r="I5">
        <f t="shared" ref="I5" si="6">I4+1</f>
        <v>4</v>
      </c>
      <c r="J5" t="s">
        <v>69</v>
      </c>
      <c r="M5">
        <f t="shared" si="2"/>
        <v>4</v>
      </c>
      <c r="N5" t="s">
        <v>69</v>
      </c>
      <c r="P5">
        <f t="shared" si="3"/>
        <v>4</v>
      </c>
      <c r="Q5" s="6">
        <f t="shared" si="4"/>
        <v>44016</v>
      </c>
      <c r="R5">
        <f t="shared" si="5"/>
        <v>21</v>
      </c>
    </row>
    <row r="6" spans="1:18" x14ac:dyDescent="0.25">
      <c r="A6">
        <f t="shared" si="0"/>
        <v>5</v>
      </c>
      <c r="B6" t="s">
        <v>70</v>
      </c>
      <c r="C6">
        <f t="shared" si="0"/>
        <v>5</v>
      </c>
      <c r="D6" t="s">
        <v>70</v>
      </c>
      <c r="G6">
        <f t="shared" si="0"/>
        <v>5</v>
      </c>
      <c r="H6" t="s">
        <v>70</v>
      </c>
      <c r="I6">
        <f t="shared" ref="I6" si="7">I5+1</f>
        <v>5</v>
      </c>
      <c r="J6" t="s">
        <v>70</v>
      </c>
      <c r="M6">
        <f t="shared" si="2"/>
        <v>5</v>
      </c>
      <c r="N6" t="s">
        <v>70</v>
      </c>
      <c r="P6">
        <f t="shared" si="3"/>
        <v>5</v>
      </c>
      <c r="Q6" s="6">
        <v>44018</v>
      </c>
      <c r="R6">
        <f t="shared" si="5"/>
        <v>23</v>
      </c>
    </row>
    <row r="7" spans="1:18" x14ac:dyDescent="0.25">
      <c r="A7">
        <f t="shared" si="0"/>
        <v>6</v>
      </c>
      <c r="B7" t="s">
        <v>71</v>
      </c>
      <c r="C7">
        <f t="shared" si="0"/>
        <v>6</v>
      </c>
      <c r="D7" t="s">
        <v>71</v>
      </c>
      <c r="G7">
        <f t="shared" si="0"/>
        <v>6</v>
      </c>
      <c r="H7" t="s">
        <v>71</v>
      </c>
      <c r="I7">
        <f t="shared" ref="I7:I9" si="8">I6+1</f>
        <v>6</v>
      </c>
      <c r="J7" t="s">
        <v>71</v>
      </c>
      <c r="M7">
        <f t="shared" si="2"/>
        <v>6</v>
      </c>
      <c r="N7" t="s">
        <v>71</v>
      </c>
      <c r="P7">
        <f t="shared" si="3"/>
        <v>6</v>
      </c>
      <c r="Q7" s="6">
        <f>Q6+1</f>
        <v>44019</v>
      </c>
      <c r="R7">
        <f t="shared" si="5"/>
        <v>25</v>
      </c>
    </row>
    <row r="8" spans="1:18" x14ac:dyDescent="0.25">
      <c r="C8">
        <f t="shared" si="0"/>
        <v>7</v>
      </c>
      <c r="D8" t="s">
        <v>72</v>
      </c>
      <c r="I8">
        <f t="shared" si="8"/>
        <v>7</v>
      </c>
      <c r="J8" t="s">
        <v>72</v>
      </c>
      <c r="M8">
        <f t="shared" si="2"/>
        <v>7</v>
      </c>
      <c r="N8" t="s">
        <v>72</v>
      </c>
      <c r="P8">
        <f t="shared" si="3"/>
        <v>7</v>
      </c>
      <c r="Q8" s="6">
        <f t="shared" ref="Q8:R11" si="9">Q7+1</f>
        <v>44020</v>
      </c>
      <c r="R8">
        <f t="shared" si="5"/>
        <v>27</v>
      </c>
    </row>
    <row r="9" spans="1:18" x14ac:dyDescent="0.25">
      <c r="C9">
        <f t="shared" si="0"/>
        <v>8</v>
      </c>
      <c r="D9" t="s">
        <v>73</v>
      </c>
      <c r="I9">
        <f t="shared" si="8"/>
        <v>8</v>
      </c>
      <c r="J9" t="s">
        <v>73</v>
      </c>
      <c r="M9">
        <f t="shared" si="2"/>
        <v>8</v>
      </c>
      <c r="N9" t="s">
        <v>73</v>
      </c>
      <c r="P9">
        <f t="shared" si="3"/>
        <v>8</v>
      </c>
      <c r="Q9" s="6">
        <f t="shared" si="9"/>
        <v>44021</v>
      </c>
      <c r="R9">
        <f t="shared" si="5"/>
        <v>29</v>
      </c>
    </row>
    <row r="10" spans="1:18" x14ac:dyDescent="0.25">
      <c r="P10">
        <f t="shared" si="3"/>
        <v>9</v>
      </c>
      <c r="Q10" s="6">
        <f t="shared" si="9"/>
        <v>44022</v>
      </c>
      <c r="R10">
        <f>R9+1</f>
        <v>30</v>
      </c>
    </row>
    <row r="11" spans="1:18" x14ac:dyDescent="0.25">
      <c r="P11">
        <f t="shared" si="3"/>
        <v>10</v>
      </c>
      <c r="Q11" s="6">
        <f t="shared" si="9"/>
        <v>44023</v>
      </c>
      <c r="R11">
        <f t="shared" si="9"/>
        <v>31</v>
      </c>
    </row>
    <row r="12" spans="1:18" x14ac:dyDescent="0.25">
      <c r="P12">
        <f t="shared" si="3"/>
        <v>11</v>
      </c>
      <c r="Q12" s="6">
        <v>44025</v>
      </c>
      <c r="R12">
        <f t="shared" ref="R12:R14" si="10">R11+1</f>
        <v>32</v>
      </c>
    </row>
    <row r="13" spans="1:18" x14ac:dyDescent="0.25">
      <c r="P13">
        <f t="shared" si="3"/>
        <v>12</v>
      </c>
      <c r="Q13" s="6">
        <f>Q12+1</f>
        <v>44026</v>
      </c>
      <c r="R13">
        <f t="shared" si="10"/>
        <v>33</v>
      </c>
    </row>
    <row r="14" spans="1:18" x14ac:dyDescent="0.25">
      <c r="P14">
        <f t="shared" si="3"/>
        <v>13</v>
      </c>
      <c r="Q14" s="6">
        <f t="shared" ref="Q14:R17" si="11">Q13+1</f>
        <v>44027</v>
      </c>
      <c r="R14">
        <f t="shared" si="10"/>
        <v>34</v>
      </c>
    </row>
    <row r="15" spans="1:18" x14ac:dyDescent="0.25">
      <c r="P15">
        <f t="shared" si="3"/>
        <v>14</v>
      </c>
      <c r="Q15" s="6">
        <f t="shared" si="11"/>
        <v>44028</v>
      </c>
      <c r="R15">
        <f>R14+1</f>
        <v>35</v>
      </c>
    </row>
    <row r="16" spans="1:18" x14ac:dyDescent="0.25">
      <c r="P16">
        <f t="shared" si="3"/>
        <v>15</v>
      </c>
      <c r="Q16" s="6">
        <f t="shared" si="11"/>
        <v>44029</v>
      </c>
      <c r="R16">
        <f t="shared" si="11"/>
        <v>36</v>
      </c>
    </row>
    <row r="17" spans="16:18" x14ac:dyDescent="0.25">
      <c r="P17">
        <f t="shared" si="3"/>
        <v>16</v>
      </c>
      <c r="Q17" s="6">
        <f t="shared" si="11"/>
        <v>44030</v>
      </c>
      <c r="R17">
        <f t="shared" si="11"/>
        <v>37</v>
      </c>
    </row>
    <row r="18" spans="16:18" x14ac:dyDescent="0.25">
      <c r="P18">
        <f t="shared" si="3"/>
        <v>17</v>
      </c>
      <c r="Q18" s="6">
        <v>44032</v>
      </c>
      <c r="R18">
        <f t="shared" ref="R18:R28" si="12">R17+1</f>
        <v>38</v>
      </c>
    </row>
    <row r="19" spans="16:18" x14ac:dyDescent="0.25">
      <c r="P19">
        <f t="shared" si="3"/>
        <v>18</v>
      </c>
      <c r="Q19" s="6">
        <f>Q18+1</f>
        <v>44033</v>
      </c>
      <c r="R19">
        <f t="shared" si="12"/>
        <v>39</v>
      </c>
    </row>
    <row r="20" spans="16:18" x14ac:dyDescent="0.25">
      <c r="P20">
        <f t="shared" si="3"/>
        <v>19</v>
      </c>
      <c r="Q20" s="6">
        <f t="shared" ref="Q20:Q23" si="13">Q19+1</f>
        <v>44034</v>
      </c>
      <c r="R20">
        <f t="shared" si="12"/>
        <v>40</v>
      </c>
    </row>
    <row r="21" spans="16:18" x14ac:dyDescent="0.25">
      <c r="P21">
        <f t="shared" si="3"/>
        <v>20</v>
      </c>
      <c r="Q21" s="6">
        <f t="shared" si="13"/>
        <v>44035</v>
      </c>
      <c r="R21">
        <f t="shared" si="12"/>
        <v>41</v>
      </c>
    </row>
    <row r="22" spans="16:18" x14ac:dyDescent="0.25">
      <c r="P22">
        <f t="shared" si="3"/>
        <v>21</v>
      </c>
      <c r="Q22" s="6">
        <f t="shared" si="13"/>
        <v>44036</v>
      </c>
      <c r="R22">
        <f t="shared" si="12"/>
        <v>42</v>
      </c>
    </row>
    <row r="23" spans="16:18" x14ac:dyDescent="0.25">
      <c r="P23">
        <f t="shared" si="3"/>
        <v>22</v>
      </c>
      <c r="Q23" s="6">
        <f t="shared" si="13"/>
        <v>44037</v>
      </c>
      <c r="R23">
        <f t="shared" si="12"/>
        <v>43</v>
      </c>
    </row>
    <row r="24" spans="16:18" x14ac:dyDescent="0.25">
      <c r="P24">
        <f t="shared" si="3"/>
        <v>23</v>
      </c>
      <c r="Q24" s="6">
        <v>44039</v>
      </c>
      <c r="R24">
        <f t="shared" si="12"/>
        <v>44</v>
      </c>
    </row>
    <row r="25" spans="16:18" x14ac:dyDescent="0.25">
      <c r="P25">
        <f t="shared" si="3"/>
        <v>24</v>
      </c>
      <c r="Q25" s="6">
        <f>Q24+1</f>
        <v>44040</v>
      </c>
      <c r="R25">
        <f t="shared" si="12"/>
        <v>45</v>
      </c>
    </row>
    <row r="26" spans="16:18" x14ac:dyDescent="0.25">
      <c r="P26">
        <f t="shared" si="3"/>
        <v>25</v>
      </c>
      <c r="Q26" s="6">
        <f t="shared" ref="Q26:Q28" si="14">Q25+1</f>
        <v>44041</v>
      </c>
      <c r="R26">
        <f t="shared" si="12"/>
        <v>46</v>
      </c>
    </row>
    <row r="27" spans="16:18" x14ac:dyDescent="0.25">
      <c r="P27">
        <f t="shared" si="3"/>
        <v>26</v>
      </c>
      <c r="Q27" s="6">
        <f t="shared" si="14"/>
        <v>44042</v>
      </c>
      <c r="R27">
        <f t="shared" si="12"/>
        <v>47</v>
      </c>
    </row>
    <row r="28" spans="16:18" x14ac:dyDescent="0.25">
      <c r="P28">
        <f t="shared" si="3"/>
        <v>27</v>
      </c>
      <c r="Q28" s="6">
        <f t="shared" si="14"/>
        <v>44043</v>
      </c>
      <c r="R28">
        <f t="shared" si="12"/>
        <v>48</v>
      </c>
    </row>
  </sheetData>
  <sortState xmlns:xlrd2="http://schemas.microsoft.com/office/spreadsheetml/2017/richdata2" ref="A2:B6">
    <sortCondition ref="A2:A6"/>
  </sortState>
  <phoneticPr fontId="1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3398"/>
  <sheetViews>
    <sheetView workbookViewId="0">
      <pane ySplit="1" topLeftCell="A2" activePane="bottomLeft" state="frozen"/>
      <selection pane="bottomLeft" activeCell="G1" sqref="G1"/>
    </sheetView>
  </sheetViews>
  <sheetFormatPr defaultRowHeight="15" x14ac:dyDescent="0.25"/>
  <sheetData>
    <row r="1" spans="1:17" s="1" customFormat="1" x14ac:dyDescent="0.25">
      <c r="A1" s="1" t="s">
        <v>21</v>
      </c>
      <c r="B1" s="1" t="str">
        <f>VLOOKUP(Summary!A7,Setup!$A:$B,2,0)</f>
        <v>Overall</v>
      </c>
      <c r="C1" s="1" t="str">
        <f>VLOOKUP(Summary!A8,Setup!$M:$N,2,0)</f>
        <v>Overall</v>
      </c>
      <c r="D1" s="1" t="str">
        <f>VLOOKUP(Summary!A9,Setup!$G:$H,2,0)</f>
        <v>Overall</v>
      </c>
      <c r="E1" s="1" t="str">
        <f>IF(Summary!J3=TRUE,"Overall",IF(Summary!K3=TRUE,"Allset","CS"))</f>
        <v>Allset</v>
      </c>
      <c r="F1" s="1" t="str">
        <f>IF(Summary!J4=TRUE,"Overall",IF(Summary!K4=TRUE,"Unpaid","Paid"))</f>
        <v>Unpaid</v>
      </c>
      <c r="G1" s="1" t="str">
        <f>IF(Summary!J8=TRUE,"Collections",IF(Summary!J9=TRUE,"Bad Debts",IF(Summary!K8=TRUE,"PMSR","CMSR")))</f>
        <v>Bad Debts</v>
      </c>
      <c r="H1" s="1" t="s">
        <v>0</v>
      </c>
      <c r="I1" s="1" t="s">
        <v>9</v>
      </c>
      <c r="J1" s="1" t="s">
        <v>1</v>
      </c>
      <c r="K1" s="1" t="s">
        <v>22</v>
      </c>
      <c r="L1" s="1" t="s">
        <v>13</v>
      </c>
      <c r="M1" s="1" t="s">
        <v>14</v>
      </c>
      <c r="N1" s="1" t="s">
        <v>15</v>
      </c>
      <c r="O1" s="1" t="s">
        <v>16</v>
      </c>
      <c r="P1" s="1" t="s">
        <v>17</v>
      </c>
      <c r="Q1" s="1" t="s">
        <v>18</v>
      </c>
    </row>
    <row r="2" spans="1:17" x14ac:dyDescent="0.25">
      <c r="A2" t="e">
        <f>B2&amp;C2&amp;#REF!&amp;G2</f>
        <v>#REF!</v>
      </c>
      <c r="B2" t="str">
        <f>IF(B$1="Overall","Overall",IF(B$1=I2,I2,""))</f>
        <v>Overall</v>
      </c>
      <c r="C2" t="str">
        <f>IF(C$1="Overall","Overall",IF(C$1=H2,H2,""))</f>
        <v>Overall</v>
      </c>
      <c r="G2" t="str">
        <f t="shared" ref="G2:G65" si="0">IF(G$1="Overall","Overall",IF(G$1=L2,L2,""))</f>
        <v/>
      </c>
      <c r="H2" t="s">
        <v>46</v>
      </c>
      <c r="I2" t="s">
        <v>10</v>
      </c>
      <c r="J2" t="s">
        <v>6</v>
      </c>
      <c r="K2" t="s">
        <v>23</v>
      </c>
      <c r="L2" t="s">
        <v>42</v>
      </c>
      <c r="M2" t="s">
        <v>19</v>
      </c>
      <c r="N2">
        <v>772</v>
      </c>
      <c r="O2">
        <v>167</v>
      </c>
      <c r="P2">
        <v>387802.86000000068</v>
      </c>
      <c r="Q2">
        <v>357442.19000000029</v>
      </c>
    </row>
    <row r="3" spans="1:17" x14ac:dyDescent="0.25">
      <c r="G3" t="str">
        <f t="shared" si="0"/>
        <v/>
      </c>
      <c r="H3" t="s">
        <v>46</v>
      </c>
      <c r="I3" t="s">
        <v>10</v>
      </c>
      <c r="J3" t="s">
        <v>6</v>
      </c>
      <c r="K3" t="s">
        <v>23</v>
      </c>
      <c r="L3" t="s">
        <v>42</v>
      </c>
      <c r="M3" t="s">
        <v>20</v>
      </c>
      <c r="N3">
        <v>243</v>
      </c>
      <c r="O3">
        <v>65</v>
      </c>
      <c r="P3">
        <v>66905.37999999999</v>
      </c>
      <c r="Q3">
        <v>0</v>
      </c>
    </row>
    <row r="4" spans="1:17" x14ac:dyDescent="0.25">
      <c r="G4" t="str">
        <f t="shared" si="0"/>
        <v/>
      </c>
      <c r="H4" t="s">
        <v>46</v>
      </c>
      <c r="I4" t="s">
        <v>10</v>
      </c>
      <c r="J4" t="s">
        <v>6</v>
      </c>
      <c r="K4" t="s">
        <v>23</v>
      </c>
      <c r="L4" t="s">
        <v>43</v>
      </c>
      <c r="M4" t="s">
        <v>19</v>
      </c>
      <c r="N4">
        <v>73</v>
      </c>
      <c r="O4">
        <v>35</v>
      </c>
      <c r="P4">
        <v>53294.810000000012</v>
      </c>
      <c r="Q4">
        <v>39956.950000000004</v>
      </c>
    </row>
    <row r="5" spans="1:17" x14ac:dyDescent="0.25">
      <c r="G5" t="str">
        <f t="shared" si="0"/>
        <v/>
      </c>
      <c r="H5" t="s">
        <v>46</v>
      </c>
      <c r="I5" t="s">
        <v>10</v>
      </c>
      <c r="J5" t="s">
        <v>6</v>
      </c>
      <c r="K5" t="s">
        <v>23</v>
      </c>
      <c r="L5" t="s">
        <v>43</v>
      </c>
      <c r="M5" t="s">
        <v>20</v>
      </c>
      <c r="N5">
        <v>82</v>
      </c>
      <c r="O5">
        <v>36</v>
      </c>
      <c r="P5">
        <v>69630.33</v>
      </c>
      <c r="Q5">
        <v>0</v>
      </c>
    </row>
    <row r="6" spans="1:17" x14ac:dyDescent="0.25">
      <c r="G6" t="str">
        <f t="shared" si="0"/>
        <v/>
      </c>
      <c r="H6" t="s">
        <v>46</v>
      </c>
      <c r="I6" t="s">
        <v>10</v>
      </c>
      <c r="J6" t="s">
        <v>6</v>
      </c>
      <c r="K6" t="s">
        <v>23</v>
      </c>
      <c r="L6" t="s">
        <v>44</v>
      </c>
      <c r="M6" t="s">
        <v>19</v>
      </c>
      <c r="N6">
        <v>56</v>
      </c>
      <c r="O6">
        <v>32</v>
      </c>
      <c r="P6">
        <v>65386.460000000006</v>
      </c>
      <c r="Q6">
        <v>40465.5</v>
      </c>
    </row>
    <row r="7" spans="1:17" x14ac:dyDescent="0.25">
      <c r="G7" t="str">
        <f t="shared" si="0"/>
        <v/>
      </c>
      <c r="H7" t="s">
        <v>46</v>
      </c>
      <c r="I7" t="s">
        <v>10</v>
      </c>
      <c r="J7" t="s">
        <v>6</v>
      </c>
      <c r="K7" t="s">
        <v>23</v>
      </c>
      <c r="L7" t="s">
        <v>44</v>
      </c>
      <c r="M7" t="s">
        <v>20</v>
      </c>
      <c r="N7">
        <v>26</v>
      </c>
      <c r="O7">
        <v>16</v>
      </c>
      <c r="P7">
        <v>23825.729999999992</v>
      </c>
      <c r="Q7">
        <v>0</v>
      </c>
    </row>
    <row r="8" spans="1:17" x14ac:dyDescent="0.25">
      <c r="G8" t="str">
        <f t="shared" si="0"/>
        <v/>
      </c>
      <c r="H8" t="s">
        <v>46</v>
      </c>
      <c r="I8" t="s">
        <v>10</v>
      </c>
      <c r="J8" t="s">
        <v>6</v>
      </c>
      <c r="K8" t="s">
        <v>23</v>
      </c>
      <c r="L8" t="s">
        <v>39</v>
      </c>
      <c r="M8" t="s">
        <v>19</v>
      </c>
      <c r="N8">
        <v>4</v>
      </c>
      <c r="O8">
        <v>4</v>
      </c>
      <c r="P8">
        <v>4178.7800000000007</v>
      </c>
      <c r="Q8">
        <v>2234.86</v>
      </c>
    </row>
    <row r="9" spans="1:17" x14ac:dyDescent="0.25">
      <c r="G9" t="str">
        <f t="shared" si="0"/>
        <v/>
      </c>
      <c r="H9" t="s">
        <v>46</v>
      </c>
      <c r="I9" t="s">
        <v>10</v>
      </c>
      <c r="J9" t="s">
        <v>6</v>
      </c>
      <c r="K9" t="s">
        <v>23</v>
      </c>
      <c r="L9" t="s">
        <v>39</v>
      </c>
      <c r="M9" t="s">
        <v>20</v>
      </c>
      <c r="N9">
        <v>16</v>
      </c>
      <c r="O9">
        <v>13</v>
      </c>
      <c r="P9">
        <v>17679.530000000002</v>
      </c>
      <c r="Q9">
        <v>0</v>
      </c>
    </row>
    <row r="10" spans="1:17" x14ac:dyDescent="0.25">
      <c r="G10" t="str">
        <f t="shared" si="0"/>
        <v/>
      </c>
      <c r="H10" t="s">
        <v>46</v>
      </c>
      <c r="I10" t="s">
        <v>10</v>
      </c>
      <c r="J10" t="s">
        <v>6</v>
      </c>
      <c r="K10" t="s">
        <v>23</v>
      </c>
      <c r="L10" t="s">
        <v>40</v>
      </c>
      <c r="M10" t="s">
        <v>19</v>
      </c>
      <c r="N10">
        <v>4</v>
      </c>
      <c r="O10">
        <v>1</v>
      </c>
      <c r="P10">
        <v>5761.5199999999995</v>
      </c>
      <c r="Q10">
        <v>3889.5299999999997</v>
      </c>
    </row>
    <row r="11" spans="1:17" x14ac:dyDescent="0.25">
      <c r="G11" t="str">
        <f t="shared" si="0"/>
        <v/>
      </c>
      <c r="H11" t="s">
        <v>46</v>
      </c>
      <c r="I11" t="s">
        <v>10</v>
      </c>
      <c r="J11" t="s">
        <v>6</v>
      </c>
      <c r="K11" t="s">
        <v>23</v>
      </c>
      <c r="L11" t="s">
        <v>40</v>
      </c>
      <c r="M11" t="s">
        <v>20</v>
      </c>
      <c r="N11">
        <v>47</v>
      </c>
      <c r="O11">
        <v>5</v>
      </c>
      <c r="P11">
        <v>96822.110000000015</v>
      </c>
      <c r="Q11">
        <v>0</v>
      </c>
    </row>
    <row r="12" spans="1:17" x14ac:dyDescent="0.25">
      <c r="G12" t="str">
        <f t="shared" si="0"/>
        <v/>
      </c>
      <c r="H12" t="s">
        <v>46</v>
      </c>
      <c r="I12" t="s">
        <v>10</v>
      </c>
      <c r="J12" t="s">
        <v>6</v>
      </c>
      <c r="K12" t="s">
        <v>23</v>
      </c>
      <c r="L12" t="s">
        <v>41</v>
      </c>
      <c r="M12" t="s">
        <v>19</v>
      </c>
      <c r="N12">
        <v>3</v>
      </c>
      <c r="O12">
        <v>1</v>
      </c>
      <c r="P12">
        <v>3186.6800000000003</v>
      </c>
      <c r="Q12">
        <v>3186.6400000000003</v>
      </c>
    </row>
    <row r="13" spans="1:17" x14ac:dyDescent="0.25">
      <c r="G13" t="str">
        <f t="shared" si="0"/>
        <v/>
      </c>
      <c r="H13" t="s">
        <v>46</v>
      </c>
      <c r="I13" t="s">
        <v>10</v>
      </c>
      <c r="J13" t="s">
        <v>6</v>
      </c>
      <c r="K13" t="s">
        <v>23</v>
      </c>
      <c r="L13" t="s">
        <v>41</v>
      </c>
      <c r="M13" t="s">
        <v>20</v>
      </c>
      <c r="N13">
        <v>32</v>
      </c>
      <c r="O13">
        <v>12</v>
      </c>
      <c r="P13">
        <v>21863.599999999999</v>
      </c>
      <c r="Q13">
        <v>0</v>
      </c>
    </row>
    <row r="14" spans="1:17" x14ac:dyDescent="0.25">
      <c r="G14" t="str">
        <f t="shared" si="0"/>
        <v/>
      </c>
      <c r="H14" t="s">
        <v>46</v>
      </c>
      <c r="I14" t="s">
        <v>10</v>
      </c>
      <c r="J14" t="s">
        <v>6</v>
      </c>
      <c r="K14" t="s">
        <v>23</v>
      </c>
      <c r="L14" t="s">
        <v>45</v>
      </c>
      <c r="M14" t="s">
        <v>19</v>
      </c>
      <c r="N14">
        <v>3</v>
      </c>
      <c r="O14">
        <v>3</v>
      </c>
      <c r="P14">
        <v>6497.8600000000006</v>
      </c>
      <c r="Q14">
        <v>194</v>
      </c>
    </row>
    <row r="15" spans="1:17" x14ac:dyDescent="0.25">
      <c r="G15" t="str">
        <f t="shared" si="0"/>
        <v/>
      </c>
      <c r="H15" t="s">
        <v>46</v>
      </c>
      <c r="I15" t="s">
        <v>10</v>
      </c>
      <c r="J15" t="s">
        <v>6</v>
      </c>
      <c r="K15" t="s">
        <v>23</v>
      </c>
      <c r="L15" t="s">
        <v>45</v>
      </c>
      <c r="M15" t="s">
        <v>20</v>
      </c>
      <c r="N15">
        <v>231</v>
      </c>
      <c r="O15">
        <v>101</v>
      </c>
      <c r="P15">
        <v>253583.65999999992</v>
      </c>
      <c r="Q15">
        <v>0</v>
      </c>
    </row>
    <row r="16" spans="1:17" x14ac:dyDescent="0.25">
      <c r="G16" t="str">
        <f t="shared" si="0"/>
        <v/>
      </c>
      <c r="H16" t="s">
        <v>46</v>
      </c>
      <c r="I16" t="s">
        <v>10</v>
      </c>
      <c r="J16" t="s">
        <v>6</v>
      </c>
      <c r="K16" t="s">
        <v>24</v>
      </c>
      <c r="L16" t="s">
        <v>42</v>
      </c>
      <c r="M16" t="s">
        <v>19</v>
      </c>
      <c r="N16">
        <v>75</v>
      </c>
      <c r="O16">
        <v>24</v>
      </c>
      <c r="P16">
        <v>40132.899999999994</v>
      </c>
      <c r="Q16">
        <v>38525.57</v>
      </c>
    </row>
    <row r="17" spans="7:17" x14ac:dyDescent="0.25">
      <c r="G17" t="str">
        <f t="shared" si="0"/>
        <v/>
      </c>
      <c r="H17" t="s">
        <v>46</v>
      </c>
      <c r="I17" t="s">
        <v>10</v>
      </c>
      <c r="J17" t="s">
        <v>6</v>
      </c>
      <c r="K17" t="s">
        <v>24</v>
      </c>
      <c r="L17" t="s">
        <v>42</v>
      </c>
      <c r="M17" t="s">
        <v>20</v>
      </c>
      <c r="N17">
        <v>50</v>
      </c>
      <c r="O17">
        <v>11</v>
      </c>
      <c r="P17">
        <v>11750.009999999998</v>
      </c>
      <c r="Q17">
        <v>0</v>
      </c>
    </row>
    <row r="18" spans="7:17" x14ac:dyDescent="0.25">
      <c r="G18" t="str">
        <f t="shared" si="0"/>
        <v/>
      </c>
      <c r="H18" t="s">
        <v>46</v>
      </c>
      <c r="I18" t="s">
        <v>10</v>
      </c>
      <c r="J18" t="s">
        <v>6</v>
      </c>
      <c r="K18" t="s">
        <v>24</v>
      </c>
      <c r="L18" t="s">
        <v>43</v>
      </c>
      <c r="M18" t="s">
        <v>19</v>
      </c>
      <c r="N18">
        <v>16</v>
      </c>
      <c r="O18">
        <v>5</v>
      </c>
      <c r="P18">
        <v>11905.720000000001</v>
      </c>
      <c r="Q18">
        <v>10344.52</v>
      </c>
    </row>
    <row r="19" spans="7:17" x14ac:dyDescent="0.25">
      <c r="G19" t="str">
        <f t="shared" si="0"/>
        <v/>
      </c>
      <c r="H19" t="s">
        <v>46</v>
      </c>
      <c r="I19" t="s">
        <v>10</v>
      </c>
      <c r="J19" t="s">
        <v>6</v>
      </c>
      <c r="K19" t="s">
        <v>24</v>
      </c>
      <c r="L19" t="s">
        <v>43</v>
      </c>
      <c r="M19" t="s">
        <v>20</v>
      </c>
      <c r="N19">
        <v>23</v>
      </c>
      <c r="O19">
        <v>5</v>
      </c>
      <c r="P19">
        <v>14453.62</v>
      </c>
      <c r="Q19">
        <v>0</v>
      </c>
    </row>
    <row r="20" spans="7:17" x14ac:dyDescent="0.25">
      <c r="G20" t="str">
        <f t="shared" si="0"/>
        <v/>
      </c>
      <c r="H20" t="s">
        <v>46</v>
      </c>
      <c r="I20" t="s">
        <v>10</v>
      </c>
      <c r="J20" t="s">
        <v>6</v>
      </c>
      <c r="K20" t="s">
        <v>24</v>
      </c>
      <c r="L20" t="s">
        <v>44</v>
      </c>
      <c r="M20" t="s">
        <v>19</v>
      </c>
      <c r="N20">
        <v>7</v>
      </c>
      <c r="O20">
        <v>5</v>
      </c>
      <c r="P20">
        <v>9811.630000000001</v>
      </c>
      <c r="Q20">
        <v>4002.32</v>
      </c>
    </row>
    <row r="21" spans="7:17" x14ac:dyDescent="0.25">
      <c r="G21" t="str">
        <f t="shared" si="0"/>
        <v/>
      </c>
      <c r="H21" t="s">
        <v>46</v>
      </c>
      <c r="I21" t="s">
        <v>10</v>
      </c>
      <c r="J21" t="s">
        <v>6</v>
      </c>
      <c r="K21" t="s">
        <v>24</v>
      </c>
      <c r="L21" t="s">
        <v>44</v>
      </c>
      <c r="M21" t="s">
        <v>20</v>
      </c>
      <c r="N21">
        <v>1</v>
      </c>
      <c r="O21">
        <v>1</v>
      </c>
      <c r="P21">
        <v>797.6</v>
      </c>
      <c r="Q21">
        <v>0</v>
      </c>
    </row>
    <row r="22" spans="7:17" x14ac:dyDescent="0.25">
      <c r="G22" t="str">
        <f t="shared" si="0"/>
        <v/>
      </c>
      <c r="H22" t="s">
        <v>46</v>
      </c>
      <c r="I22" t="s">
        <v>10</v>
      </c>
      <c r="J22" t="s">
        <v>6</v>
      </c>
      <c r="K22" t="s">
        <v>24</v>
      </c>
      <c r="L22" t="s">
        <v>39</v>
      </c>
      <c r="M22" t="s">
        <v>20</v>
      </c>
      <c r="N22">
        <v>3</v>
      </c>
      <c r="O22">
        <v>2</v>
      </c>
      <c r="P22">
        <v>4246.62</v>
      </c>
      <c r="Q22">
        <v>0</v>
      </c>
    </row>
    <row r="23" spans="7:17" x14ac:dyDescent="0.25">
      <c r="G23" t="str">
        <f t="shared" si="0"/>
        <v/>
      </c>
      <c r="H23" t="s">
        <v>46</v>
      </c>
      <c r="I23" t="s">
        <v>10</v>
      </c>
      <c r="J23" t="s">
        <v>6</v>
      </c>
      <c r="K23" t="s">
        <v>24</v>
      </c>
      <c r="L23" t="s">
        <v>40</v>
      </c>
      <c r="M23" t="s">
        <v>20</v>
      </c>
      <c r="N23">
        <v>4</v>
      </c>
      <c r="O23">
        <v>2</v>
      </c>
      <c r="P23">
        <v>4180.43</v>
      </c>
      <c r="Q23">
        <v>0</v>
      </c>
    </row>
    <row r="24" spans="7:17" x14ac:dyDescent="0.25">
      <c r="G24" t="str">
        <f t="shared" si="0"/>
        <v/>
      </c>
      <c r="H24" t="s">
        <v>46</v>
      </c>
      <c r="I24" t="s">
        <v>10</v>
      </c>
      <c r="J24" t="s">
        <v>6</v>
      </c>
      <c r="K24" t="s">
        <v>24</v>
      </c>
      <c r="L24" t="s">
        <v>41</v>
      </c>
      <c r="M24" t="s">
        <v>20</v>
      </c>
      <c r="N24">
        <v>4</v>
      </c>
      <c r="O24">
        <v>1</v>
      </c>
      <c r="P24">
        <v>5931.3</v>
      </c>
      <c r="Q24">
        <v>0</v>
      </c>
    </row>
    <row r="25" spans="7:17" x14ac:dyDescent="0.25">
      <c r="G25" t="str">
        <f t="shared" si="0"/>
        <v/>
      </c>
      <c r="H25" t="s">
        <v>46</v>
      </c>
      <c r="I25" t="s">
        <v>10</v>
      </c>
      <c r="J25" t="s">
        <v>6</v>
      </c>
      <c r="K25" t="s">
        <v>24</v>
      </c>
      <c r="L25" t="s">
        <v>45</v>
      </c>
      <c r="M25" t="s">
        <v>20</v>
      </c>
      <c r="N25">
        <v>64</v>
      </c>
      <c r="O25">
        <v>22</v>
      </c>
      <c r="P25">
        <v>56613.240000000013</v>
      </c>
      <c r="Q25">
        <v>0</v>
      </c>
    </row>
    <row r="26" spans="7:17" x14ac:dyDescent="0.25">
      <c r="G26" t="str">
        <f t="shared" si="0"/>
        <v/>
      </c>
      <c r="H26" t="s">
        <v>46</v>
      </c>
      <c r="I26" t="s">
        <v>10</v>
      </c>
      <c r="J26" t="s">
        <v>6</v>
      </c>
      <c r="K26" t="s">
        <v>25</v>
      </c>
      <c r="L26" t="s">
        <v>42</v>
      </c>
      <c r="M26" t="s">
        <v>19</v>
      </c>
      <c r="N26">
        <v>751</v>
      </c>
      <c r="O26">
        <v>172</v>
      </c>
      <c r="P26">
        <v>316755.24999999948</v>
      </c>
      <c r="Q26">
        <v>314657.51999999944</v>
      </c>
    </row>
    <row r="27" spans="7:17" x14ac:dyDescent="0.25">
      <c r="G27" t="str">
        <f t="shared" si="0"/>
        <v/>
      </c>
      <c r="H27" t="s">
        <v>46</v>
      </c>
      <c r="I27" t="s">
        <v>10</v>
      </c>
      <c r="J27" t="s">
        <v>6</v>
      </c>
      <c r="K27" t="s">
        <v>25</v>
      </c>
      <c r="L27" t="s">
        <v>42</v>
      </c>
      <c r="M27" t="s">
        <v>20</v>
      </c>
      <c r="N27">
        <v>209</v>
      </c>
      <c r="O27">
        <v>60</v>
      </c>
      <c r="P27">
        <v>54341.89</v>
      </c>
      <c r="Q27">
        <v>0</v>
      </c>
    </row>
    <row r="28" spans="7:17" x14ac:dyDescent="0.25">
      <c r="G28" t="str">
        <f t="shared" si="0"/>
        <v/>
      </c>
      <c r="H28" t="s">
        <v>46</v>
      </c>
      <c r="I28" t="s">
        <v>10</v>
      </c>
      <c r="J28" t="s">
        <v>6</v>
      </c>
      <c r="K28" t="s">
        <v>25</v>
      </c>
      <c r="L28" t="s">
        <v>43</v>
      </c>
      <c r="M28" t="s">
        <v>19</v>
      </c>
      <c r="N28">
        <v>108</v>
      </c>
      <c r="O28">
        <v>62</v>
      </c>
      <c r="P28">
        <v>78619.049999999974</v>
      </c>
      <c r="Q28">
        <v>59211.31</v>
      </c>
    </row>
    <row r="29" spans="7:17" x14ac:dyDescent="0.25">
      <c r="G29" t="str">
        <f t="shared" si="0"/>
        <v/>
      </c>
      <c r="H29" t="s">
        <v>46</v>
      </c>
      <c r="I29" t="s">
        <v>10</v>
      </c>
      <c r="J29" t="s">
        <v>6</v>
      </c>
      <c r="K29" t="s">
        <v>25</v>
      </c>
      <c r="L29" t="s">
        <v>43</v>
      </c>
      <c r="M29" t="s">
        <v>20</v>
      </c>
      <c r="N29">
        <v>74</v>
      </c>
      <c r="O29">
        <v>37</v>
      </c>
      <c r="P29">
        <v>50888.66</v>
      </c>
      <c r="Q29">
        <v>0</v>
      </c>
    </row>
    <row r="30" spans="7:17" x14ac:dyDescent="0.25">
      <c r="G30" t="str">
        <f t="shared" si="0"/>
        <v/>
      </c>
      <c r="H30" t="s">
        <v>46</v>
      </c>
      <c r="I30" t="s">
        <v>10</v>
      </c>
      <c r="J30" t="s">
        <v>6</v>
      </c>
      <c r="K30" t="s">
        <v>25</v>
      </c>
      <c r="L30" t="s">
        <v>44</v>
      </c>
      <c r="M30" t="s">
        <v>19</v>
      </c>
      <c r="N30">
        <v>86</v>
      </c>
      <c r="O30">
        <v>48</v>
      </c>
      <c r="P30">
        <v>78219.850000000006</v>
      </c>
      <c r="Q30">
        <v>47935.31</v>
      </c>
    </row>
    <row r="31" spans="7:17" x14ac:dyDescent="0.25">
      <c r="G31" t="str">
        <f t="shared" si="0"/>
        <v/>
      </c>
      <c r="H31" t="s">
        <v>46</v>
      </c>
      <c r="I31" t="s">
        <v>10</v>
      </c>
      <c r="J31" t="s">
        <v>6</v>
      </c>
      <c r="K31" t="s">
        <v>25</v>
      </c>
      <c r="L31" t="s">
        <v>44</v>
      </c>
      <c r="M31" t="s">
        <v>20</v>
      </c>
      <c r="N31">
        <v>16</v>
      </c>
      <c r="O31">
        <v>10</v>
      </c>
      <c r="P31">
        <v>16840.45</v>
      </c>
      <c r="Q31">
        <v>0</v>
      </c>
    </row>
    <row r="32" spans="7:17" x14ac:dyDescent="0.25">
      <c r="G32" t="str">
        <f t="shared" si="0"/>
        <v/>
      </c>
      <c r="H32" t="s">
        <v>46</v>
      </c>
      <c r="I32" t="s">
        <v>10</v>
      </c>
      <c r="J32" t="s">
        <v>6</v>
      </c>
      <c r="K32" t="s">
        <v>25</v>
      </c>
      <c r="L32" t="s">
        <v>39</v>
      </c>
      <c r="M32" t="s">
        <v>19</v>
      </c>
      <c r="N32">
        <v>6</v>
      </c>
      <c r="O32">
        <v>3</v>
      </c>
      <c r="P32">
        <v>4419.95</v>
      </c>
      <c r="Q32">
        <v>4240.09</v>
      </c>
    </row>
    <row r="33" spans="7:17" x14ac:dyDescent="0.25">
      <c r="G33" t="str">
        <f t="shared" si="0"/>
        <v/>
      </c>
      <c r="H33" t="s">
        <v>46</v>
      </c>
      <c r="I33" t="s">
        <v>10</v>
      </c>
      <c r="J33" t="s">
        <v>6</v>
      </c>
      <c r="K33" t="s">
        <v>25</v>
      </c>
      <c r="L33" t="s">
        <v>39</v>
      </c>
      <c r="M33" t="s">
        <v>20</v>
      </c>
      <c r="N33">
        <v>24</v>
      </c>
      <c r="O33">
        <v>20</v>
      </c>
      <c r="P33">
        <v>17839.32</v>
      </c>
      <c r="Q33">
        <v>0</v>
      </c>
    </row>
    <row r="34" spans="7:17" x14ac:dyDescent="0.25">
      <c r="G34" t="str">
        <f t="shared" si="0"/>
        <v/>
      </c>
      <c r="H34" t="s">
        <v>46</v>
      </c>
      <c r="I34" t="s">
        <v>10</v>
      </c>
      <c r="J34" t="s">
        <v>6</v>
      </c>
      <c r="K34" t="s">
        <v>25</v>
      </c>
      <c r="L34" t="s">
        <v>40</v>
      </c>
      <c r="M34" t="s">
        <v>19</v>
      </c>
      <c r="N34">
        <v>1</v>
      </c>
      <c r="O34">
        <v>1</v>
      </c>
      <c r="P34">
        <v>266.48</v>
      </c>
      <c r="Q34">
        <v>29.5</v>
      </c>
    </row>
    <row r="35" spans="7:17" x14ac:dyDescent="0.25">
      <c r="G35" t="str">
        <f t="shared" si="0"/>
        <v/>
      </c>
      <c r="H35" t="s">
        <v>46</v>
      </c>
      <c r="I35" t="s">
        <v>10</v>
      </c>
      <c r="J35" t="s">
        <v>6</v>
      </c>
      <c r="K35" t="s">
        <v>25</v>
      </c>
      <c r="L35" t="s">
        <v>40</v>
      </c>
      <c r="M35" t="s">
        <v>20</v>
      </c>
      <c r="N35">
        <v>34</v>
      </c>
      <c r="O35">
        <v>8</v>
      </c>
      <c r="P35">
        <v>35214.04</v>
      </c>
      <c r="Q35">
        <v>0</v>
      </c>
    </row>
    <row r="36" spans="7:17" x14ac:dyDescent="0.25">
      <c r="G36" t="str">
        <f t="shared" si="0"/>
        <v/>
      </c>
      <c r="H36" t="s">
        <v>46</v>
      </c>
      <c r="I36" t="s">
        <v>10</v>
      </c>
      <c r="J36" t="s">
        <v>6</v>
      </c>
      <c r="K36" t="s">
        <v>25</v>
      </c>
      <c r="L36" t="s">
        <v>41</v>
      </c>
      <c r="M36" t="s">
        <v>19</v>
      </c>
      <c r="N36">
        <v>1</v>
      </c>
      <c r="O36">
        <v>1</v>
      </c>
      <c r="P36">
        <v>781.37</v>
      </c>
      <c r="Q36">
        <v>59.000000000000007</v>
      </c>
    </row>
    <row r="37" spans="7:17" x14ac:dyDescent="0.25">
      <c r="G37" t="str">
        <f t="shared" si="0"/>
        <v/>
      </c>
      <c r="H37" t="s">
        <v>46</v>
      </c>
      <c r="I37" t="s">
        <v>10</v>
      </c>
      <c r="J37" t="s">
        <v>6</v>
      </c>
      <c r="K37" t="s">
        <v>25</v>
      </c>
      <c r="L37" t="s">
        <v>41</v>
      </c>
      <c r="M37" t="s">
        <v>20</v>
      </c>
      <c r="N37">
        <v>31</v>
      </c>
      <c r="O37">
        <v>9</v>
      </c>
      <c r="P37">
        <v>27965.020000000004</v>
      </c>
      <c r="Q37">
        <v>0</v>
      </c>
    </row>
    <row r="38" spans="7:17" x14ac:dyDescent="0.25">
      <c r="G38" t="str">
        <f t="shared" si="0"/>
        <v/>
      </c>
      <c r="H38" t="s">
        <v>46</v>
      </c>
      <c r="I38" t="s">
        <v>10</v>
      </c>
      <c r="J38" t="s">
        <v>6</v>
      </c>
      <c r="K38" t="s">
        <v>25</v>
      </c>
      <c r="L38" t="s">
        <v>45</v>
      </c>
      <c r="M38" t="s">
        <v>19</v>
      </c>
      <c r="N38">
        <v>5</v>
      </c>
      <c r="O38">
        <v>3</v>
      </c>
      <c r="P38">
        <v>5270.74</v>
      </c>
      <c r="Q38">
        <v>2126.69</v>
      </c>
    </row>
    <row r="39" spans="7:17" x14ac:dyDescent="0.25">
      <c r="G39" t="str">
        <f t="shared" si="0"/>
        <v/>
      </c>
      <c r="H39" t="s">
        <v>46</v>
      </c>
      <c r="I39" t="s">
        <v>10</v>
      </c>
      <c r="J39" t="s">
        <v>6</v>
      </c>
      <c r="K39" t="s">
        <v>25</v>
      </c>
      <c r="L39" t="s">
        <v>45</v>
      </c>
      <c r="M39" t="s">
        <v>20</v>
      </c>
      <c r="N39">
        <v>313</v>
      </c>
      <c r="O39">
        <v>106</v>
      </c>
      <c r="P39">
        <v>295908.48000000004</v>
      </c>
      <c r="Q39">
        <v>0</v>
      </c>
    </row>
    <row r="40" spans="7:17" x14ac:dyDescent="0.25">
      <c r="G40" t="str">
        <f t="shared" si="0"/>
        <v/>
      </c>
      <c r="H40" t="s">
        <v>46</v>
      </c>
      <c r="I40" t="s">
        <v>10</v>
      </c>
      <c r="J40" t="s">
        <v>6</v>
      </c>
      <c r="K40" t="s">
        <v>26</v>
      </c>
      <c r="L40" t="s">
        <v>42</v>
      </c>
      <c r="M40" t="s">
        <v>19</v>
      </c>
      <c r="N40">
        <v>848</v>
      </c>
      <c r="O40">
        <v>294</v>
      </c>
      <c r="P40">
        <v>377374.35000000068</v>
      </c>
      <c r="Q40">
        <v>371476.69000000064</v>
      </c>
    </row>
    <row r="41" spans="7:17" x14ac:dyDescent="0.25">
      <c r="G41" t="str">
        <f t="shared" si="0"/>
        <v/>
      </c>
      <c r="H41" t="s">
        <v>46</v>
      </c>
      <c r="I41" t="s">
        <v>10</v>
      </c>
      <c r="J41" t="s">
        <v>6</v>
      </c>
      <c r="K41" t="s">
        <v>26</v>
      </c>
      <c r="L41" t="s">
        <v>42</v>
      </c>
      <c r="M41" t="s">
        <v>20</v>
      </c>
      <c r="N41">
        <v>283</v>
      </c>
      <c r="O41">
        <v>128</v>
      </c>
      <c r="P41">
        <v>86936.82</v>
      </c>
      <c r="Q41">
        <v>0</v>
      </c>
    </row>
    <row r="42" spans="7:17" x14ac:dyDescent="0.25">
      <c r="G42" t="str">
        <f t="shared" si="0"/>
        <v/>
      </c>
      <c r="H42" t="s">
        <v>46</v>
      </c>
      <c r="I42" t="s">
        <v>10</v>
      </c>
      <c r="J42" t="s">
        <v>6</v>
      </c>
      <c r="K42" t="s">
        <v>26</v>
      </c>
      <c r="L42" t="s">
        <v>43</v>
      </c>
      <c r="M42" t="s">
        <v>19</v>
      </c>
      <c r="N42">
        <v>70</v>
      </c>
      <c r="O42">
        <v>54</v>
      </c>
      <c r="P42">
        <v>65581.939999999988</v>
      </c>
      <c r="Q42">
        <v>59422.079999999994</v>
      </c>
    </row>
    <row r="43" spans="7:17" x14ac:dyDescent="0.25">
      <c r="G43" t="str">
        <f t="shared" si="0"/>
        <v/>
      </c>
      <c r="H43" t="s">
        <v>46</v>
      </c>
      <c r="I43" t="s">
        <v>10</v>
      </c>
      <c r="J43" t="s">
        <v>6</v>
      </c>
      <c r="K43" t="s">
        <v>26</v>
      </c>
      <c r="L43" t="s">
        <v>43</v>
      </c>
      <c r="M43" t="s">
        <v>20</v>
      </c>
      <c r="N43">
        <v>119</v>
      </c>
      <c r="O43">
        <v>54</v>
      </c>
      <c r="P43">
        <v>80016.34</v>
      </c>
      <c r="Q43">
        <v>0</v>
      </c>
    </row>
    <row r="44" spans="7:17" x14ac:dyDescent="0.25">
      <c r="G44" t="str">
        <f t="shared" si="0"/>
        <v/>
      </c>
      <c r="H44" t="s">
        <v>46</v>
      </c>
      <c r="I44" t="s">
        <v>10</v>
      </c>
      <c r="J44" t="s">
        <v>6</v>
      </c>
      <c r="K44" t="s">
        <v>26</v>
      </c>
      <c r="L44" t="s">
        <v>44</v>
      </c>
      <c r="M44" t="s">
        <v>19</v>
      </c>
      <c r="N44">
        <v>17</v>
      </c>
      <c r="O44">
        <v>7</v>
      </c>
      <c r="P44">
        <v>23239.699999999997</v>
      </c>
      <c r="Q44">
        <v>10861.119999999999</v>
      </c>
    </row>
    <row r="45" spans="7:17" x14ac:dyDescent="0.25">
      <c r="G45" t="str">
        <f t="shared" si="0"/>
        <v/>
      </c>
      <c r="H45" t="s">
        <v>46</v>
      </c>
      <c r="I45" t="s">
        <v>10</v>
      </c>
      <c r="J45" t="s">
        <v>6</v>
      </c>
      <c r="K45" t="s">
        <v>26</v>
      </c>
      <c r="L45" t="s">
        <v>44</v>
      </c>
      <c r="M45" t="s">
        <v>20</v>
      </c>
      <c r="N45">
        <v>103</v>
      </c>
      <c r="O45">
        <v>53</v>
      </c>
      <c r="P45">
        <v>80669.300000000017</v>
      </c>
      <c r="Q45">
        <v>0</v>
      </c>
    </row>
    <row r="46" spans="7:17" x14ac:dyDescent="0.25">
      <c r="G46" t="str">
        <f t="shared" si="0"/>
        <v/>
      </c>
      <c r="H46" t="s">
        <v>46</v>
      </c>
      <c r="I46" t="s">
        <v>10</v>
      </c>
      <c r="J46" t="s">
        <v>6</v>
      </c>
      <c r="K46" t="s">
        <v>26</v>
      </c>
      <c r="L46" t="s">
        <v>39</v>
      </c>
      <c r="M46" t="s">
        <v>19</v>
      </c>
      <c r="N46">
        <v>2</v>
      </c>
      <c r="O46">
        <v>2</v>
      </c>
      <c r="P46">
        <v>1068.58</v>
      </c>
      <c r="Q46">
        <v>751.63</v>
      </c>
    </row>
    <row r="47" spans="7:17" x14ac:dyDescent="0.25">
      <c r="G47" t="str">
        <f t="shared" si="0"/>
        <v/>
      </c>
      <c r="H47" t="s">
        <v>46</v>
      </c>
      <c r="I47" t="s">
        <v>10</v>
      </c>
      <c r="J47" t="s">
        <v>6</v>
      </c>
      <c r="K47" t="s">
        <v>26</v>
      </c>
      <c r="L47" t="s">
        <v>39</v>
      </c>
      <c r="M47" t="s">
        <v>20</v>
      </c>
      <c r="N47">
        <v>58</v>
      </c>
      <c r="O47">
        <v>37</v>
      </c>
      <c r="P47">
        <v>72404.219999999987</v>
      </c>
      <c r="Q47">
        <v>0</v>
      </c>
    </row>
    <row r="48" spans="7:17" x14ac:dyDescent="0.25">
      <c r="G48" t="str">
        <f t="shared" si="0"/>
        <v/>
      </c>
      <c r="H48" t="s">
        <v>46</v>
      </c>
      <c r="I48" t="s">
        <v>10</v>
      </c>
      <c r="J48" t="s">
        <v>6</v>
      </c>
      <c r="K48" t="s">
        <v>26</v>
      </c>
      <c r="L48" t="s">
        <v>40</v>
      </c>
      <c r="M48" t="s">
        <v>20</v>
      </c>
      <c r="N48">
        <v>20</v>
      </c>
      <c r="O48">
        <v>12</v>
      </c>
      <c r="P48">
        <v>17667.54</v>
      </c>
      <c r="Q48">
        <v>0</v>
      </c>
    </row>
    <row r="49" spans="7:17" x14ac:dyDescent="0.25">
      <c r="G49" t="str">
        <f t="shared" si="0"/>
        <v/>
      </c>
      <c r="H49" t="s">
        <v>46</v>
      </c>
      <c r="I49" t="s">
        <v>10</v>
      </c>
      <c r="J49" t="s">
        <v>6</v>
      </c>
      <c r="K49" t="s">
        <v>26</v>
      </c>
      <c r="L49" t="s">
        <v>41</v>
      </c>
      <c r="M49" t="s">
        <v>20</v>
      </c>
      <c r="N49">
        <v>26</v>
      </c>
      <c r="O49">
        <v>14</v>
      </c>
      <c r="P49">
        <v>33142.54</v>
      </c>
      <c r="Q49">
        <v>0</v>
      </c>
    </row>
    <row r="50" spans="7:17" x14ac:dyDescent="0.25">
      <c r="G50" t="str">
        <f t="shared" si="0"/>
        <v/>
      </c>
      <c r="H50" t="s">
        <v>46</v>
      </c>
      <c r="I50" t="s">
        <v>10</v>
      </c>
      <c r="J50" t="s">
        <v>6</v>
      </c>
      <c r="K50" t="s">
        <v>27</v>
      </c>
      <c r="L50" t="s">
        <v>42</v>
      </c>
      <c r="M50" t="s">
        <v>19</v>
      </c>
      <c r="N50">
        <v>185</v>
      </c>
      <c r="O50">
        <v>56</v>
      </c>
      <c r="P50">
        <v>84019.130000000019</v>
      </c>
      <c r="Q50">
        <v>83828.600000000035</v>
      </c>
    </row>
    <row r="51" spans="7:17" x14ac:dyDescent="0.25">
      <c r="G51" t="str">
        <f t="shared" si="0"/>
        <v/>
      </c>
      <c r="H51" t="s">
        <v>46</v>
      </c>
      <c r="I51" t="s">
        <v>10</v>
      </c>
      <c r="J51" t="s">
        <v>6</v>
      </c>
      <c r="K51" t="s">
        <v>27</v>
      </c>
      <c r="L51" t="s">
        <v>42</v>
      </c>
      <c r="M51" t="s">
        <v>20</v>
      </c>
      <c r="N51">
        <v>74</v>
      </c>
      <c r="O51">
        <v>30</v>
      </c>
      <c r="P51">
        <v>15950.939999999995</v>
      </c>
      <c r="Q51">
        <v>0</v>
      </c>
    </row>
    <row r="52" spans="7:17" x14ac:dyDescent="0.25">
      <c r="G52" t="str">
        <f t="shared" si="0"/>
        <v/>
      </c>
      <c r="H52" t="s">
        <v>46</v>
      </c>
      <c r="I52" t="s">
        <v>10</v>
      </c>
      <c r="J52" t="s">
        <v>6</v>
      </c>
      <c r="K52" t="s">
        <v>27</v>
      </c>
      <c r="L52" t="s">
        <v>43</v>
      </c>
      <c r="M52" t="s">
        <v>19</v>
      </c>
      <c r="N52">
        <v>12</v>
      </c>
      <c r="O52">
        <v>6</v>
      </c>
      <c r="P52">
        <v>9580.42</v>
      </c>
      <c r="Q52">
        <v>9541.9</v>
      </c>
    </row>
    <row r="53" spans="7:17" x14ac:dyDescent="0.25">
      <c r="G53" t="str">
        <f t="shared" si="0"/>
        <v/>
      </c>
      <c r="H53" t="s">
        <v>46</v>
      </c>
      <c r="I53" t="s">
        <v>10</v>
      </c>
      <c r="J53" t="s">
        <v>6</v>
      </c>
      <c r="K53" t="s">
        <v>27</v>
      </c>
      <c r="L53" t="s">
        <v>43</v>
      </c>
      <c r="M53" t="s">
        <v>20</v>
      </c>
      <c r="N53">
        <v>12</v>
      </c>
      <c r="O53">
        <v>8</v>
      </c>
      <c r="P53">
        <v>6172.880000000001</v>
      </c>
      <c r="Q53">
        <v>0</v>
      </c>
    </row>
    <row r="54" spans="7:17" x14ac:dyDescent="0.25">
      <c r="G54" t="str">
        <f t="shared" si="0"/>
        <v/>
      </c>
      <c r="H54" t="s">
        <v>46</v>
      </c>
      <c r="I54" t="s">
        <v>10</v>
      </c>
      <c r="J54" t="s">
        <v>6</v>
      </c>
      <c r="K54" t="s">
        <v>27</v>
      </c>
      <c r="L54" t="s">
        <v>44</v>
      </c>
      <c r="M54" t="s">
        <v>19</v>
      </c>
      <c r="N54">
        <v>1</v>
      </c>
      <c r="O54">
        <v>1</v>
      </c>
      <c r="P54">
        <v>1469.15</v>
      </c>
      <c r="Q54">
        <v>1469.15</v>
      </c>
    </row>
    <row r="55" spans="7:17" x14ac:dyDescent="0.25">
      <c r="G55" t="str">
        <f t="shared" si="0"/>
        <v/>
      </c>
      <c r="H55" t="s">
        <v>46</v>
      </c>
      <c r="I55" t="s">
        <v>10</v>
      </c>
      <c r="J55" t="s">
        <v>6</v>
      </c>
      <c r="K55" t="s">
        <v>27</v>
      </c>
      <c r="L55" t="s">
        <v>44</v>
      </c>
      <c r="M55" t="s">
        <v>20</v>
      </c>
      <c r="N55">
        <v>9</v>
      </c>
      <c r="O55">
        <v>6</v>
      </c>
      <c r="P55">
        <v>4229.72</v>
      </c>
      <c r="Q55">
        <v>0</v>
      </c>
    </row>
    <row r="56" spans="7:17" x14ac:dyDescent="0.25">
      <c r="G56" t="str">
        <f t="shared" si="0"/>
        <v/>
      </c>
      <c r="H56" t="s">
        <v>46</v>
      </c>
      <c r="I56" t="s">
        <v>10</v>
      </c>
      <c r="J56" t="s">
        <v>6</v>
      </c>
      <c r="K56" t="s">
        <v>27</v>
      </c>
      <c r="L56" t="s">
        <v>39</v>
      </c>
      <c r="M56" t="s">
        <v>20</v>
      </c>
      <c r="N56">
        <v>9</v>
      </c>
      <c r="O56">
        <v>6</v>
      </c>
      <c r="P56">
        <v>5116.67</v>
      </c>
      <c r="Q56">
        <v>0</v>
      </c>
    </row>
    <row r="57" spans="7:17" x14ac:dyDescent="0.25">
      <c r="G57" t="str">
        <f t="shared" si="0"/>
        <v/>
      </c>
      <c r="H57" t="s">
        <v>46</v>
      </c>
      <c r="I57" t="s">
        <v>10</v>
      </c>
      <c r="J57" t="s">
        <v>6</v>
      </c>
      <c r="K57" t="s">
        <v>27</v>
      </c>
      <c r="L57" t="s">
        <v>40</v>
      </c>
      <c r="M57" t="s">
        <v>20</v>
      </c>
      <c r="N57">
        <v>7</v>
      </c>
      <c r="O57">
        <v>2</v>
      </c>
      <c r="P57">
        <v>2892.3900000000008</v>
      </c>
      <c r="Q57">
        <v>0</v>
      </c>
    </row>
    <row r="58" spans="7:17" x14ac:dyDescent="0.25">
      <c r="G58" t="str">
        <f t="shared" si="0"/>
        <v/>
      </c>
      <c r="H58" t="s">
        <v>46</v>
      </c>
      <c r="I58" t="s">
        <v>10</v>
      </c>
      <c r="J58" t="s">
        <v>6</v>
      </c>
      <c r="K58" t="s">
        <v>27</v>
      </c>
      <c r="L58" t="s">
        <v>41</v>
      </c>
      <c r="M58" t="s">
        <v>19</v>
      </c>
      <c r="N58">
        <v>19</v>
      </c>
      <c r="O58">
        <v>0</v>
      </c>
      <c r="P58">
        <v>6275.6899999999978</v>
      </c>
      <c r="Q58">
        <v>6273.9899999999989</v>
      </c>
    </row>
    <row r="59" spans="7:17" x14ac:dyDescent="0.25">
      <c r="G59" t="str">
        <f t="shared" si="0"/>
        <v/>
      </c>
      <c r="H59" t="s">
        <v>46</v>
      </c>
      <c r="I59" t="s">
        <v>10</v>
      </c>
      <c r="J59" t="s">
        <v>6</v>
      </c>
      <c r="K59" t="s">
        <v>27</v>
      </c>
      <c r="L59" t="s">
        <v>41</v>
      </c>
      <c r="M59" t="s">
        <v>20</v>
      </c>
      <c r="N59">
        <v>6</v>
      </c>
      <c r="O59">
        <v>1</v>
      </c>
      <c r="P59">
        <v>3905.1900000000005</v>
      </c>
      <c r="Q59">
        <v>0</v>
      </c>
    </row>
    <row r="60" spans="7:17" x14ac:dyDescent="0.25">
      <c r="G60" t="str">
        <f t="shared" si="0"/>
        <v/>
      </c>
      <c r="H60" t="s">
        <v>46</v>
      </c>
      <c r="I60" t="s">
        <v>10</v>
      </c>
      <c r="J60" t="s">
        <v>6</v>
      </c>
      <c r="K60" t="s">
        <v>27</v>
      </c>
      <c r="L60" t="s">
        <v>45</v>
      </c>
      <c r="M60" t="s">
        <v>20</v>
      </c>
      <c r="N60">
        <v>39</v>
      </c>
      <c r="O60">
        <v>21</v>
      </c>
      <c r="P60">
        <v>30041.309999999987</v>
      </c>
      <c r="Q60">
        <v>0</v>
      </c>
    </row>
    <row r="61" spans="7:17" x14ac:dyDescent="0.25">
      <c r="G61" t="str">
        <f t="shared" si="0"/>
        <v/>
      </c>
      <c r="H61" t="s">
        <v>46</v>
      </c>
      <c r="I61" t="s">
        <v>10</v>
      </c>
      <c r="J61" t="s">
        <v>6</v>
      </c>
      <c r="K61" t="s">
        <v>28</v>
      </c>
      <c r="L61" t="s">
        <v>42</v>
      </c>
      <c r="M61" t="s">
        <v>19</v>
      </c>
      <c r="N61">
        <v>403</v>
      </c>
      <c r="O61">
        <v>158</v>
      </c>
      <c r="P61">
        <v>204263.00000000012</v>
      </c>
      <c r="Q61">
        <v>201143.82000000012</v>
      </c>
    </row>
    <row r="62" spans="7:17" x14ac:dyDescent="0.25">
      <c r="G62" t="str">
        <f t="shared" si="0"/>
        <v/>
      </c>
      <c r="H62" t="s">
        <v>46</v>
      </c>
      <c r="I62" t="s">
        <v>10</v>
      </c>
      <c r="J62" t="s">
        <v>6</v>
      </c>
      <c r="K62" t="s">
        <v>28</v>
      </c>
      <c r="L62" t="s">
        <v>42</v>
      </c>
      <c r="M62" t="s">
        <v>20</v>
      </c>
      <c r="N62">
        <v>166</v>
      </c>
      <c r="O62">
        <v>68</v>
      </c>
      <c r="P62">
        <v>44718.3</v>
      </c>
      <c r="Q62">
        <v>0</v>
      </c>
    </row>
    <row r="63" spans="7:17" x14ac:dyDescent="0.25">
      <c r="G63" t="str">
        <f t="shared" si="0"/>
        <v/>
      </c>
      <c r="H63" t="s">
        <v>46</v>
      </c>
      <c r="I63" t="s">
        <v>10</v>
      </c>
      <c r="J63" t="s">
        <v>6</v>
      </c>
      <c r="K63" t="s">
        <v>28</v>
      </c>
      <c r="L63" t="s">
        <v>43</v>
      </c>
      <c r="M63" t="s">
        <v>19</v>
      </c>
      <c r="N63">
        <v>44</v>
      </c>
      <c r="O63">
        <v>30</v>
      </c>
      <c r="P63">
        <v>31469.749999999996</v>
      </c>
      <c r="Q63">
        <v>26087.859999999997</v>
      </c>
    </row>
    <row r="64" spans="7:17" x14ac:dyDescent="0.25">
      <c r="G64" t="str">
        <f t="shared" si="0"/>
        <v/>
      </c>
      <c r="H64" t="s">
        <v>46</v>
      </c>
      <c r="I64" t="s">
        <v>10</v>
      </c>
      <c r="J64" t="s">
        <v>6</v>
      </c>
      <c r="K64" t="s">
        <v>28</v>
      </c>
      <c r="L64" t="s">
        <v>43</v>
      </c>
      <c r="M64" t="s">
        <v>20</v>
      </c>
      <c r="N64">
        <v>51</v>
      </c>
      <c r="O64">
        <v>32</v>
      </c>
      <c r="P64">
        <v>35001.329999999994</v>
      </c>
      <c r="Q64">
        <v>0</v>
      </c>
    </row>
    <row r="65" spans="7:17" x14ac:dyDescent="0.25">
      <c r="G65" t="str">
        <f t="shared" si="0"/>
        <v/>
      </c>
      <c r="H65" t="s">
        <v>46</v>
      </c>
      <c r="I65" t="s">
        <v>10</v>
      </c>
      <c r="J65" t="s">
        <v>6</v>
      </c>
      <c r="K65" t="s">
        <v>28</v>
      </c>
      <c r="L65" t="s">
        <v>44</v>
      </c>
      <c r="M65" t="s">
        <v>19</v>
      </c>
      <c r="N65">
        <v>11</v>
      </c>
      <c r="O65">
        <v>9</v>
      </c>
      <c r="P65">
        <v>11817.67</v>
      </c>
      <c r="Q65">
        <v>9745.4</v>
      </c>
    </row>
    <row r="66" spans="7:17" x14ac:dyDescent="0.25">
      <c r="G66" t="str">
        <f t="shared" ref="G66:G129" si="1">IF(G$1="Overall","Overall",IF(G$1=L66,L66,""))</f>
        <v/>
      </c>
      <c r="H66" t="s">
        <v>46</v>
      </c>
      <c r="I66" t="s">
        <v>10</v>
      </c>
      <c r="J66" t="s">
        <v>6</v>
      </c>
      <c r="K66" t="s">
        <v>28</v>
      </c>
      <c r="L66" t="s">
        <v>44</v>
      </c>
      <c r="M66" t="s">
        <v>20</v>
      </c>
      <c r="N66">
        <v>29</v>
      </c>
      <c r="O66">
        <v>22</v>
      </c>
      <c r="P66">
        <v>26793.129999999994</v>
      </c>
      <c r="Q66">
        <v>0</v>
      </c>
    </row>
    <row r="67" spans="7:17" x14ac:dyDescent="0.25">
      <c r="G67" t="str">
        <f t="shared" si="1"/>
        <v/>
      </c>
      <c r="H67" t="s">
        <v>46</v>
      </c>
      <c r="I67" t="s">
        <v>10</v>
      </c>
      <c r="J67" t="s">
        <v>6</v>
      </c>
      <c r="K67" t="s">
        <v>29</v>
      </c>
      <c r="L67" t="s">
        <v>42</v>
      </c>
      <c r="M67" t="s">
        <v>19</v>
      </c>
      <c r="N67">
        <v>435</v>
      </c>
      <c r="O67">
        <v>107</v>
      </c>
      <c r="P67">
        <v>195506.64999999997</v>
      </c>
      <c r="Q67">
        <v>191259.09</v>
      </c>
    </row>
    <row r="68" spans="7:17" x14ac:dyDescent="0.25">
      <c r="G68" t="str">
        <f t="shared" si="1"/>
        <v/>
      </c>
      <c r="H68" t="s">
        <v>46</v>
      </c>
      <c r="I68" t="s">
        <v>10</v>
      </c>
      <c r="J68" t="s">
        <v>6</v>
      </c>
      <c r="K68" t="s">
        <v>29</v>
      </c>
      <c r="L68" t="s">
        <v>42</v>
      </c>
      <c r="M68" t="s">
        <v>20</v>
      </c>
      <c r="N68">
        <v>169</v>
      </c>
      <c r="O68">
        <v>55</v>
      </c>
      <c r="P68">
        <v>46733.789999999986</v>
      </c>
      <c r="Q68">
        <v>0</v>
      </c>
    </row>
    <row r="69" spans="7:17" x14ac:dyDescent="0.25">
      <c r="G69" t="str">
        <f t="shared" si="1"/>
        <v/>
      </c>
      <c r="H69" t="s">
        <v>46</v>
      </c>
      <c r="I69" t="s">
        <v>10</v>
      </c>
      <c r="J69" t="s">
        <v>6</v>
      </c>
      <c r="K69" t="s">
        <v>29</v>
      </c>
      <c r="L69" t="s">
        <v>43</v>
      </c>
      <c r="M69" t="s">
        <v>19</v>
      </c>
      <c r="N69">
        <v>40</v>
      </c>
      <c r="O69">
        <v>24</v>
      </c>
      <c r="P69">
        <v>34555.699999999997</v>
      </c>
      <c r="Q69">
        <v>31553.1</v>
      </c>
    </row>
    <row r="70" spans="7:17" x14ac:dyDescent="0.25">
      <c r="G70" t="str">
        <f t="shared" si="1"/>
        <v/>
      </c>
      <c r="H70" t="s">
        <v>46</v>
      </c>
      <c r="I70" t="s">
        <v>10</v>
      </c>
      <c r="J70" t="s">
        <v>6</v>
      </c>
      <c r="K70" t="s">
        <v>29</v>
      </c>
      <c r="L70" t="s">
        <v>43</v>
      </c>
      <c r="M70" t="s">
        <v>20</v>
      </c>
      <c r="N70">
        <v>64</v>
      </c>
      <c r="O70">
        <v>20</v>
      </c>
      <c r="P70">
        <v>38235.759999999995</v>
      </c>
      <c r="Q70">
        <v>0</v>
      </c>
    </row>
    <row r="71" spans="7:17" x14ac:dyDescent="0.25">
      <c r="G71" t="str">
        <f t="shared" si="1"/>
        <v/>
      </c>
      <c r="H71" t="s">
        <v>46</v>
      </c>
      <c r="I71" t="s">
        <v>10</v>
      </c>
      <c r="J71" t="s">
        <v>6</v>
      </c>
      <c r="K71" t="s">
        <v>29</v>
      </c>
      <c r="L71" t="s">
        <v>44</v>
      </c>
      <c r="M71" t="s">
        <v>19</v>
      </c>
      <c r="N71">
        <v>22</v>
      </c>
      <c r="O71">
        <v>12</v>
      </c>
      <c r="P71">
        <v>23748.239999999998</v>
      </c>
      <c r="Q71">
        <v>19176.02</v>
      </c>
    </row>
    <row r="72" spans="7:17" x14ac:dyDescent="0.25">
      <c r="G72" t="str">
        <f t="shared" si="1"/>
        <v/>
      </c>
      <c r="H72" t="s">
        <v>46</v>
      </c>
      <c r="I72" t="s">
        <v>10</v>
      </c>
      <c r="J72" t="s">
        <v>6</v>
      </c>
      <c r="K72" t="s">
        <v>29</v>
      </c>
      <c r="L72" t="s">
        <v>44</v>
      </c>
      <c r="M72" t="s">
        <v>20</v>
      </c>
      <c r="N72">
        <v>36</v>
      </c>
      <c r="O72">
        <v>23</v>
      </c>
      <c r="P72">
        <v>25469.7</v>
      </c>
      <c r="Q72">
        <v>0</v>
      </c>
    </row>
    <row r="73" spans="7:17" x14ac:dyDescent="0.25">
      <c r="G73" t="str">
        <f t="shared" si="1"/>
        <v/>
      </c>
      <c r="H73" t="s">
        <v>46</v>
      </c>
      <c r="I73" t="s">
        <v>10</v>
      </c>
      <c r="J73" t="s">
        <v>6</v>
      </c>
      <c r="K73" t="s">
        <v>29</v>
      </c>
      <c r="L73" t="s">
        <v>39</v>
      </c>
      <c r="M73" t="s">
        <v>19</v>
      </c>
      <c r="N73">
        <v>5</v>
      </c>
      <c r="O73">
        <v>4</v>
      </c>
      <c r="P73">
        <v>6451.65</v>
      </c>
      <c r="Q73">
        <v>6271.11</v>
      </c>
    </row>
    <row r="74" spans="7:17" x14ac:dyDescent="0.25">
      <c r="G74" t="str">
        <f t="shared" si="1"/>
        <v/>
      </c>
      <c r="H74" t="s">
        <v>46</v>
      </c>
      <c r="I74" t="s">
        <v>10</v>
      </c>
      <c r="J74" t="s">
        <v>6</v>
      </c>
      <c r="K74" t="s">
        <v>29</v>
      </c>
      <c r="L74" t="s">
        <v>39</v>
      </c>
      <c r="M74" t="s">
        <v>20</v>
      </c>
      <c r="N74">
        <v>12</v>
      </c>
      <c r="O74">
        <v>8</v>
      </c>
      <c r="P74">
        <v>18746.14</v>
      </c>
      <c r="Q74">
        <v>0</v>
      </c>
    </row>
    <row r="75" spans="7:17" x14ac:dyDescent="0.25">
      <c r="G75" t="str">
        <f t="shared" si="1"/>
        <v/>
      </c>
      <c r="H75" t="s">
        <v>46</v>
      </c>
      <c r="I75" t="s">
        <v>10</v>
      </c>
      <c r="J75" t="s">
        <v>6</v>
      </c>
      <c r="K75" t="s">
        <v>29</v>
      </c>
      <c r="L75" t="s">
        <v>40</v>
      </c>
      <c r="M75" t="s">
        <v>19</v>
      </c>
      <c r="N75">
        <v>1</v>
      </c>
      <c r="O75">
        <v>0</v>
      </c>
      <c r="P75">
        <v>688.65</v>
      </c>
      <c r="Q75">
        <v>195.96</v>
      </c>
    </row>
    <row r="76" spans="7:17" x14ac:dyDescent="0.25">
      <c r="G76" t="str">
        <f t="shared" si="1"/>
        <v/>
      </c>
      <c r="H76" t="s">
        <v>46</v>
      </c>
      <c r="I76" t="s">
        <v>10</v>
      </c>
      <c r="J76" t="s">
        <v>6</v>
      </c>
      <c r="K76" t="s">
        <v>29</v>
      </c>
      <c r="L76" t="s">
        <v>40</v>
      </c>
      <c r="M76" t="s">
        <v>20</v>
      </c>
      <c r="N76">
        <v>18</v>
      </c>
      <c r="O76">
        <v>7</v>
      </c>
      <c r="P76">
        <v>11901.55</v>
      </c>
      <c r="Q76">
        <v>0</v>
      </c>
    </row>
    <row r="77" spans="7:17" x14ac:dyDescent="0.25">
      <c r="G77" t="str">
        <f t="shared" si="1"/>
        <v/>
      </c>
      <c r="H77" t="s">
        <v>46</v>
      </c>
      <c r="I77" t="s">
        <v>10</v>
      </c>
      <c r="J77" t="s">
        <v>6</v>
      </c>
      <c r="K77" t="s">
        <v>29</v>
      </c>
      <c r="L77" t="s">
        <v>41</v>
      </c>
      <c r="M77" t="s">
        <v>19</v>
      </c>
      <c r="N77">
        <v>1</v>
      </c>
      <c r="O77">
        <v>0</v>
      </c>
      <c r="P77">
        <v>215.82</v>
      </c>
      <c r="Q77">
        <v>215.82</v>
      </c>
    </row>
    <row r="78" spans="7:17" x14ac:dyDescent="0.25">
      <c r="G78" t="str">
        <f t="shared" si="1"/>
        <v/>
      </c>
      <c r="H78" t="s">
        <v>46</v>
      </c>
      <c r="I78" t="s">
        <v>10</v>
      </c>
      <c r="J78" t="s">
        <v>6</v>
      </c>
      <c r="K78" t="s">
        <v>29</v>
      </c>
      <c r="L78" t="s">
        <v>41</v>
      </c>
      <c r="M78" t="s">
        <v>20</v>
      </c>
      <c r="N78">
        <v>11</v>
      </c>
      <c r="O78">
        <v>4</v>
      </c>
      <c r="P78">
        <v>11875.71</v>
      </c>
      <c r="Q78">
        <v>0</v>
      </c>
    </row>
    <row r="79" spans="7:17" x14ac:dyDescent="0.25">
      <c r="G79" t="str">
        <f t="shared" si="1"/>
        <v/>
      </c>
      <c r="H79" t="s">
        <v>46</v>
      </c>
      <c r="I79" t="s">
        <v>10</v>
      </c>
      <c r="J79" t="s">
        <v>6</v>
      </c>
      <c r="K79" t="s">
        <v>29</v>
      </c>
      <c r="L79" t="s">
        <v>45</v>
      </c>
      <c r="M79" t="s">
        <v>19</v>
      </c>
      <c r="N79">
        <v>2</v>
      </c>
      <c r="O79">
        <v>2</v>
      </c>
      <c r="P79">
        <v>13057.07</v>
      </c>
      <c r="Q79">
        <v>5500</v>
      </c>
    </row>
    <row r="80" spans="7:17" x14ac:dyDescent="0.25">
      <c r="G80" t="str">
        <f t="shared" si="1"/>
        <v/>
      </c>
      <c r="H80" t="s">
        <v>46</v>
      </c>
      <c r="I80" t="s">
        <v>10</v>
      </c>
      <c r="J80" t="s">
        <v>6</v>
      </c>
      <c r="K80" t="s">
        <v>29</v>
      </c>
      <c r="L80" t="s">
        <v>45</v>
      </c>
      <c r="M80" t="s">
        <v>20</v>
      </c>
      <c r="N80">
        <v>144</v>
      </c>
      <c r="O80">
        <v>64</v>
      </c>
      <c r="P80">
        <v>113327.83000000002</v>
      </c>
      <c r="Q80">
        <v>0</v>
      </c>
    </row>
    <row r="81" spans="7:17" x14ac:dyDescent="0.25">
      <c r="G81" t="str">
        <f t="shared" si="1"/>
        <v/>
      </c>
      <c r="H81" t="s">
        <v>46</v>
      </c>
      <c r="I81" t="s">
        <v>10</v>
      </c>
      <c r="J81" t="s">
        <v>6</v>
      </c>
      <c r="K81" t="s">
        <v>30</v>
      </c>
      <c r="L81" t="s">
        <v>42</v>
      </c>
      <c r="M81" t="s">
        <v>19</v>
      </c>
      <c r="N81">
        <v>43</v>
      </c>
      <c r="O81">
        <v>7</v>
      </c>
      <c r="P81">
        <v>20779.459999999995</v>
      </c>
      <c r="Q81">
        <v>20753.209999999995</v>
      </c>
    </row>
    <row r="82" spans="7:17" x14ac:dyDescent="0.25">
      <c r="G82" t="str">
        <f t="shared" si="1"/>
        <v/>
      </c>
      <c r="H82" t="s">
        <v>46</v>
      </c>
      <c r="I82" t="s">
        <v>10</v>
      </c>
      <c r="J82" t="s">
        <v>6</v>
      </c>
      <c r="K82" t="s">
        <v>30</v>
      </c>
      <c r="L82" t="s">
        <v>42</v>
      </c>
      <c r="M82" t="s">
        <v>20</v>
      </c>
      <c r="N82">
        <v>12</v>
      </c>
      <c r="O82">
        <v>2</v>
      </c>
      <c r="P82">
        <v>3248.33</v>
      </c>
      <c r="Q82">
        <v>0</v>
      </c>
    </row>
    <row r="83" spans="7:17" x14ac:dyDescent="0.25">
      <c r="G83" t="str">
        <f t="shared" si="1"/>
        <v/>
      </c>
      <c r="H83" t="s">
        <v>46</v>
      </c>
      <c r="I83" t="s">
        <v>10</v>
      </c>
      <c r="J83" t="s">
        <v>6</v>
      </c>
      <c r="K83" t="s">
        <v>30</v>
      </c>
      <c r="L83" t="s">
        <v>43</v>
      </c>
      <c r="M83" t="s">
        <v>20</v>
      </c>
      <c r="N83">
        <v>8</v>
      </c>
      <c r="O83">
        <v>3</v>
      </c>
      <c r="P83">
        <v>6778.47</v>
      </c>
      <c r="Q83">
        <v>0</v>
      </c>
    </row>
    <row r="84" spans="7:17" x14ac:dyDescent="0.25">
      <c r="G84" t="str">
        <f t="shared" si="1"/>
        <v/>
      </c>
      <c r="H84" t="s">
        <v>46</v>
      </c>
      <c r="I84" t="s">
        <v>10</v>
      </c>
      <c r="J84" t="s">
        <v>6</v>
      </c>
      <c r="K84" t="s">
        <v>30</v>
      </c>
      <c r="L84" t="s">
        <v>44</v>
      </c>
      <c r="M84" t="s">
        <v>20</v>
      </c>
      <c r="N84">
        <v>7</v>
      </c>
      <c r="O84">
        <v>4</v>
      </c>
      <c r="P84">
        <v>7877.6100000000006</v>
      </c>
      <c r="Q84">
        <v>0</v>
      </c>
    </row>
    <row r="85" spans="7:17" x14ac:dyDescent="0.25">
      <c r="G85" t="str">
        <f t="shared" si="1"/>
        <v/>
      </c>
      <c r="H85" t="s">
        <v>46</v>
      </c>
      <c r="I85" t="s">
        <v>10</v>
      </c>
      <c r="J85" t="s">
        <v>6</v>
      </c>
      <c r="K85" t="s">
        <v>30</v>
      </c>
      <c r="L85" t="s">
        <v>39</v>
      </c>
      <c r="M85" t="s">
        <v>20</v>
      </c>
      <c r="N85">
        <v>7</v>
      </c>
      <c r="O85">
        <v>5</v>
      </c>
      <c r="P85">
        <v>5648.57</v>
      </c>
      <c r="Q85">
        <v>0</v>
      </c>
    </row>
    <row r="86" spans="7:17" x14ac:dyDescent="0.25">
      <c r="G86" t="str">
        <f t="shared" si="1"/>
        <v/>
      </c>
      <c r="H86" t="s">
        <v>46</v>
      </c>
      <c r="I86" t="s">
        <v>10</v>
      </c>
      <c r="J86" t="s">
        <v>6</v>
      </c>
      <c r="K86" t="s">
        <v>30</v>
      </c>
      <c r="L86" t="s">
        <v>40</v>
      </c>
      <c r="M86" t="s">
        <v>20</v>
      </c>
      <c r="N86">
        <v>11</v>
      </c>
      <c r="O86">
        <v>0</v>
      </c>
      <c r="P86">
        <v>4179.9800000000005</v>
      </c>
      <c r="Q86">
        <v>0</v>
      </c>
    </row>
    <row r="87" spans="7:17" x14ac:dyDescent="0.25">
      <c r="G87" t="str">
        <f t="shared" si="1"/>
        <v/>
      </c>
      <c r="H87" t="s">
        <v>46</v>
      </c>
      <c r="I87" t="s">
        <v>10</v>
      </c>
      <c r="J87" t="s">
        <v>6</v>
      </c>
      <c r="K87" t="s">
        <v>30</v>
      </c>
      <c r="L87" t="s">
        <v>41</v>
      </c>
      <c r="M87" t="s">
        <v>20</v>
      </c>
      <c r="N87">
        <v>3</v>
      </c>
      <c r="O87">
        <v>0</v>
      </c>
      <c r="P87">
        <v>1901.4</v>
      </c>
      <c r="Q87">
        <v>0</v>
      </c>
    </row>
    <row r="88" spans="7:17" x14ac:dyDescent="0.25">
      <c r="G88" t="str">
        <f t="shared" si="1"/>
        <v/>
      </c>
      <c r="H88" t="s">
        <v>46</v>
      </c>
      <c r="I88" t="s">
        <v>10</v>
      </c>
      <c r="J88" t="s">
        <v>6</v>
      </c>
      <c r="K88" t="s">
        <v>30</v>
      </c>
      <c r="L88" t="s">
        <v>45</v>
      </c>
      <c r="M88" t="s">
        <v>20</v>
      </c>
      <c r="N88">
        <v>30</v>
      </c>
      <c r="O88">
        <v>5</v>
      </c>
      <c r="P88">
        <v>20922.72</v>
      </c>
      <c r="Q88">
        <v>0</v>
      </c>
    </row>
    <row r="89" spans="7:17" x14ac:dyDescent="0.25">
      <c r="G89" t="str">
        <f t="shared" si="1"/>
        <v/>
      </c>
      <c r="H89" t="s">
        <v>46</v>
      </c>
      <c r="I89" t="s">
        <v>10</v>
      </c>
      <c r="J89" t="s">
        <v>6</v>
      </c>
      <c r="K89" t="s">
        <v>32</v>
      </c>
      <c r="L89" t="s">
        <v>42</v>
      </c>
      <c r="M89" t="s">
        <v>19</v>
      </c>
      <c r="N89">
        <v>62</v>
      </c>
      <c r="O89">
        <v>7</v>
      </c>
      <c r="P89">
        <v>28357.900000000012</v>
      </c>
      <c r="Q89">
        <v>28084.250000000007</v>
      </c>
    </row>
    <row r="90" spans="7:17" x14ac:dyDescent="0.25">
      <c r="G90" t="str">
        <f t="shared" si="1"/>
        <v/>
      </c>
      <c r="H90" t="s">
        <v>46</v>
      </c>
      <c r="I90" t="s">
        <v>10</v>
      </c>
      <c r="J90" t="s">
        <v>6</v>
      </c>
      <c r="K90" t="s">
        <v>32</v>
      </c>
      <c r="L90" t="s">
        <v>42</v>
      </c>
      <c r="M90" t="s">
        <v>20</v>
      </c>
      <c r="N90">
        <v>17</v>
      </c>
      <c r="O90">
        <v>5</v>
      </c>
      <c r="P90">
        <v>4232.869999999999</v>
      </c>
      <c r="Q90">
        <v>0</v>
      </c>
    </row>
    <row r="91" spans="7:17" x14ac:dyDescent="0.25">
      <c r="G91" t="str">
        <f t="shared" si="1"/>
        <v/>
      </c>
      <c r="H91" t="s">
        <v>46</v>
      </c>
      <c r="I91" t="s">
        <v>10</v>
      </c>
      <c r="J91" t="s">
        <v>6</v>
      </c>
      <c r="K91" t="s">
        <v>32</v>
      </c>
      <c r="L91" t="s">
        <v>43</v>
      </c>
      <c r="M91" t="s">
        <v>19</v>
      </c>
      <c r="N91">
        <v>29</v>
      </c>
      <c r="O91">
        <v>0</v>
      </c>
      <c r="P91">
        <v>22744.97</v>
      </c>
      <c r="Q91">
        <v>19725.57</v>
      </c>
    </row>
    <row r="92" spans="7:17" x14ac:dyDescent="0.25">
      <c r="G92" t="str">
        <f t="shared" si="1"/>
        <v/>
      </c>
      <c r="H92" t="s">
        <v>46</v>
      </c>
      <c r="I92" t="s">
        <v>10</v>
      </c>
      <c r="J92" t="s">
        <v>6</v>
      </c>
      <c r="K92" t="s">
        <v>32</v>
      </c>
      <c r="L92" t="s">
        <v>43</v>
      </c>
      <c r="M92" t="s">
        <v>20</v>
      </c>
      <c r="N92">
        <v>23</v>
      </c>
      <c r="O92">
        <v>2</v>
      </c>
      <c r="P92">
        <v>14476.12</v>
      </c>
      <c r="Q92">
        <v>0</v>
      </c>
    </row>
    <row r="93" spans="7:17" x14ac:dyDescent="0.25">
      <c r="G93" t="str">
        <f t="shared" si="1"/>
        <v/>
      </c>
      <c r="H93" t="s">
        <v>46</v>
      </c>
      <c r="I93" t="s">
        <v>10</v>
      </c>
      <c r="J93" t="s">
        <v>6</v>
      </c>
      <c r="K93" t="s">
        <v>32</v>
      </c>
      <c r="L93" t="s">
        <v>44</v>
      </c>
      <c r="M93" t="s">
        <v>19</v>
      </c>
      <c r="N93">
        <v>10</v>
      </c>
      <c r="O93">
        <v>1</v>
      </c>
      <c r="P93">
        <v>16859.2</v>
      </c>
      <c r="Q93">
        <v>11167.320000000002</v>
      </c>
    </row>
    <row r="94" spans="7:17" x14ac:dyDescent="0.25">
      <c r="G94" t="str">
        <f t="shared" si="1"/>
        <v/>
      </c>
      <c r="H94" t="s">
        <v>46</v>
      </c>
      <c r="I94" t="s">
        <v>10</v>
      </c>
      <c r="J94" t="s">
        <v>6</v>
      </c>
      <c r="K94" t="s">
        <v>32</v>
      </c>
      <c r="L94" t="s">
        <v>44</v>
      </c>
      <c r="M94" t="s">
        <v>20</v>
      </c>
      <c r="N94">
        <v>8</v>
      </c>
      <c r="O94">
        <v>4</v>
      </c>
      <c r="P94">
        <v>6941.5199999999986</v>
      </c>
      <c r="Q94">
        <v>0</v>
      </c>
    </row>
    <row r="95" spans="7:17" x14ac:dyDescent="0.25">
      <c r="G95" t="str">
        <f t="shared" si="1"/>
        <v/>
      </c>
      <c r="H95" t="s">
        <v>46</v>
      </c>
      <c r="I95" t="s">
        <v>10</v>
      </c>
      <c r="J95" t="s">
        <v>6</v>
      </c>
      <c r="K95" t="s">
        <v>32</v>
      </c>
      <c r="L95" t="s">
        <v>39</v>
      </c>
      <c r="M95" t="s">
        <v>19</v>
      </c>
      <c r="N95">
        <v>4</v>
      </c>
      <c r="O95">
        <v>1</v>
      </c>
      <c r="P95">
        <v>2348.11</v>
      </c>
      <c r="Q95">
        <v>2348.11</v>
      </c>
    </row>
    <row r="96" spans="7:17" x14ac:dyDescent="0.25">
      <c r="G96" t="str">
        <f t="shared" si="1"/>
        <v/>
      </c>
      <c r="H96" t="s">
        <v>46</v>
      </c>
      <c r="I96" t="s">
        <v>10</v>
      </c>
      <c r="J96" t="s">
        <v>6</v>
      </c>
      <c r="K96" t="s">
        <v>32</v>
      </c>
      <c r="L96" t="s">
        <v>39</v>
      </c>
      <c r="M96" t="s">
        <v>20</v>
      </c>
      <c r="N96">
        <v>3</v>
      </c>
      <c r="O96">
        <v>1</v>
      </c>
      <c r="P96">
        <v>3315.31</v>
      </c>
      <c r="Q96">
        <v>0</v>
      </c>
    </row>
    <row r="97" spans="7:17" x14ac:dyDescent="0.25">
      <c r="G97" t="str">
        <f t="shared" si="1"/>
        <v/>
      </c>
      <c r="H97" t="s">
        <v>46</v>
      </c>
      <c r="I97" t="s">
        <v>10</v>
      </c>
      <c r="J97" t="s">
        <v>6</v>
      </c>
      <c r="K97" t="s">
        <v>32</v>
      </c>
      <c r="L97" t="s">
        <v>40</v>
      </c>
      <c r="M97" t="s">
        <v>20</v>
      </c>
      <c r="N97">
        <v>4</v>
      </c>
      <c r="O97">
        <v>2</v>
      </c>
      <c r="P97">
        <v>3644.9900000000002</v>
      </c>
      <c r="Q97">
        <v>0</v>
      </c>
    </row>
    <row r="98" spans="7:17" x14ac:dyDescent="0.25">
      <c r="G98" t="str">
        <f t="shared" si="1"/>
        <v/>
      </c>
      <c r="H98" t="s">
        <v>46</v>
      </c>
      <c r="I98" t="s">
        <v>10</v>
      </c>
      <c r="J98" t="s">
        <v>6</v>
      </c>
      <c r="K98" t="s">
        <v>32</v>
      </c>
      <c r="L98" t="s">
        <v>41</v>
      </c>
      <c r="M98" t="s">
        <v>20</v>
      </c>
      <c r="N98">
        <v>4</v>
      </c>
      <c r="O98">
        <v>0</v>
      </c>
      <c r="P98">
        <v>14815.84</v>
      </c>
      <c r="Q98">
        <v>0</v>
      </c>
    </row>
    <row r="99" spans="7:17" x14ac:dyDescent="0.25">
      <c r="G99" t="str">
        <f t="shared" si="1"/>
        <v/>
      </c>
      <c r="H99" t="s">
        <v>46</v>
      </c>
      <c r="I99" t="s">
        <v>10</v>
      </c>
      <c r="J99" t="s">
        <v>6</v>
      </c>
      <c r="K99" t="s">
        <v>32</v>
      </c>
      <c r="L99" t="s">
        <v>45</v>
      </c>
      <c r="M99" t="s">
        <v>20</v>
      </c>
      <c r="N99">
        <v>12</v>
      </c>
      <c r="O99">
        <v>7</v>
      </c>
      <c r="P99">
        <v>15598.420000000002</v>
      </c>
      <c r="Q99">
        <v>0</v>
      </c>
    </row>
    <row r="100" spans="7:17" x14ac:dyDescent="0.25">
      <c r="G100" t="str">
        <f t="shared" si="1"/>
        <v/>
      </c>
      <c r="H100" t="s">
        <v>46</v>
      </c>
      <c r="I100" t="s">
        <v>10</v>
      </c>
      <c r="J100" t="s">
        <v>6</v>
      </c>
      <c r="K100" t="s">
        <v>33</v>
      </c>
      <c r="L100" t="s">
        <v>42</v>
      </c>
      <c r="M100" t="s">
        <v>19</v>
      </c>
      <c r="N100">
        <v>245</v>
      </c>
      <c r="O100">
        <v>95</v>
      </c>
      <c r="P100">
        <v>117008.11000000004</v>
      </c>
      <c r="Q100">
        <v>116379.57000000002</v>
      </c>
    </row>
    <row r="101" spans="7:17" x14ac:dyDescent="0.25">
      <c r="G101" t="str">
        <f t="shared" si="1"/>
        <v/>
      </c>
      <c r="H101" t="s">
        <v>46</v>
      </c>
      <c r="I101" t="s">
        <v>10</v>
      </c>
      <c r="J101" t="s">
        <v>6</v>
      </c>
      <c r="K101" t="s">
        <v>33</v>
      </c>
      <c r="L101" t="s">
        <v>42</v>
      </c>
      <c r="M101" t="s">
        <v>20</v>
      </c>
      <c r="N101">
        <v>116</v>
      </c>
      <c r="O101">
        <v>64</v>
      </c>
      <c r="P101">
        <v>28413.12999999999</v>
      </c>
      <c r="Q101">
        <v>0</v>
      </c>
    </row>
    <row r="102" spans="7:17" x14ac:dyDescent="0.25">
      <c r="G102" t="str">
        <f t="shared" si="1"/>
        <v/>
      </c>
      <c r="H102" t="s">
        <v>46</v>
      </c>
      <c r="I102" t="s">
        <v>10</v>
      </c>
      <c r="J102" t="s">
        <v>6</v>
      </c>
      <c r="K102" t="s">
        <v>33</v>
      </c>
      <c r="L102" t="s">
        <v>43</v>
      </c>
      <c r="M102" t="s">
        <v>19</v>
      </c>
      <c r="N102">
        <v>25</v>
      </c>
      <c r="O102">
        <v>21</v>
      </c>
      <c r="P102">
        <v>22994.900000000005</v>
      </c>
      <c r="Q102">
        <v>21903.74</v>
      </c>
    </row>
    <row r="103" spans="7:17" x14ac:dyDescent="0.25">
      <c r="G103" t="str">
        <f t="shared" si="1"/>
        <v/>
      </c>
      <c r="H103" t="s">
        <v>46</v>
      </c>
      <c r="I103" t="s">
        <v>10</v>
      </c>
      <c r="J103" t="s">
        <v>6</v>
      </c>
      <c r="K103" t="s">
        <v>33</v>
      </c>
      <c r="L103" t="s">
        <v>43</v>
      </c>
      <c r="M103" t="s">
        <v>20</v>
      </c>
      <c r="N103">
        <v>47</v>
      </c>
      <c r="O103">
        <v>25</v>
      </c>
      <c r="P103">
        <v>34453.94</v>
      </c>
      <c r="Q103">
        <v>0</v>
      </c>
    </row>
    <row r="104" spans="7:17" x14ac:dyDescent="0.25">
      <c r="G104" t="str">
        <f t="shared" si="1"/>
        <v/>
      </c>
      <c r="H104" t="s">
        <v>46</v>
      </c>
      <c r="I104" t="s">
        <v>10</v>
      </c>
      <c r="J104" t="s">
        <v>6</v>
      </c>
      <c r="K104" t="s">
        <v>33</v>
      </c>
      <c r="L104" t="s">
        <v>44</v>
      </c>
      <c r="M104" t="s">
        <v>19</v>
      </c>
      <c r="N104">
        <v>15</v>
      </c>
      <c r="O104">
        <v>5</v>
      </c>
      <c r="P104">
        <v>12900.55</v>
      </c>
      <c r="Q104">
        <v>11216.689999999999</v>
      </c>
    </row>
    <row r="105" spans="7:17" x14ac:dyDescent="0.25">
      <c r="G105" t="str">
        <f t="shared" si="1"/>
        <v/>
      </c>
      <c r="H105" t="s">
        <v>46</v>
      </c>
      <c r="I105" t="s">
        <v>10</v>
      </c>
      <c r="J105" t="s">
        <v>6</v>
      </c>
      <c r="K105" t="s">
        <v>33</v>
      </c>
      <c r="L105" t="s">
        <v>44</v>
      </c>
      <c r="M105" t="s">
        <v>20</v>
      </c>
      <c r="N105">
        <v>25</v>
      </c>
      <c r="O105">
        <v>15</v>
      </c>
      <c r="P105">
        <v>23777.85</v>
      </c>
      <c r="Q105">
        <v>0</v>
      </c>
    </row>
    <row r="106" spans="7:17" x14ac:dyDescent="0.25">
      <c r="G106" t="str">
        <f t="shared" si="1"/>
        <v/>
      </c>
      <c r="H106" t="s">
        <v>46</v>
      </c>
      <c r="I106" t="s">
        <v>10</v>
      </c>
      <c r="J106" t="s">
        <v>6</v>
      </c>
      <c r="K106" t="s">
        <v>33</v>
      </c>
      <c r="L106" t="s">
        <v>39</v>
      </c>
      <c r="M106" t="s">
        <v>19</v>
      </c>
      <c r="N106">
        <v>7</v>
      </c>
      <c r="O106">
        <v>4</v>
      </c>
      <c r="P106">
        <v>4800.92</v>
      </c>
      <c r="Q106">
        <v>4799.34</v>
      </c>
    </row>
    <row r="107" spans="7:17" x14ac:dyDescent="0.25">
      <c r="G107" t="str">
        <f t="shared" si="1"/>
        <v/>
      </c>
      <c r="H107" t="s">
        <v>46</v>
      </c>
      <c r="I107" t="s">
        <v>10</v>
      </c>
      <c r="J107" t="s">
        <v>6</v>
      </c>
      <c r="K107" t="s">
        <v>33</v>
      </c>
      <c r="L107" t="s">
        <v>39</v>
      </c>
      <c r="M107" t="s">
        <v>20</v>
      </c>
      <c r="N107">
        <v>9</v>
      </c>
      <c r="O107">
        <v>9</v>
      </c>
      <c r="P107">
        <v>6119.78</v>
      </c>
      <c r="Q107">
        <v>0</v>
      </c>
    </row>
    <row r="108" spans="7:17" x14ac:dyDescent="0.25">
      <c r="G108" t="str">
        <f t="shared" si="1"/>
        <v/>
      </c>
      <c r="H108" t="s">
        <v>46</v>
      </c>
      <c r="I108" t="s">
        <v>10</v>
      </c>
      <c r="J108" t="s">
        <v>6</v>
      </c>
      <c r="K108" t="s">
        <v>33</v>
      </c>
      <c r="L108" t="s">
        <v>40</v>
      </c>
      <c r="M108" t="s">
        <v>19</v>
      </c>
      <c r="N108">
        <v>2</v>
      </c>
      <c r="O108">
        <v>1</v>
      </c>
      <c r="P108">
        <v>1145.0999999999999</v>
      </c>
      <c r="Q108">
        <v>1143.8800000000001</v>
      </c>
    </row>
    <row r="109" spans="7:17" x14ac:dyDescent="0.25">
      <c r="G109" t="str">
        <f t="shared" si="1"/>
        <v/>
      </c>
      <c r="H109" t="s">
        <v>46</v>
      </c>
      <c r="I109" t="s">
        <v>10</v>
      </c>
      <c r="J109" t="s">
        <v>6</v>
      </c>
      <c r="K109" t="s">
        <v>33</v>
      </c>
      <c r="L109" t="s">
        <v>40</v>
      </c>
      <c r="M109" t="s">
        <v>20</v>
      </c>
      <c r="N109">
        <v>6</v>
      </c>
      <c r="O109">
        <v>4</v>
      </c>
      <c r="P109">
        <v>1863.42</v>
      </c>
      <c r="Q109">
        <v>0</v>
      </c>
    </row>
    <row r="110" spans="7:17" x14ac:dyDescent="0.25">
      <c r="G110" t="str">
        <f t="shared" si="1"/>
        <v/>
      </c>
      <c r="H110" t="s">
        <v>46</v>
      </c>
      <c r="I110" t="s">
        <v>10</v>
      </c>
      <c r="J110" t="s">
        <v>6</v>
      </c>
      <c r="K110" t="s">
        <v>33</v>
      </c>
      <c r="L110" t="s">
        <v>41</v>
      </c>
      <c r="M110" t="s">
        <v>20</v>
      </c>
      <c r="N110">
        <v>13</v>
      </c>
      <c r="O110">
        <v>2</v>
      </c>
      <c r="P110">
        <v>9618.56</v>
      </c>
      <c r="Q110">
        <v>0</v>
      </c>
    </row>
    <row r="111" spans="7:17" x14ac:dyDescent="0.25">
      <c r="G111" t="str">
        <f t="shared" si="1"/>
        <v/>
      </c>
      <c r="H111" t="s">
        <v>46</v>
      </c>
      <c r="I111" t="s">
        <v>10</v>
      </c>
      <c r="J111" t="s">
        <v>6</v>
      </c>
      <c r="K111" t="s">
        <v>33</v>
      </c>
      <c r="L111" t="s">
        <v>45</v>
      </c>
      <c r="M111" t="s">
        <v>19</v>
      </c>
      <c r="N111">
        <v>2</v>
      </c>
      <c r="O111">
        <v>0</v>
      </c>
      <c r="P111">
        <v>1523.51</v>
      </c>
      <c r="Q111">
        <v>1523.5100000000002</v>
      </c>
    </row>
    <row r="112" spans="7:17" x14ac:dyDescent="0.25">
      <c r="G112" t="str">
        <f t="shared" si="1"/>
        <v/>
      </c>
      <c r="H112" t="s">
        <v>46</v>
      </c>
      <c r="I112" t="s">
        <v>10</v>
      </c>
      <c r="J112" t="s">
        <v>6</v>
      </c>
      <c r="K112" t="s">
        <v>33</v>
      </c>
      <c r="L112" t="s">
        <v>45</v>
      </c>
      <c r="M112" t="s">
        <v>20</v>
      </c>
      <c r="N112">
        <v>80</v>
      </c>
      <c r="O112">
        <v>42</v>
      </c>
      <c r="P112">
        <v>60709.260000000009</v>
      </c>
      <c r="Q112">
        <v>0</v>
      </c>
    </row>
    <row r="113" spans="7:17" x14ac:dyDescent="0.25">
      <c r="G113" t="str">
        <f t="shared" si="1"/>
        <v/>
      </c>
      <c r="H113" t="s">
        <v>46</v>
      </c>
      <c r="I113" t="s">
        <v>10</v>
      </c>
      <c r="J113" t="s">
        <v>6</v>
      </c>
      <c r="K113" t="s">
        <v>34</v>
      </c>
      <c r="L113" t="s">
        <v>42</v>
      </c>
      <c r="M113" t="s">
        <v>19</v>
      </c>
      <c r="N113">
        <v>185</v>
      </c>
      <c r="O113">
        <v>62</v>
      </c>
      <c r="P113">
        <v>88346.810000000041</v>
      </c>
      <c r="Q113">
        <v>88172.670000000042</v>
      </c>
    </row>
    <row r="114" spans="7:17" x14ac:dyDescent="0.25">
      <c r="G114" t="str">
        <f t="shared" si="1"/>
        <v/>
      </c>
      <c r="H114" t="s">
        <v>46</v>
      </c>
      <c r="I114" t="s">
        <v>10</v>
      </c>
      <c r="J114" t="s">
        <v>6</v>
      </c>
      <c r="K114" t="s">
        <v>34</v>
      </c>
      <c r="L114" t="s">
        <v>42</v>
      </c>
      <c r="M114" t="s">
        <v>20</v>
      </c>
      <c r="N114">
        <v>112</v>
      </c>
      <c r="O114">
        <v>26</v>
      </c>
      <c r="P114">
        <v>31941.91</v>
      </c>
      <c r="Q114">
        <v>0</v>
      </c>
    </row>
    <row r="115" spans="7:17" x14ac:dyDescent="0.25">
      <c r="G115" t="str">
        <f t="shared" si="1"/>
        <v/>
      </c>
      <c r="H115" t="s">
        <v>46</v>
      </c>
      <c r="I115" t="s">
        <v>10</v>
      </c>
      <c r="J115" t="s">
        <v>6</v>
      </c>
      <c r="K115" t="s">
        <v>34</v>
      </c>
      <c r="L115" t="s">
        <v>43</v>
      </c>
      <c r="M115" t="s">
        <v>19</v>
      </c>
      <c r="N115">
        <v>22</v>
      </c>
      <c r="O115">
        <v>8</v>
      </c>
      <c r="P115">
        <v>16386.21</v>
      </c>
      <c r="Q115">
        <v>14867.41</v>
      </c>
    </row>
    <row r="116" spans="7:17" x14ac:dyDescent="0.25">
      <c r="G116" t="str">
        <f t="shared" si="1"/>
        <v/>
      </c>
      <c r="H116" t="s">
        <v>46</v>
      </c>
      <c r="I116" t="s">
        <v>10</v>
      </c>
      <c r="J116" t="s">
        <v>6</v>
      </c>
      <c r="K116" t="s">
        <v>34</v>
      </c>
      <c r="L116" t="s">
        <v>43</v>
      </c>
      <c r="M116" t="s">
        <v>20</v>
      </c>
      <c r="N116">
        <v>59</v>
      </c>
      <c r="O116">
        <v>14</v>
      </c>
      <c r="P116">
        <v>30047.699999999993</v>
      </c>
      <c r="Q116">
        <v>0</v>
      </c>
    </row>
    <row r="117" spans="7:17" x14ac:dyDescent="0.25">
      <c r="G117" t="str">
        <f t="shared" si="1"/>
        <v/>
      </c>
      <c r="H117" t="s">
        <v>46</v>
      </c>
      <c r="I117" t="s">
        <v>10</v>
      </c>
      <c r="J117" t="s">
        <v>6</v>
      </c>
      <c r="K117" t="s">
        <v>34</v>
      </c>
      <c r="L117" t="s">
        <v>44</v>
      </c>
      <c r="M117" t="s">
        <v>19</v>
      </c>
      <c r="N117">
        <v>4</v>
      </c>
      <c r="O117">
        <v>3</v>
      </c>
      <c r="P117">
        <v>2865.55</v>
      </c>
      <c r="Q117">
        <v>2862.8700000000003</v>
      </c>
    </row>
    <row r="118" spans="7:17" x14ac:dyDescent="0.25">
      <c r="G118" t="str">
        <f t="shared" si="1"/>
        <v/>
      </c>
      <c r="H118" t="s">
        <v>46</v>
      </c>
      <c r="I118" t="s">
        <v>10</v>
      </c>
      <c r="J118" t="s">
        <v>6</v>
      </c>
      <c r="K118" t="s">
        <v>34</v>
      </c>
      <c r="L118" t="s">
        <v>44</v>
      </c>
      <c r="M118" t="s">
        <v>20</v>
      </c>
      <c r="N118">
        <v>8</v>
      </c>
      <c r="O118">
        <v>7</v>
      </c>
      <c r="P118">
        <v>5296.630000000001</v>
      </c>
      <c r="Q118">
        <v>0</v>
      </c>
    </row>
    <row r="119" spans="7:17" x14ac:dyDescent="0.25">
      <c r="G119" t="str">
        <f t="shared" si="1"/>
        <v/>
      </c>
      <c r="H119" t="s">
        <v>46</v>
      </c>
      <c r="I119" t="s">
        <v>10</v>
      </c>
      <c r="J119" t="s">
        <v>6</v>
      </c>
      <c r="K119" t="s">
        <v>34</v>
      </c>
      <c r="L119" t="s">
        <v>39</v>
      </c>
      <c r="M119" t="s">
        <v>19</v>
      </c>
      <c r="N119">
        <v>1</v>
      </c>
      <c r="O119">
        <v>1</v>
      </c>
      <c r="P119">
        <v>605.4</v>
      </c>
      <c r="Q119">
        <v>605.4</v>
      </c>
    </row>
    <row r="120" spans="7:17" x14ac:dyDescent="0.25">
      <c r="G120" t="str">
        <f t="shared" si="1"/>
        <v/>
      </c>
      <c r="H120" t="s">
        <v>46</v>
      </c>
      <c r="I120" t="s">
        <v>10</v>
      </c>
      <c r="J120" t="s">
        <v>6</v>
      </c>
      <c r="K120" t="s">
        <v>34</v>
      </c>
      <c r="L120" t="s">
        <v>39</v>
      </c>
      <c r="M120" t="s">
        <v>20</v>
      </c>
      <c r="N120">
        <v>13</v>
      </c>
      <c r="O120">
        <v>11</v>
      </c>
      <c r="P120">
        <v>7553.6699999999992</v>
      </c>
      <c r="Q120">
        <v>0</v>
      </c>
    </row>
    <row r="121" spans="7:17" x14ac:dyDescent="0.25">
      <c r="G121" t="str">
        <f t="shared" si="1"/>
        <v/>
      </c>
      <c r="H121" t="s">
        <v>46</v>
      </c>
      <c r="I121" t="s">
        <v>10</v>
      </c>
      <c r="J121" t="s">
        <v>6</v>
      </c>
      <c r="K121" t="s">
        <v>34</v>
      </c>
      <c r="L121" t="s">
        <v>40</v>
      </c>
      <c r="M121" t="s">
        <v>20</v>
      </c>
      <c r="N121">
        <v>5</v>
      </c>
      <c r="O121">
        <v>2</v>
      </c>
      <c r="P121">
        <v>3149.1099999999997</v>
      </c>
      <c r="Q121">
        <v>0</v>
      </c>
    </row>
    <row r="122" spans="7:17" x14ac:dyDescent="0.25">
      <c r="G122" t="str">
        <f t="shared" si="1"/>
        <v/>
      </c>
      <c r="H122" t="s">
        <v>46</v>
      </c>
      <c r="I122" t="s">
        <v>10</v>
      </c>
      <c r="J122" t="s">
        <v>6</v>
      </c>
      <c r="K122" t="s">
        <v>34</v>
      </c>
      <c r="L122" t="s">
        <v>41</v>
      </c>
      <c r="M122" t="s">
        <v>20</v>
      </c>
      <c r="N122">
        <v>5</v>
      </c>
      <c r="O122">
        <v>2</v>
      </c>
      <c r="P122">
        <v>2438.7599999999998</v>
      </c>
      <c r="Q122">
        <v>0</v>
      </c>
    </row>
    <row r="123" spans="7:17" x14ac:dyDescent="0.25">
      <c r="G123" t="str">
        <f t="shared" si="1"/>
        <v/>
      </c>
      <c r="H123" t="s">
        <v>46</v>
      </c>
      <c r="I123" t="s">
        <v>10</v>
      </c>
      <c r="J123" t="s">
        <v>6</v>
      </c>
      <c r="K123" t="s">
        <v>34</v>
      </c>
      <c r="L123" t="s">
        <v>45</v>
      </c>
      <c r="M123" t="s">
        <v>19</v>
      </c>
      <c r="N123">
        <v>1</v>
      </c>
      <c r="O123">
        <v>1</v>
      </c>
      <c r="P123">
        <v>971.55</v>
      </c>
      <c r="Q123">
        <v>971.55</v>
      </c>
    </row>
    <row r="124" spans="7:17" x14ac:dyDescent="0.25">
      <c r="G124" t="str">
        <f t="shared" si="1"/>
        <v/>
      </c>
      <c r="H124" t="s">
        <v>46</v>
      </c>
      <c r="I124" t="s">
        <v>10</v>
      </c>
      <c r="J124" t="s">
        <v>6</v>
      </c>
      <c r="K124" t="s">
        <v>34</v>
      </c>
      <c r="L124" t="s">
        <v>45</v>
      </c>
      <c r="M124" t="s">
        <v>20</v>
      </c>
      <c r="N124">
        <v>91</v>
      </c>
      <c r="O124">
        <v>39</v>
      </c>
      <c r="P124">
        <v>52589.599999999991</v>
      </c>
      <c r="Q124">
        <v>0</v>
      </c>
    </row>
    <row r="125" spans="7:17" x14ac:dyDescent="0.25">
      <c r="G125" t="str">
        <f t="shared" si="1"/>
        <v/>
      </c>
      <c r="H125" t="s">
        <v>46</v>
      </c>
      <c r="I125" t="s">
        <v>10</v>
      </c>
      <c r="J125" t="s">
        <v>6</v>
      </c>
      <c r="K125" t="s">
        <v>35</v>
      </c>
      <c r="L125" t="s">
        <v>42</v>
      </c>
      <c r="M125" t="s">
        <v>19</v>
      </c>
      <c r="N125">
        <v>447</v>
      </c>
      <c r="O125">
        <v>163</v>
      </c>
      <c r="P125">
        <v>216688.47</v>
      </c>
      <c r="Q125">
        <v>209971.32</v>
      </c>
    </row>
    <row r="126" spans="7:17" x14ac:dyDescent="0.25">
      <c r="G126" t="str">
        <f t="shared" si="1"/>
        <v/>
      </c>
      <c r="H126" t="s">
        <v>46</v>
      </c>
      <c r="I126" t="s">
        <v>10</v>
      </c>
      <c r="J126" t="s">
        <v>6</v>
      </c>
      <c r="K126" t="s">
        <v>35</v>
      </c>
      <c r="L126" t="s">
        <v>42</v>
      </c>
      <c r="M126" t="s">
        <v>20</v>
      </c>
      <c r="N126">
        <v>147</v>
      </c>
      <c r="O126">
        <v>59</v>
      </c>
      <c r="P126">
        <v>38688.819999999992</v>
      </c>
      <c r="Q126">
        <v>0</v>
      </c>
    </row>
    <row r="127" spans="7:17" x14ac:dyDescent="0.25">
      <c r="G127" t="str">
        <f t="shared" si="1"/>
        <v/>
      </c>
      <c r="H127" t="s">
        <v>46</v>
      </c>
      <c r="I127" t="s">
        <v>10</v>
      </c>
      <c r="J127" t="s">
        <v>6</v>
      </c>
      <c r="K127" t="s">
        <v>35</v>
      </c>
      <c r="L127" t="s">
        <v>43</v>
      </c>
      <c r="M127" t="s">
        <v>19</v>
      </c>
      <c r="N127">
        <v>54</v>
      </c>
      <c r="O127">
        <v>32</v>
      </c>
      <c r="P127">
        <v>40678.889999999985</v>
      </c>
      <c r="Q127">
        <v>36899.46</v>
      </c>
    </row>
    <row r="128" spans="7:17" x14ac:dyDescent="0.25">
      <c r="G128" t="str">
        <f t="shared" si="1"/>
        <v/>
      </c>
      <c r="H128" t="s">
        <v>46</v>
      </c>
      <c r="I128" t="s">
        <v>10</v>
      </c>
      <c r="J128" t="s">
        <v>6</v>
      </c>
      <c r="K128" t="s">
        <v>35</v>
      </c>
      <c r="L128" t="s">
        <v>43</v>
      </c>
      <c r="M128" t="s">
        <v>20</v>
      </c>
      <c r="N128">
        <v>47</v>
      </c>
      <c r="O128">
        <v>26</v>
      </c>
      <c r="P128">
        <v>33861.050000000003</v>
      </c>
      <c r="Q128">
        <v>0</v>
      </c>
    </row>
    <row r="129" spans="7:17" x14ac:dyDescent="0.25">
      <c r="G129" t="str">
        <f t="shared" si="1"/>
        <v/>
      </c>
      <c r="H129" t="s">
        <v>46</v>
      </c>
      <c r="I129" t="s">
        <v>10</v>
      </c>
      <c r="J129" t="s">
        <v>6</v>
      </c>
      <c r="K129" t="s">
        <v>35</v>
      </c>
      <c r="L129" t="s">
        <v>44</v>
      </c>
      <c r="M129" t="s">
        <v>19</v>
      </c>
      <c r="N129">
        <v>25</v>
      </c>
      <c r="O129">
        <v>14</v>
      </c>
      <c r="P129">
        <v>53542.27</v>
      </c>
      <c r="Q129">
        <v>44622.490000000005</v>
      </c>
    </row>
    <row r="130" spans="7:17" x14ac:dyDescent="0.25">
      <c r="G130" t="str">
        <f t="shared" ref="G130:G193" si="2">IF(G$1="Overall","Overall",IF(G$1=L130,L130,""))</f>
        <v/>
      </c>
      <c r="H130" t="s">
        <v>46</v>
      </c>
      <c r="I130" t="s">
        <v>10</v>
      </c>
      <c r="J130" t="s">
        <v>6</v>
      </c>
      <c r="K130" t="s">
        <v>35</v>
      </c>
      <c r="L130" t="s">
        <v>44</v>
      </c>
      <c r="M130" t="s">
        <v>20</v>
      </c>
      <c r="N130">
        <v>56</v>
      </c>
      <c r="O130">
        <v>40</v>
      </c>
      <c r="P130">
        <v>48293.780000000028</v>
      </c>
      <c r="Q130">
        <v>0</v>
      </c>
    </row>
    <row r="131" spans="7:17" x14ac:dyDescent="0.25">
      <c r="G131" t="str">
        <f t="shared" si="2"/>
        <v/>
      </c>
      <c r="H131" t="s">
        <v>46</v>
      </c>
      <c r="I131" t="s">
        <v>10</v>
      </c>
      <c r="J131" t="s">
        <v>6</v>
      </c>
      <c r="K131" t="s">
        <v>36</v>
      </c>
      <c r="L131" t="s">
        <v>42</v>
      </c>
      <c r="M131" t="s">
        <v>19</v>
      </c>
      <c r="N131">
        <v>345</v>
      </c>
      <c r="O131">
        <v>138</v>
      </c>
      <c r="P131">
        <v>160224.60999999993</v>
      </c>
      <c r="Q131">
        <v>157864.78999999986</v>
      </c>
    </row>
    <row r="132" spans="7:17" x14ac:dyDescent="0.25">
      <c r="G132" t="str">
        <f t="shared" si="2"/>
        <v/>
      </c>
      <c r="H132" t="s">
        <v>46</v>
      </c>
      <c r="I132" t="s">
        <v>10</v>
      </c>
      <c r="J132" t="s">
        <v>6</v>
      </c>
      <c r="K132" t="s">
        <v>36</v>
      </c>
      <c r="L132" t="s">
        <v>42</v>
      </c>
      <c r="M132" t="s">
        <v>20</v>
      </c>
      <c r="N132">
        <v>209</v>
      </c>
      <c r="O132">
        <v>85</v>
      </c>
      <c r="P132">
        <v>52898.789999999994</v>
      </c>
      <c r="Q132">
        <v>0</v>
      </c>
    </row>
    <row r="133" spans="7:17" x14ac:dyDescent="0.25">
      <c r="G133" t="str">
        <f t="shared" si="2"/>
        <v/>
      </c>
      <c r="H133" t="s">
        <v>46</v>
      </c>
      <c r="I133" t="s">
        <v>10</v>
      </c>
      <c r="J133" t="s">
        <v>6</v>
      </c>
      <c r="K133" t="s">
        <v>36</v>
      </c>
      <c r="L133" t="s">
        <v>43</v>
      </c>
      <c r="M133" t="s">
        <v>19</v>
      </c>
      <c r="N133">
        <v>57</v>
      </c>
      <c r="O133">
        <v>33</v>
      </c>
      <c r="P133">
        <v>43700.459999999992</v>
      </c>
      <c r="Q133">
        <v>40032.639999999992</v>
      </c>
    </row>
    <row r="134" spans="7:17" x14ac:dyDescent="0.25">
      <c r="G134" t="str">
        <f t="shared" si="2"/>
        <v/>
      </c>
      <c r="H134" t="s">
        <v>46</v>
      </c>
      <c r="I134" t="s">
        <v>10</v>
      </c>
      <c r="J134" t="s">
        <v>6</v>
      </c>
      <c r="K134" t="s">
        <v>36</v>
      </c>
      <c r="L134" t="s">
        <v>43</v>
      </c>
      <c r="M134" t="s">
        <v>20</v>
      </c>
      <c r="N134">
        <v>48</v>
      </c>
      <c r="O134">
        <v>29</v>
      </c>
      <c r="P134">
        <v>45248.219999999979</v>
      </c>
      <c r="Q134">
        <v>0</v>
      </c>
    </row>
    <row r="135" spans="7:17" x14ac:dyDescent="0.25">
      <c r="G135" t="str">
        <f t="shared" si="2"/>
        <v/>
      </c>
      <c r="H135" t="s">
        <v>46</v>
      </c>
      <c r="I135" t="s">
        <v>10</v>
      </c>
      <c r="J135" t="s">
        <v>6</v>
      </c>
      <c r="K135" t="s">
        <v>36</v>
      </c>
      <c r="L135" t="s">
        <v>44</v>
      </c>
      <c r="M135" t="s">
        <v>19</v>
      </c>
      <c r="N135">
        <v>10</v>
      </c>
      <c r="O135">
        <v>7</v>
      </c>
      <c r="P135">
        <v>14333.84</v>
      </c>
      <c r="Q135">
        <v>11926.38</v>
      </c>
    </row>
    <row r="136" spans="7:17" x14ac:dyDescent="0.25">
      <c r="G136" t="str">
        <f t="shared" si="2"/>
        <v/>
      </c>
      <c r="H136" t="s">
        <v>46</v>
      </c>
      <c r="I136" t="s">
        <v>10</v>
      </c>
      <c r="J136" t="s">
        <v>6</v>
      </c>
      <c r="K136" t="s">
        <v>36</v>
      </c>
      <c r="L136" t="s">
        <v>44</v>
      </c>
      <c r="M136" t="s">
        <v>20</v>
      </c>
      <c r="N136">
        <v>32</v>
      </c>
      <c r="O136">
        <v>21</v>
      </c>
      <c r="P136">
        <v>25201.45</v>
      </c>
      <c r="Q136">
        <v>0</v>
      </c>
    </row>
    <row r="137" spans="7:17" x14ac:dyDescent="0.25">
      <c r="G137" t="str">
        <f t="shared" si="2"/>
        <v/>
      </c>
      <c r="H137" t="s">
        <v>46</v>
      </c>
      <c r="I137" t="s">
        <v>10</v>
      </c>
      <c r="J137" t="s">
        <v>6</v>
      </c>
      <c r="K137" t="s">
        <v>36</v>
      </c>
      <c r="L137" t="s">
        <v>39</v>
      </c>
      <c r="M137" t="s">
        <v>19</v>
      </c>
      <c r="N137">
        <v>1</v>
      </c>
      <c r="O137">
        <v>1</v>
      </c>
      <c r="P137">
        <v>1393.29</v>
      </c>
      <c r="Q137">
        <v>6.7</v>
      </c>
    </row>
    <row r="138" spans="7:17" x14ac:dyDescent="0.25">
      <c r="G138" t="str">
        <f t="shared" si="2"/>
        <v/>
      </c>
      <c r="H138" t="s">
        <v>46</v>
      </c>
      <c r="I138" t="s">
        <v>10</v>
      </c>
      <c r="J138" t="s">
        <v>6</v>
      </c>
      <c r="K138" t="s">
        <v>36</v>
      </c>
      <c r="L138" t="s">
        <v>39</v>
      </c>
      <c r="M138" t="s">
        <v>20</v>
      </c>
      <c r="N138">
        <v>14</v>
      </c>
      <c r="O138">
        <v>6</v>
      </c>
      <c r="P138">
        <v>7225.11</v>
      </c>
      <c r="Q138">
        <v>0</v>
      </c>
    </row>
    <row r="139" spans="7:17" x14ac:dyDescent="0.25">
      <c r="G139" t="str">
        <f t="shared" si="2"/>
        <v/>
      </c>
      <c r="H139" t="s">
        <v>46</v>
      </c>
      <c r="I139" t="s">
        <v>10</v>
      </c>
      <c r="J139" t="s">
        <v>6</v>
      </c>
      <c r="K139" t="s">
        <v>36</v>
      </c>
      <c r="L139" t="s">
        <v>40</v>
      </c>
      <c r="M139" t="s">
        <v>19</v>
      </c>
      <c r="N139">
        <v>1</v>
      </c>
      <c r="O139">
        <v>1</v>
      </c>
      <c r="P139">
        <v>753.02</v>
      </c>
      <c r="Q139">
        <v>753.02</v>
      </c>
    </row>
    <row r="140" spans="7:17" x14ac:dyDescent="0.25">
      <c r="G140" t="str">
        <f t="shared" si="2"/>
        <v/>
      </c>
      <c r="H140" t="s">
        <v>46</v>
      </c>
      <c r="I140" t="s">
        <v>10</v>
      </c>
      <c r="J140" t="s">
        <v>6</v>
      </c>
      <c r="K140" t="s">
        <v>36</v>
      </c>
      <c r="L140" t="s">
        <v>40</v>
      </c>
      <c r="M140" t="s">
        <v>20</v>
      </c>
      <c r="N140">
        <v>3</v>
      </c>
      <c r="O140">
        <v>1</v>
      </c>
      <c r="P140">
        <v>1198.8499999999999</v>
      </c>
      <c r="Q140">
        <v>0</v>
      </c>
    </row>
    <row r="141" spans="7:17" x14ac:dyDescent="0.25">
      <c r="G141" t="str">
        <f t="shared" si="2"/>
        <v/>
      </c>
      <c r="H141" t="s">
        <v>46</v>
      </c>
      <c r="I141" t="s">
        <v>10</v>
      </c>
      <c r="J141" t="s">
        <v>6</v>
      </c>
      <c r="K141" t="s">
        <v>36</v>
      </c>
      <c r="L141" t="s">
        <v>41</v>
      </c>
      <c r="M141" t="s">
        <v>20</v>
      </c>
      <c r="N141">
        <v>5</v>
      </c>
      <c r="O141">
        <v>3</v>
      </c>
      <c r="P141">
        <v>2516.56</v>
      </c>
      <c r="Q141">
        <v>0</v>
      </c>
    </row>
    <row r="142" spans="7:17" x14ac:dyDescent="0.25">
      <c r="G142" t="str">
        <f t="shared" si="2"/>
        <v/>
      </c>
      <c r="H142" t="s">
        <v>46</v>
      </c>
      <c r="I142" t="s">
        <v>10</v>
      </c>
      <c r="J142" t="s">
        <v>6</v>
      </c>
      <c r="K142" t="s">
        <v>36</v>
      </c>
      <c r="L142" t="s">
        <v>45</v>
      </c>
      <c r="M142" t="s">
        <v>19</v>
      </c>
      <c r="N142">
        <v>3</v>
      </c>
      <c r="O142">
        <v>2</v>
      </c>
      <c r="P142">
        <v>3796.71</v>
      </c>
      <c r="Q142">
        <v>2817.72</v>
      </c>
    </row>
    <row r="143" spans="7:17" x14ac:dyDescent="0.25">
      <c r="G143" t="str">
        <f t="shared" si="2"/>
        <v/>
      </c>
      <c r="H143" t="s">
        <v>46</v>
      </c>
      <c r="I143" t="s">
        <v>10</v>
      </c>
      <c r="J143" t="s">
        <v>6</v>
      </c>
      <c r="K143" t="s">
        <v>36</v>
      </c>
      <c r="L143" t="s">
        <v>45</v>
      </c>
      <c r="M143" t="s">
        <v>20</v>
      </c>
      <c r="N143">
        <v>63</v>
      </c>
      <c r="O143">
        <v>37</v>
      </c>
      <c r="P143">
        <v>47763.489999999983</v>
      </c>
      <c r="Q143">
        <v>0</v>
      </c>
    </row>
    <row r="144" spans="7:17" x14ac:dyDescent="0.25">
      <c r="G144" t="str">
        <f t="shared" si="2"/>
        <v/>
      </c>
      <c r="H144" t="s">
        <v>46</v>
      </c>
      <c r="I144" t="s">
        <v>10</v>
      </c>
      <c r="J144" t="s">
        <v>6</v>
      </c>
      <c r="K144" t="s">
        <v>37</v>
      </c>
      <c r="L144" t="s">
        <v>42</v>
      </c>
      <c r="M144" t="s">
        <v>19</v>
      </c>
      <c r="N144">
        <v>520</v>
      </c>
      <c r="O144">
        <v>128</v>
      </c>
      <c r="P144">
        <v>172335.28000000084</v>
      </c>
      <c r="Q144">
        <v>169648.2000000008</v>
      </c>
    </row>
    <row r="145" spans="7:17" x14ac:dyDescent="0.25">
      <c r="G145" t="str">
        <f t="shared" si="2"/>
        <v/>
      </c>
      <c r="H145" t="s">
        <v>46</v>
      </c>
      <c r="I145" t="s">
        <v>10</v>
      </c>
      <c r="J145" t="s">
        <v>6</v>
      </c>
      <c r="K145" t="s">
        <v>37</v>
      </c>
      <c r="L145" t="s">
        <v>42</v>
      </c>
      <c r="M145" t="s">
        <v>20</v>
      </c>
      <c r="N145">
        <v>196</v>
      </c>
      <c r="O145">
        <v>56</v>
      </c>
      <c r="P145">
        <v>46738.599999999991</v>
      </c>
      <c r="Q145">
        <v>0</v>
      </c>
    </row>
    <row r="146" spans="7:17" x14ac:dyDescent="0.25">
      <c r="G146" t="str">
        <f t="shared" si="2"/>
        <v/>
      </c>
      <c r="H146" t="s">
        <v>46</v>
      </c>
      <c r="I146" t="s">
        <v>10</v>
      </c>
      <c r="J146" t="s">
        <v>6</v>
      </c>
      <c r="K146" t="s">
        <v>37</v>
      </c>
      <c r="L146" t="s">
        <v>43</v>
      </c>
      <c r="M146" t="s">
        <v>19</v>
      </c>
      <c r="N146">
        <v>43</v>
      </c>
      <c r="O146">
        <v>34</v>
      </c>
      <c r="P146">
        <v>37126.69</v>
      </c>
      <c r="Q146">
        <v>35102.47</v>
      </c>
    </row>
    <row r="147" spans="7:17" x14ac:dyDescent="0.25">
      <c r="G147" t="str">
        <f t="shared" si="2"/>
        <v/>
      </c>
      <c r="H147" t="s">
        <v>46</v>
      </c>
      <c r="I147" t="s">
        <v>10</v>
      </c>
      <c r="J147" t="s">
        <v>6</v>
      </c>
      <c r="K147" t="s">
        <v>37</v>
      </c>
      <c r="L147" t="s">
        <v>43</v>
      </c>
      <c r="M147" t="s">
        <v>20</v>
      </c>
      <c r="N147">
        <v>56</v>
      </c>
      <c r="O147">
        <v>25</v>
      </c>
      <c r="P147">
        <v>26174.900000000009</v>
      </c>
      <c r="Q147">
        <v>0</v>
      </c>
    </row>
    <row r="148" spans="7:17" x14ac:dyDescent="0.25">
      <c r="G148" t="str">
        <f t="shared" si="2"/>
        <v/>
      </c>
      <c r="H148" t="s">
        <v>46</v>
      </c>
      <c r="I148" t="s">
        <v>10</v>
      </c>
      <c r="J148" t="s">
        <v>6</v>
      </c>
      <c r="K148" t="s">
        <v>37</v>
      </c>
      <c r="L148" t="s">
        <v>44</v>
      </c>
      <c r="M148" t="s">
        <v>19</v>
      </c>
      <c r="N148">
        <v>4</v>
      </c>
      <c r="O148">
        <v>4</v>
      </c>
      <c r="P148">
        <v>4289.7</v>
      </c>
      <c r="Q148">
        <v>3641.5099999999998</v>
      </c>
    </row>
    <row r="149" spans="7:17" x14ac:dyDescent="0.25">
      <c r="G149" t="str">
        <f t="shared" si="2"/>
        <v/>
      </c>
      <c r="H149" t="s">
        <v>46</v>
      </c>
      <c r="I149" t="s">
        <v>10</v>
      </c>
      <c r="J149" t="s">
        <v>6</v>
      </c>
      <c r="K149" t="s">
        <v>37</v>
      </c>
      <c r="L149" t="s">
        <v>44</v>
      </c>
      <c r="M149" t="s">
        <v>20</v>
      </c>
      <c r="N149">
        <v>31</v>
      </c>
      <c r="O149">
        <v>17</v>
      </c>
      <c r="P149">
        <v>21001.340000000004</v>
      </c>
      <c r="Q149">
        <v>0</v>
      </c>
    </row>
    <row r="150" spans="7:17" x14ac:dyDescent="0.25">
      <c r="G150" t="str">
        <f t="shared" si="2"/>
        <v/>
      </c>
      <c r="H150" t="s">
        <v>46</v>
      </c>
      <c r="I150" t="s">
        <v>10</v>
      </c>
      <c r="J150" t="s">
        <v>6</v>
      </c>
      <c r="K150" t="s">
        <v>37</v>
      </c>
      <c r="L150" t="s">
        <v>39</v>
      </c>
      <c r="M150" t="s">
        <v>19</v>
      </c>
      <c r="N150">
        <v>1</v>
      </c>
      <c r="O150">
        <v>1</v>
      </c>
      <c r="P150">
        <v>350.17</v>
      </c>
      <c r="Q150">
        <v>350.16999999999996</v>
      </c>
    </row>
    <row r="151" spans="7:17" x14ac:dyDescent="0.25">
      <c r="G151" t="str">
        <f t="shared" si="2"/>
        <v/>
      </c>
      <c r="H151" t="s">
        <v>46</v>
      </c>
      <c r="I151" t="s">
        <v>10</v>
      </c>
      <c r="J151" t="s">
        <v>6</v>
      </c>
      <c r="K151" t="s">
        <v>37</v>
      </c>
      <c r="L151" t="s">
        <v>39</v>
      </c>
      <c r="M151" t="s">
        <v>20</v>
      </c>
      <c r="N151">
        <v>14</v>
      </c>
      <c r="O151">
        <v>12</v>
      </c>
      <c r="P151">
        <v>9608.2500000000018</v>
      </c>
      <c r="Q151">
        <v>0</v>
      </c>
    </row>
    <row r="152" spans="7:17" x14ac:dyDescent="0.25">
      <c r="G152" t="str">
        <f t="shared" si="2"/>
        <v/>
      </c>
      <c r="H152" t="s">
        <v>46</v>
      </c>
      <c r="I152" t="s">
        <v>10</v>
      </c>
      <c r="J152" t="s">
        <v>6</v>
      </c>
      <c r="K152" t="s">
        <v>37</v>
      </c>
      <c r="L152" t="s">
        <v>40</v>
      </c>
      <c r="M152" t="s">
        <v>19</v>
      </c>
      <c r="N152">
        <v>1</v>
      </c>
      <c r="O152">
        <v>1</v>
      </c>
      <c r="P152">
        <v>1370.36</v>
      </c>
      <c r="Q152">
        <v>1370.36</v>
      </c>
    </row>
    <row r="153" spans="7:17" x14ac:dyDescent="0.25">
      <c r="G153" t="str">
        <f t="shared" si="2"/>
        <v/>
      </c>
      <c r="H153" t="s">
        <v>46</v>
      </c>
      <c r="I153" t="s">
        <v>10</v>
      </c>
      <c r="J153" t="s">
        <v>6</v>
      </c>
      <c r="K153" t="s">
        <v>37</v>
      </c>
      <c r="L153" t="s">
        <v>40</v>
      </c>
      <c r="M153" t="s">
        <v>20</v>
      </c>
      <c r="N153">
        <v>13</v>
      </c>
      <c r="O153">
        <v>5</v>
      </c>
      <c r="P153">
        <v>14647.569999999998</v>
      </c>
      <c r="Q153">
        <v>0</v>
      </c>
    </row>
    <row r="154" spans="7:17" x14ac:dyDescent="0.25">
      <c r="G154" t="str">
        <f t="shared" si="2"/>
        <v/>
      </c>
      <c r="H154" t="s">
        <v>46</v>
      </c>
      <c r="I154" t="s">
        <v>10</v>
      </c>
      <c r="J154" t="s">
        <v>6</v>
      </c>
      <c r="K154" t="s">
        <v>37</v>
      </c>
      <c r="L154" t="s">
        <v>41</v>
      </c>
      <c r="M154" t="s">
        <v>20</v>
      </c>
      <c r="N154">
        <v>11</v>
      </c>
      <c r="O154">
        <v>5</v>
      </c>
      <c r="P154">
        <v>5292.5599999999995</v>
      </c>
      <c r="Q154">
        <v>0</v>
      </c>
    </row>
    <row r="155" spans="7:17" x14ac:dyDescent="0.25">
      <c r="G155" t="str">
        <f t="shared" si="2"/>
        <v/>
      </c>
      <c r="H155" t="s">
        <v>46</v>
      </c>
      <c r="I155" t="s">
        <v>10</v>
      </c>
      <c r="J155" t="s">
        <v>6</v>
      </c>
      <c r="K155" t="s">
        <v>37</v>
      </c>
      <c r="L155" t="s">
        <v>45</v>
      </c>
      <c r="M155" t="s">
        <v>19</v>
      </c>
      <c r="N155">
        <v>1</v>
      </c>
      <c r="O155">
        <v>1</v>
      </c>
      <c r="P155">
        <v>432.94</v>
      </c>
      <c r="Q155">
        <v>432</v>
      </c>
    </row>
    <row r="156" spans="7:17" x14ac:dyDescent="0.25">
      <c r="G156" t="str">
        <f t="shared" si="2"/>
        <v/>
      </c>
      <c r="H156" t="s">
        <v>46</v>
      </c>
      <c r="I156" t="s">
        <v>10</v>
      </c>
      <c r="J156" t="s">
        <v>6</v>
      </c>
      <c r="K156" t="s">
        <v>37</v>
      </c>
      <c r="L156" t="s">
        <v>45</v>
      </c>
      <c r="M156" t="s">
        <v>20</v>
      </c>
      <c r="N156">
        <v>143</v>
      </c>
      <c r="O156">
        <v>53</v>
      </c>
      <c r="P156">
        <v>96121.199999999924</v>
      </c>
      <c r="Q156">
        <v>0</v>
      </c>
    </row>
    <row r="157" spans="7:17" x14ac:dyDescent="0.25">
      <c r="G157" t="str">
        <f t="shared" si="2"/>
        <v/>
      </c>
      <c r="H157" t="s">
        <v>46</v>
      </c>
      <c r="I157" t="s">
        <v>10</v>
      </c>
      <c r="J157" t="s">
        <v>6</v>
      </c>
      <c r="K157" t="s">
        <v>38</v>
      </c>
      <c r="L157" t="s">
        <v>42</v>
      </c>
      <c r="M157" t="s">
        <v>19</v>
      </c>
      <c r="N157">
        <v>297</v>
      </c>
      <c r="O157">
        <v>77</v>
      </c>
      <c r="P157">
        <v>160347.39000000007</v>
      </c>
      <c r="Q157">
        <v>159971.61000000013</v>
      </c>
    </row>
    <row r="158" spans="7:17" x14ac:dyDescent="0.25">
      <c r="G158" t="str">
        <f t="shared" si="2"/>
        <v/>
      </c>
      <c r="H158" t="s">
        <v>46</v>
      </c>
      <c r="I158" t="s">
        <v>10</v>
      </c>
      <c r="J158" t="s">
        <v>6</v>
      </c>
      <c r="K158" t="s">
        <v>38</v>
      </c>
      <c r="L158" t="s">
        <v>42</v>
      </c>
      <c r="M158" t="s">
        <v>20</v>
      </c>
      <c r="N158">
        <v>118</v>
      </c>
      <c r="O158">
        <v>36</v>
      </c>
      <c r="P158">
        <v>30091.920000000002</v>
      </c>
      <c r="Q158">
        <v>0</v>
      </c>
    </row>
    <row r="159" spans="7:17" x14ac:dyDescent="0.25">
      <c r="G159" t="str">
        <f t="shared" si="2"/>
        <v/>
      </c>
      <c r="H159" t="s">
        <v>46</v>
      </c>
      <c r="I159" t="s">
        <v>10</v>
      </c>
      <c r="J159" t="s">
        <v>6</v>
      </c>
      <c r="K159" t="s">
        <v>38</v>
      </c>
      <c r="L159" t="s">
        <v>43</v>
      </c>
      <c r="M159" t="s">
        <v>19</v>
      </c>
      <c r="N159">
        <v>27</v>
      </c>
      <c r="O159">
        <v>15</v>
      </c>
      <c r="P159">
        <v>19562.25</v>
      </c>
      <c r="Q159">
        <v>18579.420000000002</v>
      </c>
    </row>
    <row r="160" spans="7:17" x14ac:dyDescent="0.25">
      <c r="G160" t="str">
        <f t="shared" si="2"/>
        <v/>
      </c>
      <c r="H160" t="s">
        <v>46</v>
      </c>
      <c r="I160" t="s">
        <v>10</v>
      </c>
      <c r="J160" t="s">
        <v>6</v>
      </c>
      <c r="K160" t="s">
        <v>38</v>
      </c>
      <c r="L160" t="s">
        <v>43</v>
      </c>
      <c r="M160" t="s">
        <v>20</v>
      </c>
      <c r="N160">
        <v>39</v>
      </c>
      <c r="O160">
        <v>21</v>
      </c>
      <c r="P160">
        <v>30130.759999999995</v>
      </c>
      <c r="Q160">
        <v>0</v>
      </c>
    </row>
    <row r="161" spans="7:17" x14ac:dyDescent="0.25">
      <c r="G161" t="str">
        <f t="shared" si="2"/>
        <v/>
      </c>
      <c r="H161" t="s">
        <v>46</v>
      </c>
      <c r="I161" t="s">
        <v>10</v>
      </c>
      <c r="J161" t="s">
        <v>6</v>
      </c>
      <c r="K161" t="s">
        <v>38</v>
      </c>
      <c r="L161" t="s">
        <v>44</v>
      </c>
      <c r="M161" t="s">
        <v>19</v>
      </c>
      <c r="N161">
        <v>9</v>
      </c>
      <c r="O161">
        <v>5</v>
      </c>
      <c r="P161">
        <v>9181.5</v>
      </c>
      <c r="Q161">
        <v>6442.48</v>
      </c>
    </row>
    <row r="162" spans="7:17" x14ac:dyDescent="0.25">
      <c r="G162" t="str">
        <f t="shared" si="2"/>
        <v/>
      </c>
      <c r="H162" t="s">
        <v>46</v>
      </c>
      <c r="I162" t="s">
        <v>10</v>
      </c>
      <c r="J162" t="s">
        <v>6</v>
      </c>
      <c r="K162" t="s">
        <v>38</v>
      </c>
      <c r="L162" t="s">
        <v>44</v>
      </c>
      <c r="M162" t="s">
        <v>20</v>
      </c>
      <c r="N162">
        <v>39</v>
      </c>
      <c r="O162">
        <v>23</v>
      </c>
      <c r="P162">
        <v>37896.61</v>
      </c>
      <c r="Q162">
        <v>0</v>
      </c>
    </row>
    <row r="163" spans="7:17" x14ac:dyDescent="0.25">
      <c r="G163" t="str">
        <f t="shared" si="2"/>
        <v/>
      </c>
      <c r="H163" t="s">
        <v>46</v>
      </c>
      <c r="I163" t="s">
        <v>10</v>
      </c>
      <c r="J163" t="s">
        <v>6</v>
      </c>
      <c r="K163" t="s">
        <v>38</v>
      </c>
      <c r="L163" t="s">
        <v>39</v>
      </c>
      <c r="M163" t="s">
        <v>19</v>
      </c>
      <c r="N163">
        <v>4</v>
      </c>
      <c r="O163">
        <v>2</v>
      </c>
      <c r="P163">
        <v>2511</v>
      </c>
      <c r="Q163">
        <v>1454.26</v>
      </c>
    </row>
    <row r="164" spans="7:17" x14ac:dyDescent="0.25">
      <c r="G164" t="str">
        <f t="shared" si="2"/>
        <v/>
      </c>
      <c r="H164" t="s">
        <v>46</v>
      </c>
      <c r="I164" t="s">
        <v>10</v>
      </c>
      <c r="J164" t="s">
        <v>6</v>
      </c>
      <c r="K164" t="s">
        <v>38</v>
      </c>
      <c r="L164" t="s">
        <v>39</v>
      </c>
      <c r="M164" t="s">
        <v>20</v>
      </c>
      <c r="N164">
        <v>20</v>
      </c>
      <c r="O164">
        <v>13</v>
      </c>
      <c r="P164">
        <v>18306.919999999998</v>
      </c>
      <c r="Q164">
        <v>0</v>
      </c>
    </row>
    <row r="165" spans="7:17" x14ac:dyDescent="0.25">
      <c r="G165" t="str">
        <f t="shared" si="2"/>
        <v/>
      </c>
      <c r="H165" t="s">
        <v>46</v>
      </c>
      <c r="I165" t="s">
        <v>10</v>
      </c>
      <c r="J165" t="s">
        <v>6</v>
      </c>
      <c r="K165" t="s">
        <v>38</v>
      </c>
      <c r="L165" t="s">
        <v>40</v>
      </c>
      <c r="M165" t="s">
        <v>20</v>
      </c>
      <c r="N165">
        <v>13</v>
      </c>
      <c r="O165">
        <v>1</v>
      </c>
      <c r="P165">
        <v>6145.42</v>
      </c>
      <c r="Q165">
        <v>0</v>
      </c>
    </row>
    <row r="166" spans="7:17" x14ac:dyDescent="0.25">
      <c r="G166" t="str">
        <f t="shared" si="2"/>
        <v/>
      </c>
      <c r="H166" t="s">
        <v>46</v>
      </c>
      <c r="I166" t="s">
        <v>10</v>
      </c>
      <c r="J166" t="s">
        <v>6</v>
      </c>
      <c r="K166" t="s">
        <v>38</v>
      </c>
      <c r="L166" t="s">
        <v>41</v>
      </c>
      <c r="M166" t="s">
        <v>19</v>
      </c>
      <c r="N166">
        <v>1</v>
      </c>
      <c r="O166">
        <v>1</v>
      </c>
      <c r="P166">
        <v>1022.17</v>
      </c>
      <c r="Q166">
        <v>1022.17</v>
      </c>
    </row>
    <row r="167" spans="7:17" x14ac:dyDescent="0.25">
      <c r="G167" t="str">
        <f t="shared" si="2"/>
        <v/>
      </c>
      <c r="H167" t="s">
        <v>46</v>
      </c>
      <c r="I167" t="s">
        <v>10</v>
      </c>
      <c r="J167" t="s">
        <v>6</v>
      </c>
      <c r="K167" t="s">
        <v>38</v>
      </c>
      <c r="L167" t="s">
        <v>41</v>
      </c>
      <c r="M167" t="s">
        <v>20</v>
      </c>
      <c r="N167">
        <v>10</v>
      </c>
      <c r="O167">
        <v>4</v>
      </c>
      <c r="P167">
        <v>6183.92</v>
      </c>
      <c r="Q167">
        <v>0</v>
      </c>
    </row>
    <row r="168" spans="7:17" x14ac:dyDescent="0.25">
      <c r="G168" t="str">
        <f t="shared" si="2"/>
        <v/>
      </c>
      <c r="H168" t="s">
        <v>46</v>
      </c>
      <c r="I168" t="s">
        <v>10</v>
      </c>
      <c r="J168" t="s">
        <v>6</v>
      </c>
      <c r="K168" t="s">
        <v>38</v>
      </c>
      <c r="L168" t="s">
        <v>45</v>
      </c>
      <c r="M168" t="s">
        <v>20</v>
      </c>
      <c r="N168">
        <v>120</v>
      </c>
      <c r="O168">
        <v>55</v>
      </c>
      <c r="P168">
        <v>123159.83000000007</v>
      </c>
      <c r="Q168">
        <v>0</v>
      </c>
    </row>
    <row r="169" spans="7:17" x14ac:dyDescent="0.25">
      <c r="G169" t="str">
        <f t="shared" si="2"/>
        <v/>
      </c>
      <c r="H169" t="s">
        <v>46</v>
      </c>
      <c r="I169" t="s">
        <v>10</v>
      </c>
      <c r="J169" t="s">
        <v>3</v>
      </c>
      <c r="K169" t="s">
        <v>23</v>
      </c>
      <c r="L169" t="s">
        <v>42</v>
      </c>
      <c r="M169" t="s">
        <v>19</v>
      </c>
      <c r="N169">
        <v>967</v>
      </c>
      <c r="O169">
        <v>234</v>
      </c>
      <c r="P169">
        <v>513893.09000000107</v>
      </c>
      <c r="Q169">
        <v>506723.71000000078</v>
      </c>
    </row>
    <row r="170" spans="7:17" x14ac:dyDescent="0.25">
      <c r="G170" t="str">
        <f t="shared" si="2"/>
        <v/>
      </c>
      <c r="H170" t="s">
        <v>46</v>
      </c>
      <c r="I170" t="s">
        <v>10</v>
      </c>
      <c r="J170" t="s">
        <v>3</v>
      </c>
      <c r="K170" t="s">
        <v>23</v>
      </c>
      <c r="L170" t="s">
        <v>42</v>
      </c>
      <c r="M170" t="s">
        <v>20</v>
      </c>
      <c r="N170">
        <v>508</v>
      </c>
      <c r="O170">
        <v>92</v>
      </c>
      <c r="P170">
        <v>155570.59999999966</v>
      </c>
      <c r="Q170">
        <v>0</v>
      </c>
    </row>
    <row r="171" spans="7:17" x14ac:dyDescent="0.25">
      <c r="G171" t="str">
        <f t="shared" si="2"/>
        <v/>
      </c>
      <c r="H171" t="s">
        <v>46</v>
      </c>
      <c r="I171" t="s">
        <v>10</v>
      </c>
      <c r="J171" t="s">
        <v>3</v>
      </c>
      <c r="K171" t="s">
        <v>23</v>
      </c>
      <c r="L171" t="s">
        <v>43</v>
      </c>
      <c r="M171" t="s">
        <v>19</v>
      </c>
      <c r="N171">
        <v>70</v>
      </c>
      <c r="O171">
        <v>33</v>
      </c>
      <c r="P171">
        <v>69848.530000000013</v>
      </c>
      <c r="Q171">
        <v>55948.060000000005</v>
      </c>
    </row>
    <row r="172" spans="7:17" x14ac:dyDescent="0.25">
      <c r="G172" t="str">
        <f t="shared" si="2"/>
        <v/>
      </c>
      <c r="H172" t="s">
        <v>46</v>
      </c>
      <c r="I172" t="s">
        <v>10</v>
      </c>
      <c r="J172" t="s">
        <v>3</v>
      </c>
      <c r="K172" t="s">
        <v>23</v>
      </c>
      <c r="L172" t="s">
        <v>43</v>
      </c>
      <c r="M172" t="s">
        <v>20</v>
      </c>
      <c r="N172">
        <v>184</v>
      </c>
      <c r="O172">
        <v>55</v>
      </c>
      <c r="P172">
        <v>157855.39000000001</v>
      </c>
      <c r="Q172">
        <v>0</v>
      </c>
    </row>
    <row r="173" spans="7:17" x14ac:dyDescent="0.25">
      <c r="G173" t="str">
        <f t="shared" si="2"/>
        <v/>
      </c>
      <c r="H173" t="s">
        <v>46</v>
      </c>
      <c r="I173" t="s">
        <v>10</v>
      </c>
      <c r="J173" t="s">
        <v>3</v>
      </c>
      <c r="K173" t="s">
        <v>23</v>
      </c>
      <c r="L173" t="s">
        <v>44</v>
      </c>
      <c r="M173" t="s">
        <v>19</v>
      </c>
      <c r="N173">
        <v>38</v>
      </c>
      <c r="O173">
        <v>19</v>
      </c>
      <c r="P173">
        <v>40815.249999999993</v>
      </c>
      <c r="Q173">
        <v>28036.880000000001</v>
      </c>
    </row>
    <row r="174" spans="7:17" x14ac:dyDescent="0.25">
      <c r="G174" t="str">
        <f t="shared" si="2"/>
        <v/>
      </c>
      <c r="H174" t="s">
        <v>46</v>
      </c>
      <c r="I174" t="s">
        <v>10</v>
      </c>
      <c r="J174" t="s">
        <v>3</v>
      </c>
      <c r="K174" t="s">
        <v>23</v>
      </c>
      <c r="L174" t="s">
        <v>44</v>
      </c>
      <c r="M174" t="s">
        <v>20</v>
      </c>
      <c r="N174">
        <v>206</v>
      </c>
      <c r="O174">
        <v>39</v>
      </c>
      <c r="P174">
        <v>171285.70000000024</v>
      </c>
      <c r="Q174">
        <v>0</v>
      </c>
    </row>
    <row r="175" spans="7:17" x14ac:dyDescent="0.25">
      <c r="G175" t="str">
        <f t="shared" si="2"/>
        <v/>
      </c>
      <c r="H175" t="s">
        <v>46</v>
      </c>
      <c r="I175" t="s">
        <v>10</v>
      </c>
      <c r="J175" t="s">
        <v>3</v>
      </c>
      <c r="K175" t="s">
        <v>23</v>
      </c>
      <c r="L175" t="s">
        <v>39</v>
      </c>
      <c r="M175" t="s">
        <v>19</v>
      </c>
      <c r="N175">
        <v>128</v>
      </c>
      <c r="O175">
        <v>63</v>
      </c>
      <c r="P175">
        <v>149802.78999999998</v>
      </c>
      <c r="Q175">
        <v>73962.83</v>
      </c>
    </row>
    <row r="176" spans="7:17" x14ac:dyDescent="0.25">
      <c r="G176" t="str">
        <f t="shared" si="2"/>
        <v/>
      </c>
      <c r="H176" t="s">
        <v>46</v>
      </c>
      <c r="I176" t="s">
        <v>10</v>
      </c>
      <c r="J176" t="s">
        <v>3</v>
      </c>
      <c r="K176" t="s">
        <v>23</v>
      </c>
      <c r="L176" t="s">
        <v>39</v>
      </c>
      <c r="M176" t="s">
        <v>20</v>
      </c>
      <c r="N176">
        <v>38</v>
      </c>
      <c r="O176">
        <v>17</v>
      </c>
      <c r="P176">
        <v>28992.739999999998</v>
      </c>
      <c r="Q176">
        <v>0</v>
      </c>
    </row>
    <row r="177" spans="7:17" x14ac:dyDescent="0.25">
      <c r="G177" t="str">
        <f t="shared" si="2"/>
        <v/>
      </c>
      <c r="H177" t="s">
        <v>46</v>
      </c>
      <c r="I177" t="s">
        <v>10</v>
      </c>
      <c r="J177" t="s">
        <v>3</v>
      </c>
      <c r="K177" t="s">
        <v>23</v>
      </c>
      <c r="L177" t="s">
        <v>40</v>
      </c>
      <c r="M177" t="s">
        <v>19</v>
      </c>
      <c r="N177">
        <v>9</v>
      </c>
      <c r="O177">
        <v>4</v>
      </c>
      <c r="P177">
        <v>10189.15</v>
      </c>
      <c r="Q177">
        <v>3206.29</v>
      </c>
    </row>
    <row r="178" spans="7:17" x14ac:dyDescent="0.25">
      <c r="G178" t="str">
        <f t="shared" si="2"/>
        <v/>
      </c>
      <c r="H178" t="s">
        <v>46</v>
      </c>
      <c r="I178" t="s">
        <v>10</v>
      </c>
      <c r="J178" t="s">
        <v>3</v>
      </c>
      <c r="K178" t="s">
        <v>23</v>
      </c>
      <c r="L178" t="s">
        <v>40</v>
      </c>
      <c r="M178" t="s">
        <v>20</v>
      </c>
      <c r="N178">
        <v>76</v>
      </c>
      <c r="O178">
        <v>10</v>
      </c>
      <c r="P178">
        <v>70048.140000000029</v>
      </c>
      <c r="Q178">
        <v>0</v>
      </c>
    </row>
    <row r="179" spans="7:17" x14ac:dyDescent="0.25">
      <c r="G179" t="str">
        <f t="shared" si="2"/>
        <v/>
      </c>
      <c r="H179" t="s">
        <v>46</v>
      </c>
      <c r="I179" t="s">
        <v>10</v>
      </c>
      <c r="J179" t="s">
        <v>3</v>
      </c>
      <c r="K179" t="s">
        <v>23</v>
      </c>
      <c r="L179" t="s">
        <v>41</v>
      </c>
      <c r="M179" t="s">
        <v>19</v>
      </c>
      <c r="N179">
        <v>10</v>
      </c>
      <c r="O179">
        <v>1</v>
      </c>
      <c r="P179">
        <v>7585.48</v>
      </c>
      <c r="Q179">
        <v>1927.58</v>
      </c>
    </row>
    <row r="180" spans="7:17" x14ac:dyDescent="0.25">
      <c r="G180" t="str">
        <f t="shared" si="2"/>
        <v/>
      </c>
      <c r="H180" t="s">
        <v>46</v>
      </c>
      <c r="I180" t="s">
        <v>10</v>
      </c>
      <c r="J180" t="s">
        <v>3</v>
      </c>
      <c r="K180" t="s">
        <v>23</v>
      </c>
      <c r="L180" t="s">
        <v>41</v>
      </c>
      <c r="M180" t="s">
        <v>20</v>
      </c>
      <c r="N180">
        <v>62</v>
      </c>
      <c r="O180">
        <v>10</v>
      </c>
      <c r="P180">
        <v>51935.569999999992</v>
      </c>
      <c r="Q180">
        <v>0</v>
      </c>
    </row>
    <row r="181" spans="7:17" x14ac:dyDescent="0.25">
      <c r="G181" t="str">
        <f t="shared" si="2"/>
        <v/>
      </c>
      <c r="H181" t="s">
        <v>46</v>
      </c>
      <c r="I181" t="s">
        <v>10</v>
      </c>
      <c r="J181" t="s">
        <v>3</v>
      </c>
      <c r="K181" t="s">
        <v>23</v>
      </c>
      <c r="L181" t="s">
        <v>45</v>
      </c>
      <c r="M181" t="s">
        <v>19</v>
      </c>
      <c r="N181">
        <v>26</v>
      </c>
      <c r="O181">
        <v>5</v>
      </c>
      <c r="P181">
        <v>30734.909999999996</v>
      </c>
      <c r="Q181">
        <v>3451.94</v>
      </c>
    </row>
    <row r="182" spans="7:17" x14ac:dyDescent="0.25">
      <c r="G182" t="str">
        <f t="shared" si="2"/>
        <v/>
      </c>
      <c r="H182" t="s">
        <v>46</v>
      </c>
      <c r="I182" t="s">
        <v>10</v>
      </c>
      <c r="J182" t="s">
        <v>3</v>
      </c>
      <c r="K182" t="s">
        <v>23</v>
      </c>
      <c r="L182" t="s">
        <v>45</v>
      </c>
      <c r="M182" t="s">
        <v>20</v>
      </c>
      <c r="N182">
        <v>345</v>
      </c>
      <c r="O182">
        <v>138</v>
      </c>
      <c r="P182">
        <v>345066.88999999996</v>
      </c>
      <c r="Q182">
        <v>0</v>
      </c>
    </row>
    <row r="183" spans="7:17" x14ac:dyDescent="0.25">
      <c r="G183" t="str">
        <f t="shared" si="2"/>
        <v/>
      </c>
      <c r="H183" t="s">
        <v>46</v>
      </c>
      <c r="I183" t="s">
        <v>10</v>
      </c>
      <c r="J183" t="s">
        <v>3</v>
      </c>
      <c r="K183" t="s">
        <v>24</v>
      </c>
      <c r="L183" t="s">
        <v>42</v>
      </c>
      <c r="M183" t="s">
        <v>19</v>
      </c>
      <c r="N183">
        <v>719</v>
      </c>
      <c r="O183">
        <v>69</v>
      </c>
      <c r="P183">
        <v>316421.04000000143</v>
      </c>
      <c r="Q183">
        <v>304103.51000000129</v>
      </c>
    </row>
    <row r="184" spans="7:17" x14ac:dyDescent="0.25">
      <c r="G184" t="str">
        <f t="shared" si="2"/>
        <v/>
      </c>
      <c r="H184" t="s">
        <v>46</v>
      </c>
      <c r="I184" t="s">
        <v>10</v>
      </c>
      <c r="J184" t="s">
        <v>3</v>
      </c>
      <c r="K184" t="s">
        <v>24</v>
      </c>
      <c r="L184" t="s">
        <v>42</v>
      </c>
      <c r="M184" t="s">
        <v>20</v>
      </c>
      <c r="N184">
        <v>247</v>
      </c>
      <c r="O184">
        <v>25</v>
      </c>
      <c r="P184">
        <v>78316.090000000011</v>
      </c>
      <c r="Q184">
        <v>0</v>
      </c>
    </row>
    <row r="185" spans="7:17" x14ac:dyDescent="0.25">
      <c r="G185" t="str">
        <f t="shared" si="2"/>
        <v/>
      </c>
      <c r="H185" t="s">
        <v>46</v>
      </c>
      <c r="I185" t="s">
        <v>10</v>
      </c>
      <c r="J185" t="s">
        <v>3</v>
      </c>
      <c r="K185" t="s">
        <v>24</v>
      </c>
      <c r="L185" t="s">
        <v>43</v>
      </c>
      <c r="M185" t="s">
        <v>19</v>
      </c>
      <c r="N185">
        <v>62</v>
      </c>
      <c r="O185">
        <v>12</v>
      </c>
      <c r="P185">
        <v>50916.189999999988</v>
      </c>
      <c r="Q185">
        <v>45606.939999999995</v>
      </c>
    </row>
    <row r="186" spans="7:17" x14ac:dyDescent="0.25">
      <c r="G186" t="str">
        <f t="shared" si="2"/>
        <v/>
      </c>
      <c r="H186" t="s">
        <v>46</v>
      </c>
      <c r="I186" t="s">
        <v>10</v>
      </c>
      <c r="J186" t="s">
        <v>3</v>
      </c>
      <c r="K186" t="s">
        <v>24</v>
      </c>
      <c r="L186" t="s">
        <v>43</v>
      </c>
      <c r="M186" t="s">
        <v>20</v>
      </c>
      <c r="N186">
        <v>69</v>
      </c>
      <c r="O186">
        <v>16</v>
      </c>
      <c r="P186">
        <v>63067.930000000008</v>
      </c>
      <c r="Q186">
        <v>0</v>
      </c>
    </row>
    <row r="187" spans="7:17" x14ac:dyDescent="0.25">
      <c r="G187" t="str">
        <f t="shared" si="2"/>
        <v/>
      </c>
      <c r="H187" t="s">
        <v>46</v>
      </c>
      <c r="I187" t="s">
        <v>10</v>
      </c>
      <c r="J187" t="s">
        <v>3</v>
      </c>
      <c r="K187" t="s">
        <v>24</v>
      </c>
      <c r="L187" t="s">
        <v>44</v>
      </c>
      <c r="M187" t="s">
        <v>19</v>
      </c>
      <c r="N187">
        <v>33</v>
      </c>
      <c r="O187">
        <v>6</v>
      </c>
      <c r="P187">
        <v>35106.39999999998</v>
      </c>
      <c r="Q187">
        <v>15440.429999999998</v>
      </c>
    </row>
    <row r="188" spans="7:17" x14ac:dyDescent="0.25">
      <c r="G188" t="str">
        <f t="shared" si="2"/>
        <v/>
      </c>
      <c r="H188" t="s">
        <v>46</v>
      </c>
      <c r="I188" t="s">
        <v>10</v>
      </c>
      <c r="J188" t="s">
        <v>3</v>
      </c>
      <c r="K188" t="s">
        <v>24</v>
      </c>
      <c r="L188" t="s">
        <v>44</v>
      </c>
      <c r="M188" t="s">
        <v>20</v>
      </c>
      <c r="N188">
        <v>42</v>
      </c>
      <c r="O188">
        <v>8</v>
      </c>
      <c r="P188">
        <v>46771.889999999992</v>
      </c>
      <c r="Q188">
        <v>0</v>
      </c>
    </row>
    <row r="189" spans="7:17" x14ac:dyDescent="0.25">
      <c r="G189" t="str">
        <f t="shared" si="2"/>
        <v/>
      </c>
      <c r="H189" t="s">
        <v>46</v>
      </c>
      <c r="I189" t="s">
        <v>10</v>
      </c>
      <c r="J189" t="s">
        <v>3</v>
      </c>
      <c r="K189" t="s">
        <v>24</v>
      </c>
      <c r="L189" t="s">
        <v>39</v>
      </c>
      <c r="M189" t="s">
        <v>19</v>
      </c>
      <c r="N189">
        <v>62</v>
      </c>
      <c r="O189">
        <v>20</v>
      </c>
      <c r="P189">
        <v>74997.84</v>
      </c>
      <c r="Q189">
        <v>43841.649999999994</v>
      </c>
    </row>
    <row r="190" spans="7:17" x14ac:dyDescent="0.25">
      <c r="G190" t="str">
        <f t="shared" si="2"/>
        <v/>
      </c>
      <c r="H190" t="s">
        <v>46</v>
      </c>
      <c r="I190" t="s">
        <v>10</v>
      </c>
      <c r="J190" t="s">
        <v>3</v>
      </c>
      <c r="K190" t="s">
        <v>24</v>
      </c>
      <c r="L190" t="s">
        <v>39</v>
      </c>
      <c r="M190" t="s">
        <v>20</v>
      </c>
      <c r="N190">
        <v>13</v>
      </c>
      <c r="O190">
        <v>6</v>
      </c>
      <c r="P190">
        <v>6666.51</v>
      </c>
      <c r="Q190">
        <v>0</v>
      </c>
    </row>
    <row r="191" spans="7:17" x14ac:dyDescent="0.25">
      <c r="G191" t="str">
        <f t="shared" si="2"/>
        <v/>
      </c>
      <c r="H191" t="s">
        <v>46</v>
      </c>
      <c r="I191" t="s">
        <v>10</v>
      </c>
      <c r="J191" t="s">
        <v>3</v>
      </c>
      <c r="K191" t="s">
        <v>24</v>
      </c>
      <c r="L191" t="s">
        <v>40</v>
      </c>
      <c r="M191" t="s">
        <v>19</v>
      </c>
      <c r="N191">
        <v>2</v>
      </c>
      <c r="O191">
        <v>1</v>
      </c>
      <c r="P191">
        <v>2422.0100000000002</v>
      </c>
      <c r="Q191">
        <v>379.55999999999995</v>
      </c>
    </row>
    <row r="192" spans="7:17" x14ac:dyDescent="0.25">
      <c r="G192" t="str">
        <f t="shared" si="2"/>
        <v/>
      </c>
      <c r="H192" t="s">
        <v>46</v>
      </c>
      <c r="I192" t="s">
        <v>10</v>
      </c>
      <c r="J192" t="s">
        <v>3</v>
      </c>
      <c r="K192" t="s">
        <v>24</v>
      </c>
      <c r="L192" t="s">
        <v>40</v>
      </c>
      <c r="M192" t="s">
        <v>20</v>
      </c>
      <c r="N192">
        <v>8</v>
      </c>
      <c r="O192">
        <v>2</v>
      </c>
      <c r="P192">
        <v>5556.6100000000006</v>
      </c>
      <c r="Q192">
        <v>0</v>
      </c>
    </row>
    <row r="193" spans="7:17" x14ac:dyDescent="0.25">
      <c r="G193" t="str">
        <f t="shared" si="2"/>
        <v/>
      </c>
      <c r="H193" t="s">
        <v>46</v>
      </c>
      <c r="I193" t="s">
        <v>10</v>
      </c>
      <c r="J193" t="s">
        <v>3</v>
      </c>
      <c r="K193" t="s">
        <v>24</v>
      </c>
      <c r="L193" t="s">
        <v>41</v>
      </c>
      <c r="M193" t="s">
        <v>20</v>
      </c>
      <c r="N193">
        <v>38</v>
      </c>
      <c r="O193">
        <v>3</v>
      </c>
      <c r="P193">
        <v>23266.880000000008</v>
      </c>
      <c r="Q193">
        <v>0</v>
      </c>
    </row>
    <row r="194" spans="7:17" x14ac:dyDescent="0.25">
      <c r="G194" t="str">
        <f t="shared" ref="G194:G257" si="3">IF(G$1="Overall","Overall",IF(G$1=L194,L194,""))</f>
        <v/>
      </c>
      <c r="H194" t="s">
        <v>46</v>
      </c>
      <c r="I194" t="s">
        <v>10</v>
      </c>
      <c r="J194" t="s">
        <v>3</v>
      </c>
      <c r="K194" t="s">
        <v>24</v>
      </c>
      <c r="L194" t="s">
        <v>45</v>
      </c>
      <c r="M194" t="s">
        <v>19</v>
      </c>
      <c r="N194">
        <v>3</v>
      </c>
      <c r="O194">
        <v>1</v>
      </c>
      <c r="P194">
        <v>6711.3899999999994</v>
      </c>
      <c r="Q194">
        <v>5145.5</v>
      </c>
    </row>
    <row r="195" spans="7:17" x14ac:dyDescent="0.25">
      <c r="G195" t="str">
        <f t="shared" si="3"/>
        <v/>
      </c>
      <c r="H195" t="s">
        <v>46</v>
      </c>
      <c r="I195" t="s">
        <v>10</v>
      </c>
      <c r="J195" t="s">
        <v>3</v>
      </c>
      <c r="K195" t="s">
        <v>24</v>
      </c>
      <c r="L195" t="s">
        <v>45</v>
      </c>
      <c r="M195" t="s">
        <v>20</v>
      </c>
      <c r="N195">
        <v>106</v>
      </c>
      <c r="O195">
        <v>40</v>
      </c>
      <c r="P195">
        <v>104561.74999999999</v>
      </c>
      <c r="Q195">
        <v>0</v>
      </c>
    </row>
    <row r="196" spans="7:17" x14ac:dyDescent="0.25">
      <c r="G196" t="str">
        <f t="shared" si="3"/>
        <v/>
      </c>
      <c r="H196" t="s">
        <v>46</v>
      </c>
      <c r="I196" t="s">
        <v>10</v>
      </c>
      <c r="J196" t="s">
        <v>3</v>
      </c>
      <c r="K196" t="s">
        <v>25</v>
      </c>
      <c r="L196" t="s">
        <v>42</v>
      </c>
      <c r="M196" t="s">
        <v>19</v>
      </c>
      <c r="N196">
        <v>1216</v>
      </c>
      <c r="O196">
        <v>277</v>
      </c>
      <c r="P196">
        <v>601457.51999999967</v>
      </c>
      <c r="Q196">
        <v>581930.04000000027</v>
      </c>
    </row>
    <row r="197" spans="7:17" x14ac:dyDescent="0.25">
      <c r="G197" t="str">
        <f t="shared" si="3"/>
        <v/>
      </c>
      <c r="H197" t="s">
        <v>46</v>
      </c>
      <c r="I197" t="s">
        <v>10</v>
      </c>
      <c r="J197" t="s">
        <v>3</v>
      </c>
      <c r="K197" t="s">
        <v>25</v>
      </c>
      <c r="L197" t="s">
        <v>42</v>
      </c>
      <c r="M197" t="s">
        <v>20</v>
      </c>
      <c r="N197">
        <v>378</v>
      </c>
      <c r="O197">
        <v>97</v>
      </c>
      <c r="P197">
        <v>137671.90000000008</v>
      </c>
      <c r="Q197">
        <v>0</v>
      </c>
    </row>
    <row r="198" spans="7:17" x14ac:dyDescent="0.25">
      <c r="G198" t="str">
        <f t="shared" si="3"/>
        <v/>
      </c>
      <c r="H198" t="s">
        <v>46</v>
      </c>
      <c r="I198" t="s">
        <v>10</v>
      </c>
      <c r="J198" t="s">
        <v>3</v>
      </c>
      <c r="K198" t="s">
        <v>25</v>
      </c>
      <c r="L198" t="s">
        <v>43</v>
      </c>
      <c r="M198" t="s">
        <v>19</v>
      </c>
      <c r="N198">
        <v>133</v>
      </c>
      <c r="O198">
        <v>48</v>
      </c>
      <c r="P198">
        <v>103017.84</v>
      </c>
      <c r="Q198">
        <v>92430.64999999998</v>
      </c>
    </row>
    <row r="199" spans="7:17" x14ac:dyDescent="0.25">
      <c r="G199" t="str">
        <f t="shared" si="3"/>
        <v/>
      </c>
      <c r="H199" t="s">
        <v>46</v>
      </c>
      <c r="I199" t="s">
        <v>10</v>
      </c>
      <c r="J199" t="s">
        <v>3</v>
      </c>
      <c r="K199" t="s">
        <v>25</v>
      </c>
      <c r="L199" t="s">
        <v>43</v>
      </c>
      <c r="M199" t="s">
        <v>20</v>
      </c>
      <c r="N199">
        <v>538</v>
      </c>
      <c r="O199">
        <v>96</v>
      </c>
      <c r="P199">
        <v>383636.35000000068</v>
      </c>
      <c r="Q199">
        <v>0</v>
      </c>
    </row>
    <row r="200" spans="7:17" x14ac:dyDescent="0.25">
      <c r="G200" t="str">
        <f t="shared" si="3"/>
        <v/>
      </c>
      <c r="H200" t="s">
        <v>46</v>
      </c>
      <c r="I200" t="s">
        <v>10</v>
      </c>
      <c r="J200" t="s">
        <v>3</v>
      </c>
      <c r="K200" t="s">
        <v>25</v>
      </c>
      <c r="L200" t="s">
        <v>44</v>
      </c>
      <c r="M200" t="s">
        <v>19</v>
      </c>
      <c r="N200">
        <v>121</v>
      </c>
      <c r="O200">
        <v>47</v>
      </c>
      <c r="P200">
        <v>105028.04000000005</v>
      </c>
      <c r="Q200">
        <v>75844.280000000028</v>
      </c>
    </row>
    <row r="201" spans="7:17" x14ac:dyDescent="0.25">
      <c r="G201" t="str">
        <f t="shared" si="3"/>
        <v/>
      </c>
      <c r="H201" t="s">
        <v>46</v>
      </c>
      <c r="I201" t="s">
        <v>10</v>
      </c>
      <c r="J201" t="s">
        <v>3</v>
      </c>
      <c r="K201" t="s">
        <v>25</v>
      </c>
      <c r="L201" t="s">
        <v>44</v>
      </c>
      <c r="M201" t="s">
        <v>20</v>
      </c>
      <c r="N201">
        <v>139</v>
      </c>
      <c r="O201">
        <v>51</v>
      </c>
      <c r="P201">
        <v>128058.16999999998</v>
      </c>
      <c r="Q201">
        <v>0</v>
      </c>
    </row>
    <row r="202" spans="7:17" x14ac:dyDescent="0.25">
      <c r="G202" t="str">
        <f t="shared" si="3"/>
        <v/>
      </c>
      <c r="H202" t="s">
        <v>46</v>
      </c>
      <c r="I202" t="s">
        <v>10</v>
      </c>
      <c r="J202" t="s">
        <v>3</v>
      </c>
      <c r="K202" t="s">
        <v>25</v>
      </c>
      <c r="L202" t="s">
        <v>39</v>
      </c>
      <c r="M202" t="s">
        <v>19</v>
      </c>
      <c r="N202">
        <v>253</v>
      </c>
      <c r="O202">
        <v>76</v>
      </c>
      <c r="P202">
        <v>312243.47000000003</v>
      </c>
      <c r="Q202">
        <v>207599.85000000009</v>
      </c>
    </row>
    <row r="203" spans="7:17" x14ac:dyDescent="0.25">
      <c r="G203" t="str">
        <f t="shared" si="3"/>
        <v/>
      </c>
      <c r="H203" t="s">
        <v>46</v>
      </c>
      <c r="I203" t="s">
        <v>10</v>
      </c>
      <c r="J203" t="s">
        <v>3</v>
      </c>
      <c r="K203" t="s">
        <v>25</v>
      </c>
      <c r="L203" t="s">
        <v>39</v>
      </c>
      <c r="M203" t="s">
        <v>20</v>
      </c>
      <c r="N203">
        <v>47</v>
      </c>
      <c r="O203">
        <v>22</v>
      </c>
      <c r="P203">
        <v>29106.829999999987</v>
      </c>
      <c r="Q203">
        <v>0</v>
      </c>
    </row>
    <row r="204" spans="7:17" x14ac:dyDescent="0.25">
      <c r="G204" t="str">
        <f t="shared" si="3"/>
        <v/>
      </c>
      <c r="H204" t="s">
        <v>46</v>
      </c>
      <c r="I204" t="s">
        <v>10</v>
      </c>
      <c r="J204" t="s">
        <v>3</v>
      </c>
      <c r="K204" t="s">
        <v>25</v>
      </c>
      <c r="L204" t="s">
        <v>40</v>
      </c>
      <c r="M204" t="s">
        <v>19</v>
      </c>
      <c r="N204">
        <v>5</v>
      </c>
      <c r="O204">
        <v>0</v>
      </c>
      <c r="P204">
        <v>5453.84</v>
      </c>
      <c r="Q204">
        <v>2074.3000000000002</v>
      </c>
    </row>
    <row r="205" spans="7:17" x14ac:dyDescent="0.25">
      <c r="G205" t="str">
        <f t="shared" si="3"/>
        <v/>
      </c>
      <c r="H205" t="s">
        <v>46</v>
      </c>
      <c r="I205" t="s">
        <v>10</v>
      </c>
      <c r="J205" t="s">
        <v>3</v>
      </c>
      <c r="K205" t="s">
        <v>25</v>
      </c>
      <c r="L205" t="s">
        <v>40</v>
      </c>
      <c r="M205" t="s">
        <v>20</v>
      </c>
      <c r="N205">
        <v>63</v>
      </c>
      <c r="O205">
        <v>13</v>
      </c>
      <c r="P205">
        <v>60144.320000000014</v>
      </c>
      <c r="Q205">
        <v>0</v>
      </c>
    </row>
    <row r="206" spans="7:17" x14ac:dyDescent="0.25">
      <c r="G206" t="str">
        <f t="shared" si="3"/>
        <v/>
      </c>
      <c r="H206" t="s">
        <v>46</v>
      </c>
      <c r="I206" t="s">
        <v>10</v>
      </c>
      <c r="J206" t="s">
        <v>3</v>
      </c>
      <c r="K206" t="s">
        <v>25</v>
      </c>
      <c r="L206" t="s">
        <v>41</v>
      </c>
      <c r="M206" t="s">
        <v>19</v>
      </c>
      <c r="N206">
        <v>6</v>
      </c>
      <c r="O206">
        <v>1</v>
      </c>
      <c r="P206">
        <v>4430.49</v>
      </c>
      <c r="Q206">
        <v>2035.38</v>
      </c>
    </row>
    <row r="207" spans="7:17" x14ac:dyDescent="0.25">
      <c r="G207" t="str">
        <f t="shared" si="3"/>
        <v/>
      </c>
      <c r="H207" t="s">
        <v>46</v>
      </c>
      <c r="I207" t="s">
        <v>10</v>
      </c>
      <c r="J207" t="s">
        <v>3</v>
      </c>
      <c r="K207" t="s">
        <v>25</v>
      </c>
      <c r="L207" t="s">
        <v>41</v>
      </c>
      <c r="M207" t="s">
        <v>20</v>
      </c>
      <c r="N207">
        <v>29</v>
      </c>
      <c r="O207">
        <v>5</v>
      </c>
      <c r="P207">
        <v>25091.100000000002</v>
      </c>
      <c r="Q207">
        <v>0</v>
      </c>
    </row>
    <row r="208" spans="7:17" x14ac:dyDescent="0.25">
      <c r="G208" t="str">
        <f t="shared" si="3"/>
        <v/>
      </c>
      <c r="H208" t="s">
        <v>46</v>
      </c>
      <c r="I208" t="s">
        <v>10</v>
      </c>
      <c r="J208" t="s">
        <v>3</v>
      </c>
      <c r="K208" t="s">
        <v>25</v>
      </c>
      <c r="L208" t="s">
        <v>45</v>
      </c>
      <c r="M208" t="s">
        <v>19</v>
      </c>
      <c r="N208">
        <v>13</v>
      </c>
      <c r="O208">
        <v>3</v>
      </c>
      <c r="P208">
        <v>22574.629999999997</v>
      </c>
      <c r="Q208">
        <v>1845.28</v>
      </c>
    </row>
    <row r="209" spans="7:17" x14ac:dyDescent="0.25">
      <c r="G209" t="str">
        <f t="shared" si="3"/>
        <v/>
      </c>
      <c r="H209" t="s">
        <v>46</v>
      </c>
      <c r="I209" t="s">
        <v>10</v>
      </c>
      <c r="J209" t="s">
        <v>3</v>
      </c>
      <c r="K209" t="s">
        <v>25</v>
      </c>
      <c r="L209" t="s">
        <v>45</v>
      </c>
      <c r="M209" t="s">
        <v>20</v>
      </c>
      <c r="N209">
        <v>331</v>
      </c>
      <c r="O209">
        <v>106</v>
      </c>
      <c r="P209">
        <v>372652.35999999993</v>
      </c>
      <c r="Q209">
        <v>0</v>
      </c>
    </row>
    <row r="210" spans="7:17" x14ac:dyDescent="0.25">
      <c r="G210" t="str">
        <f t="shared" si="3"/>
        <v/>
      </c>
      <c r="H210" t="s">
        <v>46</v>
      </c>
      <c r="I210" t="s">
        <v>10</v>
      </c>
      <c r="J210" t="s">
        <v>3</v>
      </c>
      <c r="K210" t="s">
        <v>26</v>
      </c>
      <c r="L210" t="s">
        <v>42</v>
      </c>
      <c r="M210" t="s">
        <v>19</v>
      </c>
      <c r="N210">
        <v>1102</v>
      </c>
      <c r="O210">
        <v>414</v>
      </c>
      <c r="P210">
        <v>547599.39000000071</v>
      </c>
      <c r="Q210">
        <v>533443.52000000025</v>
      </c>
    </row>
    <row r="211" spans="7:17" x14ac:dyDescent="0.25">
      <c r="G211" t="str">
        <f t="shared" si="3"/>
        <v/>
      </c>
      <c r="H211" t="s">
        <v>46</v>
      </c>
      <c r="I211" t="s">
        <v>10</v>
      </c>
      <c r="J211" t="s">
        <v>3</v>
      </c>
      <c r="K211" t="s">
        <v>26</v>
      </c>
      <c r="L211" t="s">
        <v>42</v>
      </c>
      <c r="M211" t="s">
        <v>20</v>
      </c>
      <c r="N211">
        <v>557</v>
      </c>
      <c r="O211">
        <v>185</v>
      </c>
      <c r="P211">
        <v>183871.55000000002</v>
      </c>
      <c r="Q211">
        <v>0</v>
      </c>
    </row>
    <row r="212" spans="7:17" x14ac:dyDescent="0.25">
      <c r="G212" t="str">
        <f t="shared" si="3"/>
        <v/>
      </c>
      <c r="H212" t="s">
        <v>46</v>
      </c>
      <c r="I212" t="s">
        <v>10</v>
      </c>
      <c r="J212" t="s">
        <v>3</v>
      </c>
      <c r="K212" t="s">
        <v>26</v>
      </c>
      <c r="L212" t="s">
        <v>43</v>
      </c>
      <c r="M212" t="s">
        <v>19</v>
      </c>
      <c r="N212">
        <v>114</v>
      </c>
      <c r="O212">
        <v>48</v>
      </c>
      <c r="P212">
        <v>118136.01000000004</v>
      </c>
      <c r="Q212">
        <v>82104.200000000041</v>
      </c>
    </row>
    <row r="213" spans="7:17" x14ac:dyDescent="0.25">
      <c r="G213" t="str">
        <f t="shared" si="3"/>
        <v/>
      </c>
      <c r="H213" t="s">
        <v>46</v>
      </c>
      <c r="I213" t="s">
        <v>10</v>
      </c>
      <c r="J213" t="s">
        <v>3</v>
      </c>
      <c r="K213" t="s">
        <v>26</v>
      </c>
      <c r="L213" t="s">
        <v>43</v>
      </c>
      <c r="M213" t="s">
        <v>20</v>
      </c>
      <c r="N213">
        <v>231</v>
      </c>
      <c r="O213">
        <v>105</v>
      </c>
      <c r="P213">
        <v>180381.06000000006</v>
      </c>
      <c r="Q213">
        <v>0</v>
      </c>
    </row>
    <row r="214" spans="7:17" x14ac:dyDescent="0.25">
      <c r="G214" t="str">
        <f t="shared" si="3"/>
        <v/>
      </c>
      <c r="H214" t="s">
        <v>46</v>
      </c>
      <c r="I214" t="s">
        <v>10</v>
      </c>
      <c r="J214" t="s">
        <v>3</v>
      </c>
      <c r="K214" t="s">
        <v>26</v>
      </c>
      <c r="L214" t="s">
        <v>44</v>
      </c>
      <c r="M214" t="s">
        <v>19</v>
      </c>
      <c r="N214">
        <v>27</v>
      </c>
      <c r="O214">
        <v>14</v>
      </c>
      <c r="P214">
        <v>27082.18</v>
      </c>
      <c r="Q214">
        <v>17584.780000000002</v>
      </c>
    </row>
    <row r="215" spans="7:17" x14ac:dyDescent="0.25">
      <c r="G215" t="str">
        <f t="shared" si="3"/>
        <v/>
      </c>
      <c r="H215" t="s">
        <v>46</v>
      </c>
      <c r="I215" t="s">
        <v>10</v>
      </c>
      <c r="J215" t="s">
        <v>3</v>
      </c>
      <c r="K215" t="s">
        <v>26</v>
      </c>
      <c r="L215" t="s">
        <v>44</v>
      </c>
      <c r="M215" t="s">
        <v>20</v>
      </c>
      <c r="N215">
        <v>230</v>
      </c>
      <c r="O215">
        <v>116</v>
      </c>
      <c r="P215">
        <v>211903.28</v>
      </c>
      <c r="Q215">
        <v>0</v>
      </c>
    </row>
    <row r="216" spans="7:17" x14ac:dyDescent="0.25">
      <c r="G216" t="str">
        <f t="shared" si="3"/>
        <v/>
      </c>
      <c r="H216" t="s">
        <v>46</v>
      </c>
      <c r="I216" t="s">
        <v>10</v>
      </c>
      <c r="J216" t="s">
        <v>3</v>
      </c>
      <c r="K216" t="s">
        <v>26</v>
      </c>
      <c r="L216" t="s">
        <v>39</v>
      </c>
      <c r="M216" t="s">
        <v>19</v>
      </c>
      <c r="N216">
        <v>29</v>
      </c>
      <c r="O216">
        <v>16</v>
      </c>
      <c r="P216">
        <v>28627.910000000003</v>
      </c>
      <c r="Q216">
        <v>15537.010000000002</v>
      </c>
    </row>
    <row r="217" spans="7:17" x14ac:dyDescent="0.25">
      <c r="G217" t="str">
        <f t="shared" si="3"/>
        <v/>
      </c>
      <c r="H217" t="s">
        <v>46</v>
      </c>
      <c r="I217" t="s">
        <v>10</v>
      </c>
      <c r="J217" t="s">
        <v>3</v>
      </c>
      <c r="K217" t="s">
        <v>26</v>
      </c>
      <c r="L217" t="s">
        <v>39</v>
      </c>
      <c r="M217" t="s">
        <v>20</v>
      </c>
      <c r="N217">
        <v>150</v>
      </c>
      <c r="O217">
        <v>95</v>
      </c>
      <c r="P217">
        <v>142287.21000000002</v>
      </c>
      <c r="Q217">
        <v>0</v>
      </c>
    </row>
    <row r="218" spans="7:17" x14ac:dyDescent="0.25">
      <c r="G218" t="str">
        <f t="shared" si="3"/>
        <v/>
      </c>
      <c r="H218" t="s">
        <v>46</v>
      </c>
      <c r="I218" t="s">
        <v>10</v>
      </c>
      <c r="J218" t="s">
        <v>3</v>
      </c>
      <c r="K218" t="s">
        <v>26</v>
      </c>
      <c r="L218" t="s">
        <v>40</v>
      </c>
      <c r="M218" t="s">
        <v>19</v>
      </c>
      <c r="N218">
        <v>2</v>
      </c>
      <c r="O218">
        <v>0</v>
      </c>
      <c r="P218">
        <v>445.99</v>
      </c>
      <c r="Q218">
        <v>445.99</v>
      </c>
    </row>
    <row r="219" spans="7:17" x14ac:dyDescent="0.25">
      <c r="G219" t="str">
        <f t="shared" si="3"/>
        <v/>
      </c>
      <c r="H219" t="s">
        <v>46</v>
      </c>
      <c r="I219" t="s">
        <v>10</v>
      </c>
      <c r="J219" t="s">
        <v>3</v>
      </c>
      <c r="K219" t="s">
        <v>26</v>
      </c>
      <c r="L219" t="s">
        <v>40</v>
      </c>
      <c r="M219" t="s">
        <v>20</v>
      </c>
      <c r="N219">
        <v>68</v>
      </c>
      <c r="O219">
        <v>22</v>
      </c>
      <c r="P219">
        <v>53767.049999999988</v>
      </c>
      <c r="Q219">
        <v>0</v>
      </c>
    </row>
    <row r="220" spans="7:17" x14ac:dyDescent="0.25">
      <c r="G220" t="str">
        <f t="shared" si="3"/>
        <v/>
      </c>
      <c r="H220" t="s">
        <v>46</v>
      </c>
      <c r="I220" t="s">
        <v>10</v>
      </c>
      <c r="J220" t="s">
        <v>3</v>
      </c>
      <c r="K220" t="s">
        <v>26</v>
      </c>
      <c r="L220" t="s">
        <v>41</v>
      </c>
      <c r="M220" t="s">
        <v>19</v>
      </c>
      <c r="N220">
        <v>3</v>
      </c>
      <c r="O220">
        <v>1</v>
      </c>
      <c r="P220">
        <v>7916.8099999999995</v>
      </c>
      <c r="Q220">
        <v>1935.53</v>
      </c>
    </row>
    <row r="221" spans="7:17" x14ac:dyDescent="0.25">
      <c r="G221" t="str">
        <f t="shared" si="3"/>
        <v/>
      </c>
      <c r="H221" t="s">
        <v>46</v>
      </c>
      <c r="I221" t="s">
        <v>10</v>
      </c>
      <c r="J221" t="s">
        <v>3</v>
      </c>
      <c r="K221" t="s">
        <v>26</v>
      </c>
      <c r="L221" t="s">
        <v>41</v>
      </c>
      <c r="M221" t="s">
        <v>20</v>
      </c>
      <c r="N221">
        <v>40</v>
      </c>
      <c r="O221">
        <v>22</v>
      </c>
      <c r="P221">
        <v>31549.269999999993</v>
      </c>
      <c r="Q221">
        <v>0</v>
      </c>
    </row>
    <row r="222" spans="7:17" x14ac:dyDescent="0.25">
      <c r="G222" t="str">
        <f t="shared" si="3"/>
        <v/>
      </c>
      <c r="H222" t="s">
        <v>46</v>
      </c>
      <c r="I222" t="s">
        <v>10</v>
      </c>
      <c r="J222" t="s">
        <v>3</v>
      </c>
      <c r="K222" t="s">
        <v>27</v>
      </c>
      <c r="L222" t="s">
        <v>42</v>
      </c>
      <c r="M222" t="s">
        <v>19</v>
      </c>
      <c r="N222">
        <v>354</v>
      </c>
      <c r="O222">
        <v>96</v>
      </c>
      <c r="P222">
        <v>137199.73999999993</v>
      </c>
      <c r="Q222">
        <v>135946.25999999998</v>
      </c>
    </row>
    <row r="223" spans="7:17" x14ac:dyDescent="0.25">
      <c r="G223" t="str">
        <f t="shared" si="3"/>
        <v/>
      </c>
      <c r="H223" t="s">
        <v>46</v>
      </c>
      <c r="I223" t="s">
        <v>10</v>
      </c>
      <c r="J223" t="s">
        <v>3</v>
      </c>
      <c r="K223" t="s">
        <v>27</v>
      </c>
      <c r="L223" t="s">
        <v>42</v>
      </c>
      <c r="M223" t="s">
        <v>20</v>
      </c>
      <c r="N223">
        <v>148</v>
      </c>
      <c r="O223">
        <v>37</v>
      </c>
      <c r="P223">
        <v>38025.160000000011</v>
      </c>
      <c r="Q223">
        <v>0</v>
      </c>
    </row>
    <row r="224" spans="7:17" x14ac:dyDescent="0.25">
      <c r="G224" t="str">
        <f t="shared" si="3"/>
        <v/>
      </c>
      <c r="H224" t="s">
        <v>46</v>
      </c>
      <c r="I224" t="s">
        <v>10</v>
      </c>
      <c r="J224" t="s">
        <v>3</v>
      </c>
      <c r="K224" t="s">
        <v>27</v>
      </c>
      <c r="L224" t="s">
        <v>43</v>
      </c>
      <c r="M224" t="s">
        <v>19</v>
      </c>
      <c r="N224">
        <v>12</v>
      </c>
      <c r="O224">
        <v>3</v>
      </c>
      <c r="P224">
        <v>8591.9</v>
      </c>
      <c r="Q224">
        <v>8143.8099999999995</v>
      </c>
    </row>
    <row r="225" spans="7:17" x14ac:dyDescent="0.25">
      <c r="G225" t="str">
        <f t="shared" si="3"/>
        <v/>
      </c>
      <c r="H225" t="s">
        <v>46</v>
      </c>
      <c r="I225" t="s">
        <v>10</v>
      </c>
      <c r="J225" t="s">
        <v>3</v>
      </c>
      <c r="K225" t="s">
        <v>27</v>
      </c>
      <c r="L225" t="s">
        <v>43</v>
      </c>
      <c r="M225" t="s">
        <v>20</v>
      </c>
      <c r="N225">
        <v>79</v>
      </c>
      <c r="O225">
        <v>28</v>
      </c>
      <c r="P225">
        <v>58867.19</v>
      </c>
      <c r="Q225">
        <v>0</v>
      </c>
    </row>
    <row r="226" spans="7:17" x14ac:dyDescent="0.25">
      <c r="G226" t="str">
        <f t="shared" si="3"/>
        <v/>
      </c>
      <c r="H226" t="s">
        <v>46</v>
      </c>
      <c r="I226" t="s">
        <v>10</v>
      </c>
      <c r="J226" t="s">
        <v>3</v>
      </c>
      <c r="K226" t="s">
        <v>27</v>
      </c>
      <c r="L226" t="s">
        <v>44</v>
      </c>
      <c r="M226" t="s">
        <v>19</v>
      </c>
      <c r="N226">
        <v>13</v>
      </c>
      <c r="O226">
        <v>3</v>
      </c>
      <c r="P226">
        <v>10189.5</v>
      </c>
      <c r="Q226">
        <v>9166.3700000000008</v>
      </c>
    </row>
    <row r="227" spans="7:17" x14ac:dyDescent="0.25">
      <c r="G227" t="str">
        <f t="shared" si="3"/>
        <v/>
      </c>
      <c r="H227" t="s">
        <v>46</v>
      </c>
      <c r="I227" t="s">
        <v>10</v>
      </c>
      <c r="J227" t="s">
        <v>3</v>
      </c>
      <c r="K227" t="s">
        <v>27</v>
      </c>
      <c r="L227" t="s">
        <v>44</v>
      </c>
      <c r="M227" t="s">
        <v>20</v>
      </c>
      <c r="N227">
        <v>41</v>
      </c>
      <c r="O227">
        <v>13</v>
      </c>
      <c r="P227">
        <v>30010.55</v>
      </c>
      <c r="Q227">
        <v>0</v>
      </c>
    </row>
    <row r="228" spans="7:17" x14ac:dyDescent="0.25">
      <c r="G228" t="str">
        <f t="shared" si="3"/>
        <v/>
      </c>
      <c r="H228" t="s">
        <v>46</v>
      </c>
      <c r="I228" t="s">
        <v>10</v>
      </c>
      <c r="J228" t="s">
        <v>3</v>
      </c>
      <c r="K228" t="s">
        <v>27</v>
      </c>
      <c r="L228" t="s">
        <v>39</v>
      </c>
      <c r="M228" t="s">
        <v>19</v>
      </c>
      <c r="N228">
        <v>6</v>
      </c>
      <c r="O228">
        <v>3</v>
      </c>
      <c r="P228">
        <v>4477.4000000000005</v>
      </c>
      <c r="Q228">
        <v>3694.88</v>
      </c>
    </row>
    <row r="229" spans="7:17" x14ac:dyDescent="0.25">
      <c r="G229" t="str">
        <f t="shared" si="3"/>
        <v/>
      </c>
      <c r="H229" t="s">
        <v>46</v>
      </c>
      <c r="I229" t="s">
        <v>10</v>
      </c>
      <c r="J229" t="s">
        <v>3</v>
      </c>
      <c r="K229" t="s">
        <v>27</v>
      </c>
      <c r="L229" t="s">
        <v>39</v>
      </c>
      <c r="M229" t="s">
        <v>20</v>
      </c>
      <c r="N229">
        <v>44</v>
      </c>
      <c r="O229">
        <v>23</v>
      </c>
      <c r="P229">
        <v>29991.81</v>
      </c>
      <c r="Q229">
        <v>0</v>
      </c>
    </row>
    <row r="230" spans="7:17" x14ac:dyDescent="0.25">
      <c r="G230" t="str">
        <f t="shared" si="3"/>
        <v/>
      </c>
      <c r="H230" t="s">
        <v>46</v>
      </c>
      <c r="I230" t="s">
        <v>10</v>
      </c>
      <c r="J230" t="s">
        <v>3</v>
      </c>
      <c r="K230" t="s">
        <v>27</v>
      </c>
      <c r="L230" t="s">
        <v>40</v>
      </c>
      <c r="M230" t="s">
        <v>19</v>
      </c>
      <c r="N230">
        <v>3</v>
      </c>
      <c r="O230">
        <v>0</v>
      </c>
      <c r="P230">
        <v>2681.24</v>
      </c>
      <c r="Q230">
        <v>1232.8600000000001</v>
      </c>
    </row>
    <row r="231" spans="7:17" x14ac:dyDescent="0.25">
      <c r="G231" t="str">
        <f t="shared" si="3"/>
        <v/>
      </c>
      <c r="H231" t="s">
        <v>46</v>
      </c>
      <c r="I231" t="s">
        <v>10</v>
      </c>
      <c r="J231" t="s">
        <v>3</v>
      </c>
      <c r="K231" t="s">
        <v>27</v>
      </c>
      <c r="L231" t="s">
        <v>40</v>
      </c>
      <c r="M231" t="s">
        <v>20</v>
      </c>
      <c r="N231">
        <v>14</v>
      </c>
      <c r="O231">
        <v>1</v>
      </c>
      <c r="P231">
        <v>8102.18</v>
      </c>
      <c r="Q231">
        <v>0</v>
      </c>
    </row>
    <row r="232" spans="7:17" x14ac:dyDescent="0.25">
      <c r="G232" t="str">
        <f t="shared" si="3"/>
        <v/>
      </c>
      <c r="H232" t="s">
        <v>46</v>
      </c>
      <c r="I232" t="s">
        <v>10</v>
      </c>
      <c r="J232" t="s">
        <v>3</v>
      </c>
      <c r="K232" t="s">
        <v>27</v>
      </c>
      <c r="L232" t="s">
        <v>41</v>
      </c>
      <c r="M232" t="s">
        <v>20</v>
      </c>
      <c r="N232">
        <v>8</v>
      </c>
      <c r="O232">
        <v>5</v>
      </c>
      <c r="P232">
        <v>5295.829999999999</v>
      </c>
      <c r="Q232">
        <v>0</v>
      </c>
    </row>
    <row r="233" spans="7:17" x14ac:dyDescent="0.25">
      <c r="G233" t="str">
        <f t="shared" si="3"/>
        <v/>
      </c>
      <c r="H233" t="s">
        <v>46</v>
      </c>
      <c r="I233" t="s">
        <v>10</v>
      </c>
      <c r="J233" t="s">
        <v>3</v>
      </c>
      <c r="K233" t="s">
        <v>27</v>
      </c>
      <c r="L233" t="s">
        <v>45</v>
      </c>
      <c r="M233" t="s">
        <v>19</v>
      </c>
      <c r="N233">
        <v>3</v>
      </c>
      <c r="O233">
        <v>1</v>
      </c>
      <c r="P233">
        <v>1877.1899999999998</v>
      </c>
      <c r="Q233">
        <v>1377.1899999999998</v>
      </c>
    </row>
    <row r="234" spans="7:17" x14ac:dyDescent="0.25">
      <c r="G234" t="str">
        <f t="shared" si="3"/>
        <v/>
      </c>
      <c r="H234" t="s">
        <v>46</v>
      </c>
      <c r="I234" t="s">
        <v>10</v>
      </c>
      <c r="J234" t="s">
        <v>3</v>
      </c>
      <c r="K234" t="s">
        <v>27</v>
      </c>
      <c r="L234" t="s">
        <v>45</v>
      </c>
      <c r="M234" t="s">
        <v>20</v>
      </c>
      <c r="N234">
        <v>59</v>
      </c>
      <c r="O234">
        <v>34</v>
      </c>
      <c r="P234">
        <v>182466.07000000004</v>
      </c>
      <c r="Q234">
        <v>0</v>
      </c>
    </row>
    <row r="235" spans="7:17" x14ac:dyDescent="0.25">
      <c r="G235" t="str">
        <f t="shared" si="3"/>
        <v/>
      </c>
      <c r="H235" t="s">
        <v>46</v>
      </c>
      <c r="I235" t="s">
        <v>10</v>
      </c>
      <c r="J235" t="s">
        <v>3</v>
      </c>
      <c r="K235" t="s">
        <v>28</v>
      </c>
      <c r="L235" t="s">
        <v>42</v>
      </c>
      <c r="M235" t="s">
        <v>19</v>
      </c>
      <c r="N235">
        <v>832</v>
      </c>
      <c r="O235">
        <v>283</v>
      </c>
      <c r="P235">
        <v>334255.55000000057</v>
      </c>
      <c r="Q235">
        <v>328434.51000000042</v>
      </c>
    </row>
    <row r="236" spans="7:17" x14ac:dyDescent="0.25">
      <c r="G236" t="str">
        <f t="shared" si="3"/>
        <v/>
      </c>
      <c r="H236" t="s">
        <v>46</v>
      </c>
      <c r="I236" t="s">
        <v>10</v>
      </c>
      <c r="J236" t="s">
        <v>3</v>
      </c>
      <c r="K236" t="s">
        <v>28</v>
      </c>
      <c r="L236" t="s">
        <v>42</v>
      </c>
      <c r="M236" t="s">
        <v>20</v>
      </c>
      <c r="N236">
        <v>414</v>
      </c>
      <c r="O236">
        <v>146</v>
      </c>
      <c r="P236">
        <v>112873.87000000001</v>
      </c>
      <c r="Q236">
        <v>0</v>
      </c>
    </row>
    <row r="237" spans="7:17" x14ac:dyDescent="0.25">
      <c r="G237" t="str">
        <f t="shared" si="3"/>
        <v/>
      </c>
      <c r="H237" t="s">
        <v>46</v>
      </c>
      <c r="I237" t="s">
        <v>10</v>
      </c>
      <c r="J237" t="s">
        <v>3</v>
      </c>
      <c r="K237" t="s">
        <v>28</v>
      </c>
      <c r="L237" t="s">
        <v>43</v>
      </c>
      <c r="M237" t="s">
        <v>19</v>
      </c>
      <c r="N237">
        <v>149</v>
      </c>
      <c r="O237">
        <v>47</v>
      </c>
      <c r="P237">
        <v>120018.03000000001</v>
      </c>
      <c r="Q237">
        <v>87506.01999999999</v>
      </c>
    </row>
    <row r="238" spans="7:17" x14ac:dyDescent="0.25">
      <c r="G238" t="str">
        <f t="shared" si="3"/>
        <v/>
      </c>
      <c r="H238" t="s">
        <v>46</v>
      </c>
      <c r="I238" t="s">
        <v>10</v>
      </c>
      <c r="J238" t="s">
        <v>3</v>
      </c>
      <c r="K238" t="s">
        <v>28</v>
      </c>
      <c r="L238" t="s">
        <v>43</v>
      </c>
      <c r="M238" t="s">
        <v>20</v>
      </c>
      <c r="N238">
        <v>153</v>
      </c>
      <c r="O238">
        <v>66</v>
      </c>
      <c r="P238">
        <v>98707.679999999964</v>
      </c>
      <c r="Q238">
        <v>0</v>
      </c>
    </row>
    <row r="239" spans="7:17" x14ac:dyDescent="0.25">
      <c r="G239" t="str">
        <f t="shared" si="3"/>
        <v/>
      </c>
      <c r="H239" t="s">
        <v>46</v>
      </c>
      <c r="I239" t="s">
        <v>10</v>
      </c>
      <c r="J239" t="s">
        <v>3</v>
      </c>
      <c r="K239" t="s">
        <v>28</v>
      </c>
      <c r="L239" t="s">
        <v>44</v>
      </c>
      <c r="M239" t="s">
        <v>19</v>
      </c>
      <c r="N239">
        <v>67</v>
      </c>
      <c r="O239">
        <v>32</v>
      </c>
      <c r="P239">
        <v>61704.30000000001</v>
      </c>
      <c r="Q239">
        <v>48110.969999999994</v>
      </c>
    </row>
    <row r="240" spans="7:17" x14ac:dyDescent="0.25">
      <c r="G240" t="str">
        <f t="shared" si="3"/>
        <v/>
      </c>
      <c r="H240" t="s">
        <v>46</v>
      </c>
      <c r="I240" t="s">
        <v>10</v>
      </c>
      <c r="J240" t="s">
        <v>3</v>
      </c>
      <c r="K240" t="s">
        <v>28</v>
      </c>
      <c r="L240" t="s">
        <v>44</v>
      </c>
      <c r="M240" t="s">
        <v>20</v>
      </c>
      <c r="N240">
        <v>168</v>
      </c>
      <c r="O240">
        <v>82</v>
      </c>
      <c r="P240">
        <v>108937.59999999999</v>
      </c>
      <c r="Q240">
        <v>0</v>
      </c>
    </row>
    <row r="241" spans="7:17" x14ac:dyDescent="0.25">
      <c r="G241" t="str">
        <f t="shared" si="3"/>
        <v/>
      </c>
      <c r="H241" t="s">
        <v>46</v>
      </c>
      <c r="I241" t="s">
        <v>10</v>
      </c>
      <c r="J241" t="s">
        <v>3</v>
      </c>
      <c r="K241" t="s">
        <v>29</v>
      </c>
      <c r="L241" t="s">
        <v>42</v>
      </c>
      <c r="M241" t="s">
        <v>19</v>
      </c>
      <c r="N241">
        <v>560</v>
      </c>
      <c r="O241">
        <v>158</v>
      </c>
      <c r="P241">
        <v>222617.99000000011</v>
      </c>
      <c r="Q241">
        <v>217121.52000000008</v>
      </c>
    </row>
    <row r="242" spans="7:17" x14ac:dyDescent="0.25">
      <c r="G242" t="str">
        <f t="shared" si="3"/>
        <v/>
      </c>
      <c r="H242" t="s">
        <v>46</v>
      </c>
      <c r="I242" t="s">
        <v>10</v>
      </c>
      <c r="J242" t="s">
        <v>3</v>
      </c>
      <c r="K242" t="s">
        <v>29</v>
      </c>
      <c r="L242" t="s">
        <v>42</v>
      </c>
      <c r="M242" t="s">
        <v>20</v>
      </c>
      <c r="N242">
        <v>317</v>
      </c>
      <c r="O242">
        <v>72</v>
      </c>
      <c r="P242">
        <v>89937.159999999989</v>
      </c>
      <c r="Q242">
        <v>0</v>
      </c>
    </row>
    <row r="243" spans="7:17" x14ac:dyDescent="0.25">
      <c r="G243" t="str">
        <f t="shared" si="3"/>
        <v/>
      </c>
      <c r="H243" t="s">
        <v>46</v>
      </c>
      <c r="I243" t="s">
        <v>10</v>
      </c>
      <c r="J243" t="s">
        <v>3</v>
      </c>
      <c r="K243" t="s">
        <v>29</v>
      </c>
      <c r="L243" t="s">
        <v>43</v>
      </c>
      <c r="M243" t="s">
        <v>19</v>
      </c>
      <c r="N243">
        <v>81</v>
      </c>
      <c r="O243">
        <v>29</v>
      </c>
      <c r="P243">
        <v>83280.280000000013</v>
      </c>
      <c r="Q243">
        <v>78093.08</v>
      </c>
    </row>
    <row r="244" spans="7:17" x14ac:dyDescent="0.25">
      <c r="G244" t="str">
        <f t="shared" si="3"/>
        <v/>
      </c>
      <c r="H244" t="s">
        <v>46</v>
      </c>
      <c r="I244" t="s">
        <v>10</v>
      </c>
      <c r="J244" t="s">
        <v>3</v>
      </c>
      <c r="K244" t="s">
        <v>29</v>
      </c>
      <c r="L244" t="s">
        <v>43</v>
      </c>
      <c r="M244" t="s">
        <v>20</v>
      </c>
      <c r="N244">
        <v>287</v>
      </c>
      <c r="O244">
        <v>54</v>
      </c>
      <c r="P244">
        <v>181026.80999999994</v>
      </c>
      <c r="Q244">
        <v>0</v>
      </c>
    </row>
    <row r="245" spans="7:17" x14ac:dyDescent="0.25">
      <c r="G245" t="str">
        <f t="shared" si="3"/>
        <v/>
      </c>
      <c r="H245" t="s">
        <v>46</v>
      </c>
      <c r="I245" t="s">
        <v>10</v>
      </c>
      <c r="J245" t="s">
        <v>3</v>
      </c>
      <c r="K245" t="s">
        <v>29</v>
      </c>
      <c r="L245" t="s">
        <v>44</v>
      </c>
      <c r="M245" t="s">
        <v>19</v>
      </c>
      <c r="N245">
        <v>23</v>
      </c>
      <c r="O245">
        <v>8</v>
      </c>
      <c r="P245">
        <v>26699.139999999996</v>
      </c>
      <c r="Q245">
        <v>16999.63</v>
      </c>
    </row>
    <row r="246" spans="7:17" x14ac:dyDescent="0.25">
      <c r="G246" t="str">
        <f t="shared" si="3"/>
        <v/>
      </c>
      <c r="H246" t="s">
        <v>46</v>
      </c>
      <c r="I246" t="s">
        <v>10</v>
      </c>
      <c r="J246" t="s">
        <v>3</v>
      </c>
      <c r="K246" t="s">
        <v>29</v>
      </c>
      <c r="L246" t="s">
        <v>44</v>
      </c>
      <c r="M246" t="s">
        <v>20</v>
      </c>
      <c r="N246">
        <v>168</v>
      </c>
      <c r="O246">
        <v>60</v>
      </c>
      <c r="P246">
        <v>117592.83999999988</v>
      </c>
      <c r="Q246">
        <v>0</v>
      </c>
    </row>
    <row r="247" spans="7:17" x14ac:dyDescent="0.25">
      <c r="G247" t="str">
        <f t="shared" si="3"/>
        <v/>
      </c>
      <c r="H247" t="s">
        <v>46</v>
      </c>
      <c r="I247" t="s">
        <v>10</v>
      </c>
      <c r="J247" t="s">
        <v>3</v>
      </c>
      <c r="K247" t="s">
        <v>29</v>
      </c>
      <c r="L247" t="s">
        <v>39</v>
      </c>
      <c r="M247" t="s">
        <v>19</v>
      </c>
      <c r="N247">
        <v>38</v>
      </c>
      <c r="O247">
        <v>6</v>
      </c>
      <c r="P247">
        <v>27048.070000000011</v>
      </c>
      <c r="Q247">
        <v>16936.25</v>
      </c>
    </row>
    <row r="248" spans="7:17" x14ac:dyDescent="0.25">
      <c r="G248" t="str">
        <f t="shared" si="3"/>
        <v/>
      </c>
      <c r="H248" t="s">
        <v>46</v>
      </c>
      <c r="I248" t="s">
        <v>10</v>
      </c>
      <c r="J248" t="s">
        <v>3</v>
      </c>
      <c r="K248" t="s">
        <v>29</v>
      </c>
      <c r="L248" t="s">
        <v>39</v>
      </c>
      <c r="M248" t="s">
        <v>20</v>
      </c>
      <c r="N248">
        <v>84</v>
      </c>
      <c r="O248">
        <v>40</v>
      </c>
      <c r="P248">
        <v>72273.23</v>
      </c>
      <c r="Q248">
        <v>0</v>
      </c>
    </row>
    <row r="249" spans="7:17" x14ac:dyDescent="0.25">
      <c r="G249" t="str">
        <f t="shared" si="3"/>
        <v/>
      </c>
      <c r="H249" t="s">
        <v>46</v>
      </c>
      <c r="I249" t="s">
        <v>10</v>
      </c>
      <c r="J249" t="s">
        <v>3</v>
      </c>
      <c r="K249" t="s">
        <v>29</v>
      </c>
      <c r="L249" t="s">
        <v>40</v>
      </c>
      <c r="M249" t="s">
        <v>19</v>
      </c>
      <c r="N249">
        <v>3</v>
      </c>
      <c r="O249">
        <v>1</v>
      </c>
      <c r="P249">
        <v>1759.1000000000001</v>
      </c>
      <c r="Q249">
        <v>911.28</v>
      </c>
    </row>
    <row r="250" spans="7:17" x14ac:dyDescent="0.25">
      <c r="G250" t="str">
        <f t="shared" si="3"/>
        <v/>
      </c>
      <c r="H250" t="s">
        <v>46</v>
      </c>
      <c r="I250" t="s">
        <v>10</v>
      </c>
      <c r="J250" t="s">
        <v>3</v>
      </c>
      <c r="K250" t="s">
        <v>29</v>
      </c>
      <c r="L250" t="s">
        <v>40</v>
      </c>
      <c r="M250" t="s">
        <v>20</v>
      </c>
      <c r="N250">
        <v>20</v>
      </c>
      <c r="O250">
        <v>6</v>
      </c>
      <c r="P250">
        <v>16856.010000000002</v>
      </c>
      <c r="Q250">
        <v>0</v>
      </c>
    </row>
    <row r="251" spans="7:17" x14ac:dyDescent="0.25">
      <c r="G251" t="str">
        <f t="shared" si="3"/>
        <v/>
      </c>
      <c r="H251" t="s">
        <v>46</v>
      </c>
      <c r="I251" t="s">
        <v>10</v>
      </c>
      <c r="J251" t="s">
        <v>3</v>
      </c>
      <c r="K251" t="s">
        <v>29</v>
      </c>
      <c r="L251" t="s">
        <v>41</v>
      </c>
      <c r="M251" t="s">
        <v>20</v>
      </c>
      <c r="N251">
        <v>16</v>
      </c>
      <c r="O251">
        <v>4</v>
      </c>
      <c r="P251">
        <v>14591.82</v>
      </c>
      <c r="Q251">
        <v>0</v>
      </c>
    </row>
    <row r="252" spans="7:17" x14ac:dyDescent="0.25">
      <c r="G252" t="str">
        <f t="shared" si="3"/>
        <v/>
      </c>
      <c r="H252" t="s">
        <v>46</v>
      </c>
      <c r="I252" t="s">
        <v>10</v>
      </c>
      <c r="J252" t="s">
        <v>3</v>
      </c>
      <c r="K252" t="s">
        <v>29</v>
      </c>
      <c r="L252" t="s">
        <v>45</v>
      </c>
      <c r="M252" t="s">
        <v>19</v>
      </c>
      <c r="N252">
        <v>2</v>
      </c>
      <c r="O252">
        <v>1</v>
      </c>
      <c r="P252">
        <v>1249.24</v>
      </c>
      <c r="Q252">
        <v>944.22</v>
      </c>
    </row>
    <row r="253" spans="7:17" x14ac:dyDescent="0.25">
      <c r="G253" t="str">
        <f t="shared" si="3"/>
        <v/>
      </c>
      <c r="H253" t="s">
        <v>46</v>
      </c>
      <c r="I253" t="s">
        <v>10</v>
      </c>
      <c r="J253" t="s">
        <v>3</v>
      </c>
      <c r="K253" t="s">
        <v>29</v>
      </c>
      <c r="L253" t="s">
        <v>45</v>
      </c>
      <c r="M253" t="s">
        <v>20</v>
      </c>
      <c r="N253">
        <v>322</v>
      </c>
      <c r="O253">
        <v>125</v>
      </c>
      <c r="P253">
        <v>271692.7300000001</v>
      </c>
      <c r="Q253">
        <v>0</v>
      </c>
    </row>
    <row r="254" spans="7:17" x14ac:dyDescent="0.25">
      <c r="G254" t="str">
        <f t="shared" si="3"/>
        <v/>
      </c>
      <c r="H254" t="s">
        <v>46</v>
      </c>
      <c r="I254" t="s">
        <v>10</v>
      </c>
      <c r="J254" t="s">
        <v>3</v>
      </c>
      <c r="K254" t="s">
        <v>30</v>
      </c>
      <c r="L254" t="s">
        <v>42</v>
      </c>
      <c r="M254" t="s">
        <v>19</v>
      </c>
      <c r="N254">
        <v>70</v>
      </c>
      <c r="O254">
        <v>14</v>
      </c>
      <c r="P254">
        <v>27552.459999999995</v>
      </c>
      <c r="Q254">
        <v>27469.449999999997</v>
      </c>
    </row>
    <row r="255" spans="7:17" x14ac:dyDescent="0.25">
      <c r="G255" t="str">
        <f t="shared" si="3"/>
        <v/>
      </c>
      <c r="H255" t="s">
        <v>46</v>
      </c>
      <c r="I255" t="s">
        <v>10</v>
      </c>
      <c r="J255" t="s">
        <v>3</v>
      </c>
      <c r="K255" t="s">
        <v>30</v>
      </c>
      <c r="L255" t="s">
        <v>42</v>
      </c>
      <c r="M255" t="s">
        <v>20</v>
      </c>
      <c r="N255">
        <v>22</v>
      </c>
      <c r="O255">
        <v>4</v>
      </c>
      <c r="P255">
        <v>6240.2900000000009</v>
      </c>
      <c r="Q255">
        <v>0</v>
      </c>
    </row>
    <row r="256" spans="7:17" x14ac:dyDescent="0.25">
      <c r="G256" t="str">
        <f t="shared" si="3"/>
        <v/>
      </c>
      <c r="H256" t="s">
        <v>46</v>
      </c>
      <c r="I256" t="s">
        <v>10</v>
      </c>
      <c r="J256" t="s">
        <v>3</v>
      </c>
      <c r="K256" t="s">
        <v>30</v>
      </c>
      <c r="L256" t="s">
        <v>43</v>
      </c>
      <c r="M256" t="s">
        <v>19</v>
      </c>
      <c r="N256">
        <v>9</v>
      </c>
      <c r="O256">
        <v>1</v>
      </c>
      <c r="P256">
        <v>3408.84</v>
      </c>
      <c r="Q256">
        <v>3408.62</v>
      </c>
    </row>
    <row r="257" spans="7:17" x14ac:dyDescent="0.25">
      <c r="G257" t="str">
        <f t="shared" si="3"/>
        <v/>
      </c>
      <c r="H257" t="s">
        <v>46</v>
      </c>
      <c r="I257" t="s">
        <v>10</v>
      </c>
      <c r="J257" t="s">
        <v>3</v>
      </c>
      <c r="K257" t="s">
        <v>30</v>
      </c>
      <c r="L257" t="s">
        <v>43</v>
      </c>
      <c r="M257" t="s">
        <v>20</v>
      </c>
      <c r="N257">
        <v>22</v>
      </c>
      <c r="O257">
        <v>2</v>
      </c>
      <c r="P257">
        <v>13114.090000000004</v>
      </c>
      <c r="Q257">
        <v>0</v>
      </c>
    </row>
    <row r="258" spans="7:17" x14ac:dyDescent="0.25">
      <c r="G258" t="str">
        <f t="shared" ref="G258:G321" si="4">IF(G$1="Overall","Overall",IF(G$1=L258,L258,""))</f>
        <v/>
      </c>
      <c r="H258" t="s">
        <v>46</v>
      </c>
      <c r="I258" t="s">
        <v>10</v>
      </c>
      <c r="J258" t="s">
        <v>3</v>
      </c>
      <c r="K258" t="s">
        <v>30</v>
      </c>
      <c r="L258" t="s">
        <v>44</v>
      </c>
      <c r="M258" t="s">
        <v>19</v>
      </c>
      <c r="N258">
        <v>2</v>
      </c>
      <c r="O258">
        <v>2</v>
      </c>
      <c r="P258">
        <v>1706.88</v>
      </c>
      <c r="Q258">
        <v>975</v>
      </c>
    </row>
    <row r="259" spans="7:17" x14ac:dyDescent="0.25">
      <c r="G259" t="str">
        <f t="shared" si="4"/>
        <v/>
      </c>
      <c r="H259" t="s">
        <v>46</v>
      </c>
      <c r="I259" t="s">
        <v>10</v>
      </c>
      <c r="J259" t="s">
        <v>3</v>
      </c>
      <c r="K259" t="s">
        <v>30</v>
      </c>
      <c r="L259" t="s">
        <v>44</v>
      </c>
      <c r="M259" t="s">
        <v>20</v>
      </c>
      <c r="N259">
        <v>23</v>
      </c>
      <c r="O259">
        <v>4</v>
      </c>
      <c r="P259">
        <v>20597.930000000004</v>
      </c>
      <c r="Q259">
        <v>0</v>
      </c>
    </row>
    <row r="260" spans="7:17" x14ac:dyDescent="0.25">
      <c r="G260" t="str">
        <f t="shared" si="4"/>
        <v/>
      </c>
      <c r="H260" t="s">
        <v>46</v>
      </c>
      <c r="I260" t="s">
        <v>10</v>
      </c>
      <c r="J260" t="s">
        <v>3</v>
      </c>
      <c r="K260" t="s">
        <v>30</v>
      </c>
      <c r="L260" t="s">
        <v>39</v>
      </c>
      <c r="M260" t="s">
        <v>19</v>
      </c>
      <c r="N260">
        <v>2</v>
      </c>
      <c r="O260">
        <v>2</v>
      </c>
      <c r="P260">
        <v>2633.27</v>
      </c>
      <c r="Q260">
        <v>315.27999999999997</v>
      </c>
    </row>
    <row r="261" spans="7:17" x14ac:dyDescent="0.25">
      <c r="G261" t="str">
        <f t="shared" si="4"/>
        <v/>
      </c>
      <c r="H261" t="s">
        <v>46</v>
      </c>
      <c r="I261" t="s">
        <v>10</v>
      </c>
      <c r="J261" t="s">
        <v>3</v>
      </c>
      <c r="K261" t="s">
        <v>30</v>
      </c>
      <c r="L261" t="s">
        <v>39</v>
      </c>
      <c r="M261" t="s">
        <v>20</v>
      </c>
      <c r="N261">
        <v>9</v>
      </c>
      <c r="O261">
        <v>4</v>
      </c>
      <c r="P261">
        <v>12174.86</v>
      </c>
      <c r="Q261">
        <v>0</v>
      </c>
    </row>
    <row r="262" spans="7:17" x14ac:dyDescent="0.25">
      <c r="G262" t="str">
        <f t="shared" si="4"/>
        <v/>
      </c>
      <c r="H262" t="s">
        <v>46</v>
      </c>
      <c r="I262" t="s">
        <v>10</v>
      </c>
      <c r="J262" t="s">
        <v>3</v>
      </c>
      <c r="K262" t="s">
        <v>30</v>
      </c>
      <c r="L262" t="s">
        <v>40</v>
      </c>
      <c r="M262" t="s">
        <v>20</v>
      </c>
      <c r="N262">
        <v>1</v>
      </c>
      <c r="O262">
        <v>0</v>
      </c>
      <c r="P262">
        <v>535.35</v>
      </c>
      <c r="Q262">
        <v>0</v>
      </c>
    </row>
    <row r="263" spans="7:17" x14ac:dyDescent="0.25">
      <c r="G263" t="str">
        <f t="shared" si="4"/>
        <v/>
      </c>
      <c r="H263" t="s">
        <v>46</v>
      </c>
      <c r="I263" t="s">
        <v>10</v>
      </c>
      <c r="J263" t="s">
        <v>3</v>
      </c>
      <c r="K263" t="s">
        <v>30</v>
      </c>
      <c r="L263" t="s">
        <v>41</v>
      </c>
      <c r="M263" t="s">
        <v>20</v>
      </c>
      <c r="N263">
        <v>4</v>
      </c>
      <c r="O263">
        <v>0</v>
      </c>
      <c r="P263">
        <v>5922.74</v>
      </c>
      <c r="Q263">
        <v>0</v>
      </c>
    </row>
    <row r="264" spans="7:17" x14ac:dyDescent="0.25">
      <c r="G264" t="str">
        <f t="shared" si="4"/>
        <v/>
      </c>
      <c r="H264" t="s">
        <v>46</v>
      </c>
      <c r="I264" t="s">
        <v>10</v>
      </c>
      <c r="J264" t="s">
        <v>3</v>
      </c>
      <c r="K264" t="s">
        <v>30</v>
      </c>
      <c r="L264" t="s">
        <v>45</v>
      </c>
      <c r="M264" t="s">
        <v>19</v>
      </c>
      <c r="N264">
        <v>2</v>
      </c>
      <c r="O264">
        <v>1</v>
      </c>
      <c r="P264">
        <v>696.78</v>
      </c>
      <c r="Q264">
        <v>696.78</v>
      </c>
    </row>
    <row r="265" spans="7:17" x14ac:dyDescent="0.25">
      <c r="G265" t="str">
        <f t="shared" si="4"/>
        <v/>
      </c>
      <c r="H265" t="s">
        <v>46</v>
      </c>
      <c r="I265" t="s">
        <v>10</v>
      </c>
      <c r="J265" t="s">
        <v>3</v>
      </c>
      <c r="K265" t="s">
        <v>30</v>
      </c>
      <c r="L265" t="s">
        <v>45</v>
      </c>
      <c r="M265" t="s">
        <v>20</v>
      </c>
      <c r="N265">
        <v>10</v>
      </c>
      <c r="O265">
        <v>5</v>
      </c>
      <c r="P265">
        <v>10074.450000000001</v>
      </c>
      <c r="Q265">
        <v>0</v>
      </c>
    </row>
    <row r="266" spans="7:17" x14ac:dyDescent="0.25">
      <c r="G266" t="str">
        <f t="shared" si="4"/>
        <v/>
      </c>
      <c r="H266" t="s">
        <v>46</v>
      </c>
      <c r="I266" t="s">
        <v>10</v>
      </c>
      <c r="J266" t="s">
        <v>3</v>
      </c>
      <c r="K266" t="s">
        <v>32</v>
      </c>
      <c r="L266" t="s">
        <v>42</v>
      </c>
      <c r="M266" t="s">
        <v>19</v>
      </c>
      <c r="N266">
        <v>47</v>
      </c>
      <c r="O266">
        <v>10</v>
      </c>
      <c r="P266">
        <v>13979.689999999999</v>
      </c>
      <c r="Q266">
        <v>13509.13</v>
      </c>
    </row>
    <row r="267" spans="7:17" x14ac:dyDescent="0.25">
      <c r="G267" t="str">
        <f t="shared" si="4"/>
        <v/>
      </c>
      <c r="H267" t="s">
        <v>46</v>
      </c>
      <c r="I267" t="s">
        <v>10</v>
      </c>
      <c r="J267" t="s">
        <v>3</v>
      </c>
      <c r="K267" t="s">
        <v>32</v>
      </c>
      <c r="L267" t="s">
        <v>42</v>
      </c>
      <c r="M267" t="s">
        <v>20</v>
      </c>
      <c r="N267">
        <v>105</v>
      </c>
      <c r="O267">
        <v>4</v>
      </c>
      <c r="P267">
        <v>42163.409999999989</v>
      </c>
      <c r="Q267">
        <v>0</v>
      </c>
    </row>
    <row r="268" spans="7:17" x14ac:dyDescent="0.25">
      <c r="G268" t="str">
        <f t="shared" si="4"/>
        <v/>
      </c>
      <c r="H268" t="s">
        <v>46</v>
      </c>
      <c r="I268" t="s">
        <v>10</v>
      </c>
      <c r="J268" t="s">
        <v>3</v>
      </c>
      <c r="K268" t="s">
        <v>32</v>
      </c>
      <c r="L268" t="s">
        <v>43</v>
      </c>
      <c r="M268" t="s">
        <v>19</v>
      </c>
      <c r="N268">
        <v>3</v>
      </c>
      <c r="O268">
        <v>2</v>
      </c>
      <c r="P268">
        <v>2495.5099999999998</v>
      </c>
      <c r="Q268">
        <v>2370.6099999999997</v>
      </c>
    </row>
    <row r="269" spans="7:17" x14ac:dyDescent="0.25">
      <c r="G269" t="str">
        <f t="shared" si="4"/>
        <v/>
      </c>
      <c r="H269" t="s">
        <v>46</v>
      </c>
      <c r="I269" t="s">
        <v>10</v>
      </c>
      <c r="J269" t="s">
        <v>3</v>
      </c>
      <c r="K269" t="s">
        <v>32</v>
      </c>
      <c r="L269" t="s">
        <v>43</v>
      </c>
      <c r="M269" t="s">
        <v>20</v>
      </c>
      <c r="N269">
        <v>37</v>
      </c>
      <c r="O269">
        <v>8</v>
      </c>
      <c r="P269">
        <v>28775.57</v>
      </c>
      <c r="Q269">
        <v>0</v>
      </c>
    </row>
    <row r="270" spans="7:17" x14ac:dyDescent="0.25">
      <c r="G270" t="str">
        <f t="shared" si="4"/>
        <v/>
      </c>
      <c r="H270" t="s">
        <v>46</v>
      </c>
      <c r="I270" t="s">
        <v>10</v>
      </c>
      <c r="J270" t="s">
        <v>3</v>
      </c>
      <c r="K270" t="s">
        <v>32</v>
      </c>
      <c r="L270" t="s">
        <v>44</v>
      </c>
      <c r="M270" t="s">
        <v>20</v>
      </c>
      <c r="N270">
        <v>11</v>
      </c>
      <c r="O270">
        <v>5</v>
      </c>
      <c r="P270">
        <v>12599.449999999999</v>
      </c>
      <c r="Q270">
        <v>0</v>
      </c>
    </row>
    <row r="271" spans="7:17" x14ac:dyDescent="0.25">
      <c r="G271" t="str">
        <f t="shared" si="4"/>
        <v/>
      </c>
      <c r="H271" t="s">
        <v>46</v>
      </c>
      <c r="I271" t="s">
        <v>10</v>
      </c>
      <c r="J271" t="s">
        <v>3</v>
      </c>
      <c r="K271" t="s">
        <v>32</v>
      </c>
      <c r="L271" t="s">
        <v>39</v>
      </c>
      <c r="M271" t="s">
        <v>19</v>
      </c>
      <c r="N271">
        <v>5</v>
      </c>
      <c r="O271">
        <v>2</v>
      </c>
      <c r="P271">
        <v>3673.14</v>
      </c>
      <c r="Q271">
        <v>425</v>
      </c>
    </row>
    <row r="272" spans="7:17" x14ac:dyDescent="0.25">
      <c r="G272" t="str">
        <f t="shared" si="4"/>
        <v/>
      </c>
      <c r="H272" t="s">
        <v>46</v>
      </c>
      <c r="I272" t="s">
        <v>10</v>
      </c>
      <c r="J272" t="s">
        <v>3</v>
      </c>
      <c r="K272" t="s">
        <v>32</v>
      </c>
      <c r="L272" t="s">
        <v>39</v>
      </c>
      <c r="M272" t="s">
        <v>20</v>
      </c>
      <c r="N272">
        <v>6</v>
      </c>
      <c r="O272">
        <v>4</v>
      </c>
      <c r="P272">
        <v>7250.8099999999995</v>
      </c>
      <c r="Q272">
        <v>0</v>
      </c>
    </row>
    <row r="273" spans="7:17" x14ac:dyDescent="0.25">
      <c r="G273" t="str">
        <f t="shared" si="4"/>
        <v/>
      </c>
      <c r="H273" t="s">
        <v>46</v>
      </c>
      <c r="I273" t="s">
        <v>10</v>
      </c>
      <c r="J273" t="s">
        <v>3</v>
      </c>
      <c r="K273" t="s">
        <v>32</v>
      </c>
      <c r="L273" t="s">
        <v>40</v>
      </c>
      <c r="M273" t="s">
        <v>20</v>
      </c>
      <c r="N273">
        <v>8</v>
      </c>
      <c r="O273">
        <v>1</v>
      </c>
      <c r="P273">
        <v>3606.5099999999998</v>
      </c>
      <c r="Q273">
        <v>0</v>
      </c>
    </row>
    <row r="274" spans="7:17" x14ac:dyDescent="0.25">
      <c r="G274" t="str">
        <f t="shared" si="4"/>
        <v/>
      </c>
      <c r="H274" t="s">
        <v>46</v>
      </c>
      <c r="I274" t="s">
        <v>10</v>
      </c>
      <c r="J274" t="s">
        <v>3</v>
      </c>
      <c r="K274" t="s">
        <v>32</v>
      </c>
      <c r="L274" t="s">
        <v>41</v>
      </c>
      <c r="M274" t="s">
        <v>20</v>
      </c>
      <c r="N274">
        <v>6</v>
      </c>
      <c r="O274">
        <v>0</v>
      </c>
      <c r="P274">
        <v>12772.599999999999</v>
      </c>
      <c r="Q274">
        <v>0</v>
      </c>
    </row>
    <row r="275" spans="7:17" x14ac:dyDescent="0.25">
      <c r="G275" t="str">
        <f t="shared" si="4"/>
        <v/>
      </c>
      <c r="H275" t="s">
        <v>46</v>
      </c>
      <c r="I275" t="s">
        <v>10</v>
      </c>
      <c r="J275" t="s">
        <v>3</v>
      </c>
      <c r="K275" t="s">
        <v>32</v>
      </c>
      <c r="L275" t="s">
        <v>45</v>
      </c>
      <c r="M275" t="s">
        <v>20</v>
      </c>
      <c r="N275">
        <v>36</v>
      </c>
      <c r="O275">
        <v>11</v>
      </c>
      <c r="P275">
        <v>35164.660000000003</v>
      </c>
      <c r="Q275">
        <v>0</v>
      </c>
    </row>
    <row r="276" spans="7:17" x14ac:dyDescent="0.25">
      <c r="G276" t="str">
        <f t="shared" si="4"/>
        <v/>
      </c>
      <c r="H276" t="s">
        <v>46</v>
      </c>
      <c r="I276" t="s">
        <v>10</v>
      </c>
      <c r="J276" t="s">
        <v>3</v>
      </c>
      <c r="K276" t="s">
        <v>33</v>
      </c>
      <c r="L276" t="s">
        <v>42</v>
      </c>
      <c r="M276" t="s">
        <v>19</v>
      </c>
      <c r="N276">
        <v>521</v>
      </c>
      <c r="O276">
        <v>126</v>
      </c>
      <c r="P276">
        <v>210245.48000000051</v>
      </c>
      <c r="Q276">
        <v>202045.9900000004</v>
      </c>
    </row>
    <row r="277" spans="7:17" x14ac:dyDescent="0.25">
      <c r="G277" t="str">
        <f t="shared" si="4"/>
        <v/>
      </c>
      <c r="H277" t="s">
        <v>46</v>
      </c>
      <c r="I277" t="s">
        <v>10</v>
      </c>
      <c r="J277" t="s">
        <v>3</v>
      </c>
      <c r="K277" t="s">
        <v>33</v>
      </c>
      <c r="L277" t="s">
        <v>42</v>
      </c>
      <c r="M277" t="s">
        <v>20</v>
      </c>
      <c r="N277">
        <v>213</v>
      </c>
      <c r="O277">
        <v>50</v>
      </c>
      <c r="P277">
        <v>54700.709999999963</v>
      </c>
      <c r="Q277">
        <v>0</v>
      </c>
    </row>
    <row r="278" spans="7:17" x14ac:dyDescent="0.25">
      <c r="G278" t="str">
        <f t="shared" si="4"/>
        <v/>
      </c>
      <c r="H278" t="s">
        <v>46</v>
      </c>
      <c r="I278" t="s">
        <v>10</v>
      </c>
      <c r="J278" t="s">
        <v>3</v>
      </c>
      <c r="K278" t="s">
        <v>33</v>
      </c>
      <c r="L278" t="s">
        <v>43</v>
      </c>
      <c r="M278" t="s">
        <v>19</v>
      </c>
      <c r="N278">
        <v>40</v>
      </c>
      <c r="O278">
        <v>21</v>
      </c>
      <c r="P278">
        <v>27778.329999999998</v>
      </c>
      <c r="Q278">
        <v>23954.35</v>
      </c>
    </row>
    <row r="279" spans="7:17" x14ac:dyDescent="0.25">
      <c r="G279" t="str">
        <f t="shared" si="4"/>
        <v/>
      </c>
      <c r="H279" t="s">
        <v>46</v>
      </c>
      <c r="I279" t="s">
        <v>10</v>
      </c>
      <c r="J279" t="s">
        <v>3</v>
      </c>
      <c r="K279" t="s">
        <v>33</v>
      </c>
      <c r="L279" t="s">
        <v>43</v>
      </c>
      <c r="M279" t="s">
        <v>20</v>
      </c>
      <c r="N279">
        <v>122</v>
      </c>
      <c r="O279">
        <v>44</v>
      </c>
      <c r="P279">
        <v>90076.999999999985</v>
      </c>
      <c r="Q279">
        <v>0</v>
      </c>
    </row>
    <row r="280" spans="7:17" x14ac:dyDescent="0.25">
      <c r="G280" t="str">
        <f t="shared" si="4"/>
        <v/>
      </c>
      <c r="H280" t="s">
        <v>46</v>
      </c>
      <c r="I280" t="s">
        <v>10</v>
      </c>
      <c r="J280" t="s">
        <v>3</v>
      </c>
      <c r="K280" t="s">
        <v>33</v>
      </c>
      <c r="L280" t="s">
        <v>44</v>
      </c>
      <c r="M280" t="s">
        <v>19</v>
      </c>
      <c r="N280">
        <v>18</v>
      </c>
      <c r="O280">
        <v>9</v>
      </c>
      <c r="P280">
        <v>19452.150000000001</v>
      </c>
      <c r="Q280">
        <v>18713.640000000003</v>
      </c>
    </row>
    <row r="281" spans="7:17" x14ac:dyDescent="0.25">
      <c r="G281" t="str">
        <f t="shared" si="4"/>
        <v/>
      </c>
      <c r="H281" t="s">
        <v>46</v>
      </c>
      <c r="I281" t="s">
        <v>10</v>
      </c>
      <c r="J281" t="s">
        <v>3</v>
      </c>
      <c r="K281" t="s">
        <v>33</v>
      </c>
      <c r="L281" t="s">
        <v>44</v>
      </c>
      <c r="M281" t="s">
        <v>20</v>
      </c>
      <c r="N281">
        <v>133</v>
      </c>
      <c r="O281">
        <v>33</v>
      </c>
      <c r="P281">
        <v>119673.57999999993</v>
      </c>
      <c r="Q281">
        <v>0</v>
      </c>
    </row>
    <row r="282" spans="7:17" x14ac:dyDescent="0.25">
      <c r="G282" t="str">
        <f t="shared" si="4"/>
        <v/>
      </c>
      <c r="H282" t="s">
        <v>46</v>
      </c>
      <c r="I282" t="s">
        <v>10</v>
      </c>
      <c r="J282" t="s">
        <v>3</v>
      </c>
      <c r="K282" t="s">
        <v>33</v>
      </c>
      <c r="L282" t="s">
        <v>39</v>
      </c>
      <c r="M282" t="s">
        <v>19</v>
      </c>
      <c r="N282">
        <v>23</v>
      </c>
      <c r="O282">
        <v>8</v>
      </c>
      <c r="P282">
        <v>13512.649999999998</v>
      </c>
      <c r="Q282">
        <v>7987.26</v>
      </c>
    </row>
    <row r="283" spans="7:17" x14ac:dyDescent="0.25">
      <c r="G283" t="str">
        <f t="shared" si="4"/>
        <v/>
      </c>
      <c r="H283" t="s">
        <v>46</v>
      </c>
      <c r="I283" t="s">
        <v>10</v>
      </c>
      <c r="J283" t="s">
        <v>3</v>
      </c>
      <c r="K283" t="s">
        <v>33</v>
      </c>
      <c r="L283" t="s">
        <v>39</v>
      </c>
      <c r="M283" t="s">
        <v>20</v>
      </c>
      <c r="N283">
        <v>101</v>
      </c>
      <c r="O283">
        <v>34</v>
      </c>
      <c r="P283">
        <v>74550.62000000001</v>
      </c>
      <c r="Q283">
        <v>0</v>
      </c>
    </row>
    <row r="284" spans="7:17" x14ac:dyDescent="0.25">
      <c r="G284" t="str">
        <f t="shared" si="4"/>
        <v/>
      </c>
      <c r="H284" t="s">
        <v>46</v>
      </c>
      <c r="I284" t="s">
        <v>10</v>
      </c>
      <c r="J284" t="s">
        <v>3</v>
      </c>
      <c r="K284" t="s">
        <v>33</v>
      </c>
      <c r="L284" t="s">
        <v>40</v>
      </c>
      <c r="M284" t="s">
        <v>19</v>
      </c>
      <c r="N284">
        <v>7</v>
      </c>
      <c r="O284">
        <v>0</v>
      </c>
      <c r="P284">
        <v>2522.21</v>
      </c>
      <c r="Q284">
        <v>2248.44</v>
      </c>
    </row>
    <row r="285" spans="7:17" x14ac:dyDescent="0.25">
      <c r="G285" t="str">
        <f t="shared" si="4"/>
        <v/>
      </c>
      <c r="H285" t="s">
        <v>46</v>
      </c>
      <c r="I285" t="s">
        <v>10</v>
      </c>
      <c r="J285" t="s">
        <v>3</v>
      </c>
      <c r="K285" t="s">
        <v>33</v>
      </c>
      <c r="L285" t="s">
        <v>40</v>
      </c>
      <c r="M285" t="s">
        <v>20</v>
      </c>
      <c r="N285">
        <v>33</v>
      </c>
      <c r="O285">
        <v>6</v>
      </c>
      <c r="P285">
        <v>22171.01</v>
      </c>
      <c r="Q285">
        <v>0</v>
      </c>
    </row>
    <row r="286" spans="7:17" x14ac:dyDescent="0.25">
      <c r="G286" t="str">
        <f t="shared" si="4"/>
        <v/>
      </c>
      <c r="H286" t="s">
        <v>46</v>
      </c>
      <c r="I286" t="s">
        <v>10</v>
      </c>
      <c r="J286" t="s">
        <v>3</v>
      </c>
      <c r="K286" t="s">
        <v>33</v>
      </c>
      <c r="L286" t="s">
        <v>41</v>
      </c>
      <c r="M286" t="s">
        <v>19</v>
      </c>
      <c r="N286">
        <v>1</v>
      </c>
      <c r="O286">
        <v>0</v>
      </c>
      <c r="P286">
        <v>667.72</v>
      </c>
      <c r="Q286">
        <v>605.66</v>
      </c>
    </row>
    <row r="287" spans="7:17" x14ac:dyDescent="0.25">
      <c r="G287" t="str">
        <f t="shared" si="4"/>
        <v/>
      </c>
      <c r="H287" t="s">
        <v>46</v>
      </c>
      <c r="I287" t="s">
        <v>10</v>
      </c>
      <c r="J287" t="s">
        <v>3</v>
      </c>
      <c r="K287" t="s">
        <v>33</v>
      </c>
      <c r="L287" t="s">
        <v>41</v>
      </c>
      <c r="M287" t="s">
        <v>20</v>
      </c>
      <c r="N287">
        <v>39</v>
      </c>
      <c r="O287">
        <v>8</v>
      </c>
      <c r="P287">
        <v>28205.109999999997</v>
      </c>
      <c r="Q287">
        <v>0</v>
      </c>
    </row>
    <row r="288" spans="7:17" x14ac:dyDescent="0.25">
      <c r="G288" t="str">
        <f t="shared" si="4"/>
        <v/>
      </c>
      <c r="H288" t="s">
        <v>46</v>
      </c>
      <c r="I288" t="s">
        <v>10</v>
      </c>
      <c r="J288" t="s">
        <v>3</v>
      </c>
      <c r="K288" t="s">
        <v>33</v>
      </c>
      <c r="L288" t="s">
        <v>45</v>
      </c>
      <c r="M288" t="s">
        <v>19</v>
      </c>
      <c r="N288">
        <v>6</v>
      </c>
      <c r="O288">
        <v>1</v>
      </c>
      <c r="P288">
        <v>2927.72</v>
      </c>
      <c r="Q288">
        <v>2926.7599999999998</v>
      </c>
    </row>
    <row r="289" spans="7:17" x14ac:dyDescent="0.25">
      <c r="G289" t="str">
        <f t="shared" si="4"/>
        <v/>
      </c>
      <c r="H289" t="s">
        <v>46</v>
      </c>
      <c r="I289" t="s">
        <v>10</v>
      </c>
      <c r="J289" t="s">
        <v>3</v>
      </c>
      <c r="K289" t="s">
        <v>33</v>
      </c>
      <c r="L289" t="s">
        <v>45</v>
      </c>
      <c r="M289" t="s">
        <v>20</v>
      </c>
      <c r="N289">
        <v>290</v>
      </c>
      <c r="O289">
        <v>83</v>
      </c>
      <c r="P289">
        <v>304297.97000000003</v>
      </c>
      <c r="Q289">
        <v>0</v>
      </c>
    </row>
    <row r="290" spans="7:17" x14ac:dyDescent="0.25">
      <c r="G290" t="str">
        <f t="shared" si="4"/>
        <v/>
      </c>
      <c r="H290" t="s">
        <v>46</v>
      </c>
      <c r="I290" t="s">
        <v>10</v>
      </c>
      <c r="J290" t="s">
        <v>3</v>
      </c>
      <c r="K290" t="s">
        <v>34</v>
      </c>
      <c r="L290" t="s">
        <v>42</v>
      </c>
      <c r="M290" t="s">
        <v>19</v>
      </c>
      <c r="N290">
        <v>275</v>
      </c>
      <c r="O290">
        <v>86</v>
      </c>
      <c r="P290">
        <v>109148.07000000004</v>
      </c>
      <c r="Q290">
        <v>107253.40000000005</v>
      </c>
    </row>
    <row r="291" spans="7:17" x14ac:dyDescent="0.25">
      <c r="G291" t="str">
        <f t="shared" si="4"/>
        <v/>
      </c>
      <c r="H291" t="s">
        <v>46</v>
      </c>
      <c r="I291" t="s">
        <v>10</v>
      </c>
      <c r="J291" t="s">
        <v>3</v>
      </c>
      <c r="K291" t="s">
        <v>34</v>
      </c>
      <c r="L291" t="s">
        <v>42</v>
      </c>
      <c r="M291" t="s">
        <v>20</v>
      </c>
      <c r="N291">
        <v>185</v>
      </c>
      <c r="O291">
        <v>53</v>
      </c>
      <c r="P291">
        <v>48670.100000000013</v>
      </c>
      <c r="Q291">
        <v>0</v>
      </c>
    </row>
    <row r="292" spans="7:17" x14ac:dyDescent="0.25">
      <c r="G292" t="str">
        <f t="shared" si="4"/>
        <v/>
      </c>
      <c r="H292" t="s">
        <v>46</v>
      </c>
      <c r="I292" t="s">
        <v>10</v>
      </c>
      <c r="J292" t="s">
        <v>3</v>
      </c>
      <c r="K292" t="s">
        <v>34</v>
      </c>
      <c r="L292" t="s">
        <v>43</v>
      </c>
      <c r="M292" t="s">
        <v>19</v>
      </c>
      <c r="N292">
        <v>27</v>
      </c>
      <c r="O292">
        <v>15</v>
      </c>
      <c r="P292">
        <v>18307.350000000002</v>
      </c>
      <c r="Q292">
        <v>16821.53</v>
      </c>
    </row>
    <row r="293" spans="7:17" x14ac:dyDescent="0.25">
      <c r="G293" t="str">
        <f t="shared" si="4"/>
        <v/>
      </c>
      <c r="H293" t="s">
        <v>46</v>
      </c>
      <c r="I293" t="s">
        <v>10</v>
      </c>
      <c r="J293" t="s">
        <v>3</v>
      </c>
      <c r="K293" t="s">
        <v>34</v>
      </c>
      <c r="L293" t="s">
        <v>43</v>
      </c>
      <c r="M293" t="s">
        <v>20</v>
      </c>
      <c r="N293">
        <v>64</v>
      </c>
      <c r="O293">
        <v>33</v>
      </c>
      <c r="P293">
        <v>39512.679999999986</v>
      </c>
      <c r="Q293">
        <v>0</v>
      </c>
    </row>
    <row r="294" spans="7:17" x14ac:dyDescent="0.25">
      <c r="G294" t="str">
        <f t="shared" si="4"/>
        <v/>
      </c>
      <c r="H294" t="s">
        <v>46</v>
      </c>
      <c r="I294" t="s">
        <v>10</v>
      </c>
      <c r="J294" t="s">
        <v>3</v>
      </c>
      <c r="K294" t="s">
        <v>34</v>
      </c>
      <c r="L294" t="s">
        <v>44</v>
      </c>
      <c r="M294" t="s">
        <v>19</v>
      </c>
      <c r="N294">
        <v>16</v>
      </c>
      <c r="O294">
        <v>10</v>
      </c>
      <c r="P294">
        <v>14982.009999999998</v>
      </c>
      <c r="Q294">
        <v>12318.599999999999</v>
      </c>
    </row>
    <row r="295" spans="7:17" x14ac:dyDescent="0.25">
      <c r="G295" t="str">
        <f t="shared" si="4"/>
        <v/>
      </c>
      <c r="H295" t="s">
        <v>46</v>
      </c>
      <c r="I295" t="s">
        <v>10</v>
      </c>
      <c r="J295" t="s">
        <v>3</v>
      </c>
      <c r="K295" t="s">
        <v>34</v>
      </c>
      <c r="L295" t="s">
        <v>44</v>
      </c>
      <c r="M295" t="s">
        <v>20</v>
      </c>
      <c r="N295">
        <v>63</v>
      </c>
      <c r="O295">
        <v>25</v>
      </c>
      <c r="P295">
        <v>40876.489999999991</v>
      </c>
      <c r="Q295">
        <v>0</v>
      </c>
    </row>
    <row r="296" spans="7:17" x14ac:dyDescent="0.25">
      <c r="G296" t="str">
        <f t="shared" si="4"/>
        <v/>
      </c>
      <c r="H296" t="s">
        <v>46</v>
      </c>
      <c r="I296" t="s">
        <v>10</v>
      </c>
      <c r="J296" t="s">
        <v>3</v>
      </c>
      <c r="K296" t="s">
        <v>34</v>
      </c>
      <c r="L296" t="s">
        <v>39</v>
      </c>
      <c r="M296" t="s">
        <v>19</v>
      </c>
      <c r="N296">
        <v>14</v>
      </c>
      <c r="O296">
        <v>8</v>
      </c>
      <c r="P296">
        <v>12814.5</v>
      </c>
      <c r="Q296">
        <v>9569.3000000000011</v>
      </c>
    </row>
    <row r="297" spans="7:17" x14ac:dyDescent="0.25">
      <c r="G297" t="str">
        <f t="shared" si="4"/>
        <v/>
      </c>
      <c r="H297" t="s">
        <v>46</v>
      </c>
      <c r="I297" t="s">
        <v>10</v>
      </c>
      <c r="J297" t="s">
        <v>3</v>
      </c>
      <c r="K297" t="s">
        <v>34</v>
      </c>
      <c r="L297" t="s">
        <v>39</v>
      </c>
      <c r="M297" t="s">
        <v>20</v>
      </c>
      <c r="N297">
        <v>62</v>
      </c>
      <c r="O297">
        <v>35</v>
      </c>
      <c r="P297">
        <v>43054.18</v>
      </c>
      <c r="Q297">
        <v>0</v>
      </c>
    </row>
    <row r="298" spans="7:17" x14ac:dyDescent="0.25">
      <c r="G298" t="str">
        <f t="shared" si="4"/>
        <v/>
      </c>
      <c r="H298" t="s">
        <v>46</v>
      </c>
      <c r="I298" t="s">
        <v>10</v>
      </c>
      <c r="J298" t="s">
        <v>3</v>
      </c>
      <c r="K298" t="s">
        <v>34</v>
      </c>
      <c r="L298" t="s">
        <v>40</v>
      </c>
      <c r="M298" t="s">
        <v>19</v>
      </c>
      <c r="N298">
        <v>1</v>
      </c>
      <c r="O298">
        <v>1</v>
      </c>
      <c r="P298">
        <v>1988.06</v>
      </c>
      <c r="Q298">
        <v>1988.06</v>
      </c>
    </row>
    <row r="299" spans="7:17" x14ac:dyDescent="0.25">
      <c r="G299" t="str">
        <f t="shared" si="4"/>
        <v/>
      </c>
      <c r="H299" t="s">
        <v>46</v>
      </c>
      <c r="I299" t="s">
        <v>10</v>
      </c>
      <c r="J299" t="s">
        <v>3</v>
      </c>
      <c r="K299" t="s">
        <v>34</v>
      </c>
      <c r="L299" t="s">
        <v>40</v>
      </c>
      <c r="M299" t="s">
        <v>20</v>
      </c>
      <c r="N299">
        <v>12</v>
      </c>
      <c r="O299">
        <v>1</v>
      </c>
      <c r="P299">
        <v>7413.1000000000013</v>
      </c>
      <c r="Q299">
        <v>0</v>
      </c>
    </row>
    <row r="300" spans="7:17" x14ac:dyDescent="0.25">
      <c r="G300" t="str">
        <f t="shared" si="4"/>
        <v/>
      </c>
      <c r="H300" t="s">
        <v>46</v>
      </c>
      <c r="I300" t="s">
        <v>10</v>
      </c>
      <c r="J300" t="s">
        <v>3</v>
      </c>
      <c r="K300" t="s">
        <v>34</v>
      </c>
      <c r="L300" t="s">
        <v>41</v>
      </c>
      <c r="M300" t="s">
        <v>20</v>
      </c>
      <c r="N300">
        <v>27</v>
      </c>
      <c r="O300">
        <v>6</v>
      </c>
      <c r="P300">
        <v>15412.870000000003</v>
      </c>
      <c r="Q300">
        <v>0</v>
      </c>
    </row>
    <row r="301" spans="7:17" x14ac:dyDescent="0.25">
      <c r="G301" t="str">
        <f t="shared" si="4"/>
        <v/>
      </c>
      <c r="H301" t="s">
        <v>46</v>
      </c>
      <c r="I301" t="s">
        <v>10</v>
      </c>
      <c r="J301" t="s">
        <v>3</v>
      </c>
      <c r="K301" t="s">
        <v>34</v>
      </c>
      <c r="L301" t="s">
        <v>45</v>
      </c>
      <c r="M301" t="s">
        <v>19</v>
      </c>
      <c r="N301">
        <v>13</v>
      </c>
      <c r="O301">
        <v>3</v>
      </c>
      <c r="P301">
        <v>6369.97</v>
      </c>
      <c r="Q301">
        <v>6307.6200000000008</v>
      </c>
    </row>
    <row r="302" spans="7:17" x14ac:dyDescent="0.25">
      <c r="G302" t="str">
        <f t="shared" si="4"/>
        <v/>
      </c>
      <c r="H302" t="s">
        <v>46</v>
      </c>
      <c r="I302" t="s">
        <v>10</v>
      </c>
      <c r="J302" t="s">
        <v>3</v>
      </c>
      <c r="K302" t="s">
        <v>34</v>
      </c>
      <c r="L302" t="s">
        <v>45</v>
      </c>
      <c r="M302" t="s">
        <v>20</v>
      </c>
      <c r="N302">
        <v>193</v>
      </c>
      <c r="O302">
        <v>65</v>
      </c>
      <c r="P302">
        <v>127796.50000000003</v>
      </c>
      <c r="Q302">
        <v>0</v>
      </c>
    </row>
    <row r="303" spans="7:17" x14ac:dyDescent="0.25">
      <c r="G303" t="str">
        <f t="shared" si="4"/>
        <v/>
      </c>
      <c r="H303" t="s">
        <v>46</v>
      </c>
      <c r="I303" t="s">
        <v>10</v>
      </c>
      <c r="J303" t="s">
        <v>3</v>
      </c>
      <c r="K303" t="s">
        <v>35</v>
      </c>
      <c r="L303" t="s">
        <v>42</v>
      </c>
      <c r="M303" t="s">
        <v>19</v>
      </c>
      <c r="N303">
        <v>958</v>
      </c>
      <c r="O303">
        <v>280</v>
      </c>
      <c r="P303">
        <v>367498.60999999917</v>
      </c>
      <c r="Q303">
        <v>356570.14000000065</v>
      </c>
    </row>
    <row r="304" spans="7:17" x14ac:dyDescent="0.25">
      <c r="G304" t="str">
        <f t="shared" si="4"/>
        <v/>
      </c>
      <c r="H304" t="s">
        <v>46</v>
      </c>
      <c r="I304" t="s">
        <v>10</v>
      </c>
      <c r="J304" t="s">
        <v>3</v>
      </c>
      <c r="K304" t="s">
        <v>35</v>
      </c>
      <c r="L304" t="s">
        <v>42</v>
      </c>
      <c r="M304" t="s">
        <v>20</v>
      </c>
      <c r="N304">
        <v>448</v>
      </c>
      <c r="O304">
        <v>134</v>
      </c>
      <c r="P304">
        <v>108292.12000000013</v>
      </c>
      <c r="Q304">
        <v>0</v>
      </c>
    </row>
    <row r="305" spans="7:17" x14ac:dyDescent="0.25">
      <c r="G305" t="str">
        <f t="shared" si="4"/>
        <v/>
      </c>
      <c r="H305" t="s">
        <v>46</v>
      </c>
      <c r="I305" t="s">
        <v>10</v>
      </c>
      <c r="J305" t="s">
        <v>3</v>
      </c>
      <c r="K305" t="s">
        <v>35</v>
      </c>
      <c r="L305" t="s">
        <v>43</v>
      </c>
      <c r="M305" t="s">
        <v>19</v>
      </c>
      <c r="N305">
        <v>48</v>
      </c>
      <c r="O305">
        <v>31</v>
      </c>
      <c r="P305">
        <v>37715.57</v>
      </c>
      <c r="Q305">
        <v>35574.560000000005</v>
      </c>
    </row>
    <row r="306" spans="7:17" x14ac:dyDescent="0.25">
      <c r="G306" t="str">
        <f t="shared" si="4"/>
        <v/>
      </c>
      <c r="H306" t="s">
        <v>46</v>
      </c>
      <c r="I306" t="s">
        <v>10</v>
      </c>
      <c r="J306" t="s">
        <v>3</v>
      </c>
      <c r="K306" t="s">
        <v>35</v>
      </c>
      <c r="L306" t="s">
        <v>43</v>
      </c>
      <c r="M306" t="s">
        <v>20</v>
      </c>
      <c r="N306">
        <v>167</v>
      </c>
      <c r="O306">
        <v>72</v>
      </c>
      <c r="P306">
        <v>103629.88000000005</v>
      </c>
      <c r="Q306">
        <v>0</v>
      </c>
    </row>
    <row r="307" spans="7:17" x14ac:dyDescent="0.25">
      <c r="G307" t="str">
        <f t="shared" si="4"/>
        <v/>
      </c>
      <c r="H307" t="s">
        <v>46</v>
      </c>
      <c r="I307" t="s">
        <v>10</v>
      </c>
      <c r="J307" t="s">
        <v>3</v>
      </c>
      <c r="K307" t="s">
        <v>35</v>
      </c>
      <c r="L307" t="s">
        <v>44</v>
      </c>
      <c r="M307" t="s">
        <v>19</v>
      </c>
      <c r="N307">
        <v>27</v>
      </c>
      <c r="O307">
        <v>11</v>
      </c>
      <c r="P307">
        <v>19288.740000000002</v>
      </c>
      <c r="Q307">
        <v>18209.329999999998</v>
      </c>
    </row>
    <row r="308" spans="7:17" x14ac:dyDescent="0.25">
      <c r="G308" t="str">
        <f t="shared" si="4"/>
        <v/>
      </c>
      <c r="H308" t="s">
        <v>46</v>
      </c>
      <c r="I308" t="s">
        <v>10</v>
      </c>
      <c r="J308" t="s">
        <v>3</v>
      </c>
      <c r="K308" t="s">
        <v>35</v>
      </c>
      <c r="L308" t="s">
        <v>44</v>
      </c>
      <c r="M308" t="s">
        <v>20</v>
      </c>
      <c r="N308">
        <v>167</v>
      </c>
      <c r="O308">
        <v>90</v>
      </c>
      <c r="P308">
        <v>138979.69999999998</v>
      </c>
      <c r="Q308">
        <v>0</v>
      </c>
    </row>
    <row r="309" spans="7:17" x14ac:dyDescent="0.25">
      <c r="G309" t="str">
        <f t="shared" si="4"/>
        <v/>
      </c>
      <c r="H309" t="s">
        <v>46</v>
      </c>
      <c r="I309" t="s">
        <v>10</v>
      </c>
      <c r="J309" t="s">
        <v>3</v>
      </c>
      <c r="K309" t="s">
        <v>36</v>
      </c>
      <c r="L309" t="s">
        <v>42</v>
      </c>
      <c r="M309" t="s">
        <v>19</v>
      </c>
      <c r="N309">
        <v>898</v>
      </c>
      <c r="O309">
        <v>232</v>
      </c>
      <c r="P309">
        <v>340615.94999999757</v>
      </c>
      <c r="Q309">
        <v>319246.24999999907</v>
      </c>
    </row>
    <row r="310" spans="7:17" x14ac:dyDescent="0.25">
      <c r="G310" t="str">
        <f t="shared" si="4"/>
        <v/>
      </c>
      <c r="H310" t="s">
        <v>46</v>
      </c>
      <c r="I310" t="s">
        <v>10</v>
      </c>
      <c r="J310" t="s">
        <v>3</v>
      </c>
      <c r="K310" t="s">
        <v>36</v>
      </c>
      <c r="L310" t="s">
        <v>42</v>
      </c>
      <c r="M310" t="s">
        <v>20</v>
      </c>
      <c r="N310">
        <v>349</v>
      </c>
      <c r="O310">
        <v>100</v>
      </c>
      <c r="P310">
        <v>94316.37999999983</v>
      </c>
      <c r="Q310">
        <v>0</v>
      </c>
    </row>
    <row r="311" spans="7:17" x14ac:dyDescent="0.25">
      <c r="G311" t="str">
        <f t="shared" si="4"/>
        <v/>
      </c>
      <c r="H311" t="s">
        <v>46</v>
      </c>
      <c r="I311" t="s">
        <v>10</v>
      </c>
      <c r="J311" t="s">
        <v>3</v>
      </c>
      <c r="K311" t="s">
        <v>36</v>
      </c>
      <c r="L311" t="s">
        <v>43</v>
      </c>
      <c r="M311" t="s">
        <v>19</v>
      </c>
      <c r="N311">
        <v>230</v>
      </c>
      <c r="O311">
        <v>25</v>
      </c>
      <c r="P311">
        <v>112806.19000000021</v>
      </c>
      <c r="Q311">
        <v>50543.629999999954</v>
      </c>
    </row>
    <row r="312" spans="7:17" x14ac:dyDescent="0.25">
      <c r="G312" t="str">
        <f t="shared" si="4"/>
        <v/>
      </c>
      <c r="H312" t="s">
        <v>46</v>
      </c>
      <c r="I312" t="s">
        <v>10</v>
      </c>
      <c r="J312" t="s">
        <v>3</v>
      </c>
      <c r="K312" t="s">
        <v>36</v>
      </c>
      <c r="L312" t="s">
        <v>43</v>
      </c>
      <c r="M312" t="s">
        <v>20</v>
      </c>
      <c r="N312">
        <v>106</v>
      </c>
      <c r="O312">
        <v>57</v>
      </c>
      <c r="P312">
        <v>72257.259999999995</v>
      </c>
      <c r="Q312">
        <v>0</v>
      </c>
    </row>
    <row r="313" spans="7:17" x14ac:dyDescent="0.25">
      <c r="G313" t="str">
        <f t="shared" si="4"/>
        <v/>
      </c>
      <c r="H313" t="s">
        <v>46</v>
      </c>
      <c r="I313" t="s">
        <v>10</v>
      </c>
      <c r="J313" t="s">
        <v>3</v>
      </c>
      <c r="K313" t="s">
        <v>36</v>
      </c>
      <c r="L313" t="s">
        <v>44</v>
      </c>
      <c r="M313" t="s">
        <v>19</v>
      </c>
      <c r="N313">
        <v>32</v>
      </c>
      <c r="O313">
        <v>19</v>
      </c>
      <c r="P313">
        <v>34910.06</v>
      </c>
      <c r="Q313">
        <v>22940.45</v>
      </c>
    </row>
    <row r="314" spans="7:17" x14ac:dyDescent="0.25">
      <c r="G314" t="str">
        <f t="shared" si="4"/>
        <v/>
      </c>
      <c r="H314" t="s">
        <v>46</v>
      </c>
      <c r="I314" t="s">
        <v>10</v>
      </c>
      <c r="J314" t="s">
        <v>3</v>
      </c>
      <c r="K314" t="s">
        <v>36</v>
      </c>
      <c r="L314" t="s">
        <v>44</v>
      </c>
      <c r="M314" t="s">
        <v>20</v>
      </c>
      <c r="N314">
        <v>151</v>
      </c>
      <c r="O314">
        <v>81</v>
      </c>
      <c r="P314">
        <v>117987.49999999999</v>
      </c>
      <c r="Q314">
        <v>0</v>
      </c>
    </row>
    <row r="315" spans="7:17" x14ac:dyDescent="0.25">
      <c r="G315" t="str">
        <f t="shared" si="4"/>
        <v/>
      </c>
      <c r="H315" t="s">
        <v>46</v>
      </c>
      <c r="I315" t="s">
        <v>10</v>
      </c>
      <c r="J315" t="s">
        <v>3</v>
      </c>
      <c r="K315" t="s">
        <v>36</v>
      </c>
      <c r="L315" t="s">
        <v>39</v>
      </c>
      <c r="M315" t="s">
        <v>19</v>
      </c>
      <c r="N315">
        <v>28</v>
      </c>
      <c r="O315">
        <v>13</v>
      </c>
      <c r="P315">
        <v>34359.539999999994</v>
      </c>
      <c r="Q315">
        <v>30342.07</v>
      </c>
    </row>
    <row r="316" spans="7:17" x14ac:dyDescent="0.25">
      <c r="G316" t="str">
        <f t="shared" si="4"/>
        <v/>
      </c>
      <c r="H316" t="s">
        <v>46</v>
      </c>
      <c r="I316" t="s">
        <v>10</v>
      </c>
      <c r="J316" t="s">
        <v>3</v>
      </c>
      <c r="K316" t="s">
        <v>36</v>
      </c>
      <c r="L316" t="s">
        <v>39</v>
      </c>
      <c r="M316" t="s">
        <v>20</v>
      </c>
      <c r="N316">
        <v>84</v>
      </c>
      <c r="O316">
        <v>48</v>
      </c>
      <c r="P316">
        <v>53130.420000000006</v>
      </c>
      <c r="Q316">
        <v>0</v>
      </c>
    </row>
    <row r="317" spans="7:17" x14ac:dyDescent="0.25">
      <c r="G317" t="str">
        <f t="shared" si="4"/>
        <v/>
      </c>
      <c r="H317" t="s">
        <v>46</v>
      </c>
      <c r="I317" t="s">
        <v>10</v>
      </c>
      <c r="J317" t="s">
        <v>3</v>
      </c>
      <c r="K317" t="s">
        <v>36</v>
      </c>
      <c r="L317" t="s">
        <v>40</v>
      </c>
      <c r="M317" t="s">
        <v>19</v>
      </c>
      <c r="N317">
        <v>24</v>
      </c>
      <c r="O317">
        <v>0</v>
      </c>
      <c r="P317">
        <v>13094.099999999997</v>
      </c>
      <c r="Q317">
        <v>12037.599999999999</v>
      </c>
    </row>
    <row r="318" spans="7:17" x14ac:dyDescent="0.25">
      <c r="G318" t="str">
        <f t="shared" si="4"/>
        <v/>
      </c>
      <c r="H318" t="s">
        <v>46</v>
      </c>
      <c r="I318" t="s">
        <v>10</v>
      </c>
      <c r="J318" t="s">
        <v>3</v>
      </c>
      <c r="K318" t="s">
        <v>36</v>
      </c>
      <c r="L318" t="s">
        <v>40</v>
      </c>
      <c r="M318" t="s">
        <v>20</v>
      </c>
      <c r="N318">
        <v>19</v>
      </c>
      <c r="O318">
        <v>8</v>
      </c>
      <c r="P318">
        <v>14608.13</v>
      </c>
      <c r="Q318">
        <v>0</v>
      </c>
    </row>
    <row r="319" spans="7:17" x14ac:dyDescent="0.25">
      <c r="G319" t="str">
        <f t="shared" si="4"/>
        <v/>
      </c>
      <c r="H319" t="s">
        <v>46</v>
      </c>
      <c r="I319" t="s">
        <v>10</v>
      </c>
      <c r="J319" t="s">
        <v>3</v>
      </c>
      <c r="K319" t="s">
        <v>36</v>
      </c>
      <c r="L319" t="s">
        <v>41</v>
      </c>
      <c r="M319" t="s">
        <v>19</v>
      </c>
      <c r="N319">
        <v>16</v>
      </c>
      <c r="O319">
        <v>1</v>
      </c>
      <c r="P319">
        <v>11509.02</v>
      </c>
      <c r="Q319">
        <v>11298.070000000002</v>
      </c>
    </row>
    <row r="320" spans="7:17" x14ac:dyDescent="0.25">
      <c r="G320" t="str">
        <f t="shared" si="4"/>
        <v/>
      </c>
      <c r="H320" t="s">
        <v>46</v>
      </c>
      <c r="I320" t="s">
        <v>10</v>
      </c>
      <c r="J320" t="s">
        <v>3</v>
      </c>
      <c r="K320" t="s">
        <v>36</v>
      </c>
      <c r="L320" t="s">
        <v>41</v>
      </c>
      <c r="M320" t="s">
        <v>20</v>
      </c>
      <c r="N320">
        <v>26</v>
      </c>
      <c r="O320">
        <v>12</v>
      </c>
      <c r="P320">
        <v>12560.160000000002</v>
      </c>
      <c r="Q320">
        <v>0</v>
      </c>
    </row>
    <row r="321" spans="7:17" x14ac:dyDescent="0.25">
      <c r="G321" t="str">
        <f t="shared" si="4"/>
        <v/>
      </c>
      <c r="H321" t="s">
        <v>46</v>
      </c>
      <c r="I321" t="s">
        <v>10</v>
      </c>
      <c r="J321" t="s">
        <v>3</v>
      </c>
      <c r="K321" t="s">
        <v>36</v>
      </c>
      <c r="L321" t="s">
        <v>45</v>
      </c>
      <c r="M321" t="s">
        <v>19</v>
      </c>
      <c r="N321">
        <v>6</v>
      </c>
      <c r="O321">
        <v>1</v>
      </c>
      <c r="P321">
        <v>10835.74</v>
      </c>
      <c r="Q321">
        <v>10835.74</v>
      </c>
    </row>
    <row r="322" spans="7:17" x14ac:dyDescent="0.25">
      <c r="G322" t="str">
        <f t="shared" ref="G322:G385" si="5">IF(G$1="Overall","Overall",IF(G$1=L322,L322,""))</f>
        <v/>
      </c>
      <c r="H322" t="s">
        <v>46</v>
      </c>
      <c r="I322" t="s">
        <v>10</v>
      </c>
      <c r="J322" t="s">
        <v>3</v>
      </c>
      <c r="K322" t="s">
        <v>36</v>
      </c>
      <c r="L322" t="s">
        <v>45</v>
      </c>
      <c r="M322" t="s">
        <v>20</v>
      </c>
      <c r="N322">
        <v>148</v>
      </c>
      <c r="O322">
        <v>72</v>
      </c>
      <c r="P322">
        <v>142850.08000000005</v>
      </c>
      <c r="Q322">
        <v>0</v>
      </c>
    </row>
    <row r="323" spans="7:17" x14ac:dyDescent="0.25">
      <c r="G323" t="str">
        <f t="shared" si="5"/>
        <v/>
      </c>
      <c r="H323" t="s">
        <v>46</v>
      </c>
      <c r="I323" t="s">
        <v>10</v>
      </c>
      <c r="J323" t="s">
        <v>3</v>
      </c>
      <c r="K323" t="s">
        <v>37</v>
      </c>
      <c r="L323" t="s">
        <v>42</v>
      </c>
      <c r="M323" t="s">
        <v>19</v>
      </c>
      <c r="N323">
        <v>1676</v>
      </c>
      <c r="O323">
        <v>223</v>
      </c>
      <c r="P323">
        <v>392000.27000000031</v>
      </c>
      <c r="Q323">
        <v>327998.41999999981</v>
      </c>
    </row>
    <row r="324" spans="7:17" x14ac:dyDescent="0.25">
      <c r="G324" t="str">
        <f t="shared" si="5"/>
        <v/>
      </c>
      <c r="H324" t="s">
        <v>46</v>
      </c>
      <c r="I324" t="s">
        <v>10</v>
      </c>
      <c r="J324" t="s">
        <v>3</v>
      </c>
      <c r="K324" t="s">
        <v>37</v>
      </c>
      <c r="L324" t="s">
        <v>42</v>
      </c>
      <c r="M324" t="s">
        <v>20</v>
      </c>
      <c r="N324">
        <v>355</v>
      </c>
      <c r="O324">
        <v>80</v>
      </c>
      <c r="P324">
        <v>90225.960000000079</v>
      </c>
      <c r="Q324">
        <v>0</v>
      </c>
    </row>
    <row r="325" spans="7:17" x14ac:dyDescent="0.25">
      <c r="G325" t="str">
        <f t="shared" si="5"/>
        <v/>
      </c>
      <c r="H325" t="s">
        <v>46</v>
      </c>
      <c r="I325" t="s">
        <v>10</v>
      </c>
      <c r="J325" t="s">
        <v>3</v>
      </c>
      <c r="K325" t="s">
        <v>37</v>
      </c>
      <c r="L325" t="s">
        <v>43</v>
      </c>
      <c r="M325" t="s">
        <v>19</v>
      </c>
      <c r="N325">
        <v>89</v>
      </c>
      <c r="O325">
        <v>41</v>
      </c>
      <c r="P325">
        <v>63371.840000000018</v>
      </c>
      <c r="Q325">
        <v>59253.600000000035</v>
      </c>
    </row>
    <row r="326" spans="7:17" x14ac:dyDescent="0.25">
      <c r="G326" t="str">
        <f t="shared" si="5"/>
        <v/>
      </c>
      <c r="H326" t="s">
        <v>46</v>
      </c>
      <c r="I326" t="s">
        <v>10</v>
      </c>
      <c r="J326" t="s">
        <v>3</v>
      </c>
      <c r="K326" t="s">
        <v>37</v>
      </c>
      <c r="L326" t="s">
        <v>43</v>
      </c>
      <c r="M326" t="s">
        <v>20</v>
      </c>
      <c r="N326">
        <v>123</v>
      </c>
      <c r="O326">
        <v>60</v>
      </c>
      <c r="P326">
        <v>87489.510000000009</v>
      </c>
      <c r="Q326">
        <v>0</v>
      </c>
    </row>
    <row r="327" spans="7:17" x14ac:dyDescent="0.25">
      <c r="G327" t="str">
        <f t="shared" si="5"/>
        <v/>
      </c>
      <c r="H327" t="s">
        <v>46</v>
      </c>
      <c r="I327" t="s">
        <v>10</v>
      </c>
      <c r="J327" t="s">
        <v>3</v>
      </c>
      <c r="K327" t="s">
        <v>37</v>
      </c>
      <c r="L327" t="s">
        <v>44</v>
      </c>
      <c r="M327" t="s">
        <v>19</v>
      </c>
      <c r="N327">
        <v>23</v>
      </c>
      <c r="O327">
        <v>13</v>
      </c>
      <c r="P327">
        <v>18297.600000000002</v>
      </c>
      <c r="Q327">
        <v>13313.91</v>
      </c>
    </row>
    <row r="328" spans="7:17" x14ac:dyDescent="0.25">
      <c r="G328" t="str">
        <f t="shared" si="5"/>
        <v/>
      </c>
      <c r="H328" t="s">
        <v>46</v>
      </c>
      <c r="I328" t="s">
        <v>10</v>
      </c>
      <c r="J328" t="s">
        <v>3</v>
      </c>
      <c r="K328" t="s">
        <v>37</v>
      </c>
      <c r="L328" t="s">
        <v>44</v>
      </c>
      <c r="M328" t="s">
        <v>20</v>
      </c>
      <c r="N328">
        <v>72</v>
      </c>
      <c r="O328">
        <v>36</v>
      </c>
      <c r="P328">
        <v>49790.609999999993</v>
      </c>
      <c r="Q328">
        <v>0</v>
      </c>
    </row>
    <row r="329" spans="7:17" x14ac:dyDescent="0.25">
      <c r="G329" t="str">
        <f t="shared" si="5"/>
        <v/>
      </c>
      <c r="H329" t="s">
        <v>46</v>
      </c>
      <c r="I329" t="s">
        <v>10</v>
      </c>
      <c r="J329" t="s">
        <v>3</v>
      </c>
      <c r="K329" t="s">
        <v>37</v>
      </c>
      <c r="L329" t="s">
        <v>39</v>
      </c>
      <c r="M329" t="s">
        <v>19</v>
      </c>
      <c r="N329">
        <v>16</v>
      </c>
      <c r="O329">
        <v>5</v>
      </c>
      <c r="P329">
        <v>6691.1900000000005</v>
      </c>
      <c r="Q329">
        <v>4739.25</v>
      </c>
    </row>
    <row r="330" spans="7:17" x14ac:dyDescent="0.25">
      <c r="G330" t="str">
        <f t="shared" si="5"/>
        <v/>
      </c>
      <c r="H330" t="s">
        <v>46</v>
      </c>
      <c r="I330" t="s">
        <v>10</v>
      </c>
      <c r="J330" t="s">
        <v>3</v>
      </c>
      <c r="K330" t="s">
        <v>37</v>
      </c>
      <c r="L330" t="s">
        <v>39</v>
      </c>
      <c r="M330" t="s">
        <v>20</v>
      </c>
      <c r="N330">
        <v>80</v>
      </c>
      <c r="O330">
        <v>39</v>
      </c>
      <c r="P330">
        <v>58712.190000000024</v>
      </c>
      <c r="Q330">
        <v>0</v>
      </c>
    </row>
    <row r="331" spans="7:17" x14ac:dyDescent="0.25">
      <c r="G331" t="str">
        <f t="shared" si="5"/>
        <v/>
      </c>
      <c r="H331" t="s">
        <v>46</v>
      </c>
      <c r="I331" t="s">
        <v>10</v>
      </c>
      <c r="J331" t="s">
        <v>3</v>
      </c>
      <c r="K331" t="s">
        <v>37</v>
      </c>
      <c r="L331" t="s">
        <v>40</v>
      </c>
      <c r="M331" t="s">
        <v>19</v>
      </c>
      <c r="N331">
        <v>1</v>
      </c>
      <c r="O331">
        <v>0</v>
      </c>
      <c r="P331">
        <v>471.84</v>
      </c>
      <c r="Q331">
        <v>471.84000000000003</v>
      </c>
    </row>
    <row r="332" spans="7:17" x14ac:dyDescent="0.25">
      <c r="G332" t="str">
        <f t="shared" si="5"/>
        <v/>
      </c>
      <c r="H332" t="s">
        <v>46</v>
      </c>
      <c r="I332" t="s">
        <v>10</v>
      </c>
      <c r="J332" t="s">
        <v>3</v>
      </c>
      <c r="K332" t="s">
        <v>37</v>
      </c>
      <c r="L332" t="s">
        <v>40</v>
      </c>
      <c r="M332" t="s">
        <v>20</v>
      </c>
      <c r="N332">
        <v>12</v>
      </c>
      <c r="O332">
        <v>2</v>
      </c>
      <c r="P332">
        <v>9384.7599999999984</v>
      </c>
      <c r="Q332">
        <v>0</v>
      </c>
    </row>
    <row r="333" spans="7:17" x14ac:dyDescent="0.25">
      <c r="G333" t="str">
        <f t="shared" si="5"/>
        <v/>
      </c>
      <c r="H333" t="s">
        <v>46</v>
      </c>
      <c r="I333" t="s">
        <v>10</v>
      </c>
      <c r="J333" t="s">
        <v>3</v>
      </c>
      <c r="K333" t="s">
        <v>37</v>
      </c>
      <c r="L333" t="s">
        <v>41</v>
      </c>
      <c r="M333" t="s">
        <v>20</v>
      </c>
      <c r="N333">
        <v>27</v>
      </c>
      <c r="O333">
        <v>4</v>
      </c>
      <c r="P333">
        <v>16316.759999999997</v>
      </c>
      <c r="Q333">
        <v>0</v>
      </c>
    </row>
    <row r="334" spans="7:17" x14ac:dyDescent="0.25">
      <c r="G334" t="str">
        <f t="shared" si="5"/>
        <v/>
      </c>
      <c r="H334" t="s">
        <v>46</v>
      </c>
      <c r="I334" t="s">
        <v>10</v>
      </c>
      <c r="J334" t="s">
        <v>3</v>
      </c>
      <c r="K334" t="s">
        <v>37</v>
      </c>
      <c r="L334" t="s">
        <v>45</v>
      </c>
      <c r="M334" t="s">
        <v>20</v>
      </c>
      <c r="N334">
        <v>280</v>
      </c>
      <c r="O334">
        <v>103</v>
      </c>
      <c r="P334">
        <v>180135.25</v>
      </c>
      <c r="Q334">
        <v>0</v>
      </c>
    </row>
    <row r="335" spans="7:17" x14ac:dyDescent="0.25">
      <c r="G335" t="str">
        <f t="shared" si="5"/>
        <v/>
      </c>
      <c r="H335" t="s">
        <v>46</v>
      </c>
      <c r="I335" t="s">
        <v>10</v>
      </c>
      <c r="J335" t="s">
        <v>3</v>
      </c>
      <c r="K335" t="s">
        <v>38</v>
      </c>
      <c r="L335" t="s">
        <v>42</v>
      </c>
      <c r="M335" t="s">
        <v>19</v>
      </c>
      <c r="N335">
        <v>448</v>
      </c>
      <c r="O335">
        <v>105</v>
      </c>
      <c r="P335">
        <v>201962.69000000015</v>
      </c>
      <c r="Q335">
        <v>199546.83000000013</v>
      </c>
    </row>
    <row r="336" spans="7:17" x14ac:dyDescent="0.25">
      <c r="G336" t="str">
        <f t="shared" si="5"/>
        <v/>
      </c>
      <c r="H336" t="s">
        <v>46</v>
      </c>
      <c r="I336" t="s">
        <v>10</v>
      </c>
      <c r="J336" t="s">
        <v>3</v>
      </c>
      <c r="K336" t="s">
        <v>38</v>
      </c>
      <c r="L336" t="s">
        <v>42</v>
      </c>
      <c r="M336" t="s">
        <v>20</v>
      </c>
      <c r="N336">
        <v>216</v>
      </c>
      <c r="O336">
        <v>59</v>
      </c>
      <c r="P336">
        <v>57448.359999999993</v>
      </c>
      <c r="Q336">
        <v>0</v>
      </c>
    </row>
    <row r="337" spans="7:17" x14ac:dyDescent="0.25">
      <c r="G337" t="str">
        <f t="shared" si="5"/>
        <v/>
      </c>
      <c r="H337" t="s">
        <v>46</v>
      </c>
      <c r="I337" t="s">
        <v>10</v>
      </c>
      <c r="J337" t="s">
        <v>3</v>
      </c>
      <c r="K337" t="s">
        <v>38</v>
      </c>
      <c r="L337" t="s">
        <v>43</v>
      </c>
      <c r="M337" t="s">
        <v>19</v>
      </c>
      <c r="N337">
        <v>30</v>
      </c>
      <c r="O337">
        <v>15</v>
      </c>
      <c r="P337">
        <v>32245.879999999997</v>
      </c>
      <c r="Q337">
        <v>25611.64</v>
      </c>
    </row>
    <row r="338" spans="7:17" x14ac:dyDescent="0.25">
      <c r="G338" t="str">
        <f t="shared" si="5"/>
        <v/>
      </c>
      <c r="H338" t="s">
        <v>46</v>
      </c>
      <c r="I338" t="s">
        <v>10</v>
      </c>
      <c r="J338" t="s">
        <v>3</v>
      </c>
      <c r="K338" t="s">
        <v>38</v>
      </c>
      <c r="L338" t="s">
        <v>43</v>
      </c>
      <c r="M338" t="s">
        <v>20</v>
      </c>
      <c r="N338">
        <v>112</v>
      </c>
      <c r="O338">
        <v>41</v>
      </c>
      <c r="P338">
        <v>82823.560000000056</v>
      </c>
      <c r="Q338">
        <v>0</v>
      </c>
    </row>
    <row r="339" spans="7:17" x14ac:dyDescent="0.25">
      <c r="G339" t="str">
        <f t="shared" si="5"/>
        <v/>
      </c>
      <c r="H339" t="s">
        <v>46</v>
      </c>
      <c r="I339" t="s">
        <v>10</v>
      </c>
      <c r="J339" t="s">
        <v>3</v>
      </c>
      <c r="K339" t="s">
        <v>38</v>
      </c>
      <c r="L339" t="s">
        <v>44</v>
      </c>
      <c r="M339" t="s">
        <v>19</v>
      </c>
      <c r="N339">
        <v>12</v>
      </c>
      <c r="O339">
        <v>8</v>
      </c>
      <c r="P339">
        <v>20041.110000000004</v>
      </c>
      <c r="Q339">
        <v>18916.82</v>
      </c>
    </row>
    <row r="340" spans="7:17" x14ac:dyDescent="0.25">
      <c r="G340" t="str">
        <f t="shared" si="5"/>
        <v/>
      </c>
      <c r="H340" t="s">
        <v>46</v>
      </c>
      <c r="I340" t="s">
        <v>10</v>
      </c>
      <c r="J340" t="s">
        <v>3</v>
      </c>
      <c r="K340" t="s">
        <v>38</v>
      </c>
      <c r="L340" t="s">
        <v>44</v>
      </c>
      <c r="M340" t="s">
        <v>20</v>
      </c>
      <c r="N340">
        <v>83</v>
      </c>
      <c r="O340">
        <v>32</v>
      </c>
      <c r="P340">
        <v>77785.209999999992</v>
      </c>
      <c r="Q340">
        <v>0</v>
      </c>
    </row>
    <row r="341" spans="7:17" x14ac:dyDescent="0.25">
      <c r="G341" t="str">
        <f t="shared" si="5"/>
        <v/>
      </c>
      <c r="H341" t="s">
        <v>46</v>
      </c>
      <c r="I341" t="s">
        <v>10</v>
      </c>
      <c r="J341" t="s">
        <v>3</v>
      </c>
      <c r="K341" t="s">
        <v>38</v>
      </c>
      <c r="L341" t="s">
        <v>39</v>
      </c>
      <c r="M341" t="s">
        <v>19</v>
      </c>
      <c r="N341">
        <v>109</v>
      </c>
      <c r="O341">
        <v>4</v>
      </c>
      <c r="P341">
        <v>74045.429999999978</v>
      </c>
      <c r="Q341">
        <v>24687.730000000025</v>
      </c>
    </row>
    <row r="342" spans="7:17" x14ac:dyDescent="0.25">
      <c r="G342" t="str">
        <f t="shared" si="5"/>
        <v/>
      </c>
      <c r="H342" t="s">
        <v>46</v>
      </c>
      <c r="I342" t="s">
        <v>10</v>
      </c>
      <c r="J342" t="s">
        <v>3</v>
      </c>
      <c r="K342" t="s">
        <v>38</v>
      </c>
      <c r="L342" t="s">
        <v>39</v>
      </c>
      <c r="M342" t="s">
        <v>20</v>
      </c>
      <c r="N342">
        <v>158</v>
      </c>
      <c r="O342">
        <v>49</v>
      </c>
      <c r="P342">
        <v>141410.92000000001</v>
      </c>
      <c r="Q342">
        <v>0</v>
      </c>
    </row>
    <row r="343" spans="7:17" x14ac:dyDescent="0.25">
      <c r="G343" t="str">
        <f t="shared" si="5"/>
        <v/>
      </c>
      <c r="H343" t="s">
        <v>46</v>
      </c>
      <c r="I343" t="s">
        <v>10</v>
      </c>
      <c r="J343" t="s">
        <v>3</v>
      </c>
      <c r="K343" t="s">
        <v>38</v>
      </c>
      <c r="L343" t="s">
        <v>40</v>
      </c>
      <c r="M343" t="s">
        <v>20</v>
      </c>
      <c r="N343">
        <v>36</v>
      </c>
      <c r="O343">
        <v>7</v>
      </c>
      <c r="P343">
        <v>25571.179999999993</v>
      </c>
      <c r="Q343">
        <v>0</v>
      </c>
    </row>
    <row r="344" spans="7:17" x14ac:dyDescent="0.25">
      <c r="G344" t="str">
        <f t="shared" si="5"/>
        <v/>
      </c>
      <c r="H344" t="s">
        <v>46</v>
      </c>
      <c r="I344" t="s">
        <v>10</v>
      </c>
      <c r="J344" t="s">
        <v>3</v>
      </c>
      <c r="K344" t="s">
        <v>38</v>
      </c>
      <c r="L344" t="s">
        <v>41</v>
      </c>
      <c r="M344" t="s">
        <v>20</v>
      </c>
      <c r="N344">
        <v>44</v>
      </c>
      <c r="O344">
        <v>9</v>
      </c>
      <c r="P344">
        <v>37309.029999999992</v>
      </c>
      <c r="Q344">
        <v>0</v>
      </c>
    </row>
    <row r="345" spans="7:17" x14ac:dyDescent="0.25">
      <c r="G345" t="str">
        <f t="shared" si="5"/>
        <v/>
      </c>
      <c r="H345" t="s">
        <v>46</v>
      </c>
      <c r="I345" t="s">
        <v>10</v>
      </c>
      <c r="J345" t="s">
        <v>3</v>
      </c>
      <c r="K345" t="s">
        <v>38</v>
      </c>
      <c r="L345" t="s">
        <v>45</v>
      </c>
      <c r="M345" t="s">
        <v>19</v>
      </c>
      <c r="N345">
        <v>4</v>
      </c>
      <c r="O345">
        <v>0</v>
      </c>
      <c r="P345">
        <v>3216.41</v>
      </c>
      <c r="Q345">
        <v>2170.9699999999998</v>
      </c>
    </row>
    <row r="346" spans="7:17" x14ac:dyDescent="0.25">
      <c r="G346" t="str">
        <f t="shared" si="5"/>
        <v/>
      </c>
      <c r="H346" t="s">
        <v>46</v>
      </c>
      <c r="I346" t="s">
        <v>10</v>
      </c>
      <c r="J346" t="s">
        <v>3</v>
      </c>
      <c r="K346" t="s">
        <v>38</v>
      </c>
      <c r="L346" t="s">
        <v>45</v>
      </c>
      <c r="M346" t="s">
        <v>20</v>
      </c>
      <c r="N346">
        <v>260</v>
      </c>
      <c r="O346">
        <v>92</v>
      </c>
      <c r="P346">
        <v>215872.07000000004</v>
      </c>
      <c r="Q346">
        <v>0</v>
      </c>
    </row>
    <row r="347" spans="7:17" x14ac:dyDescent="0.25">
      <c r="G347" t="str">
        <f t="shared" si="5"/>
        <v/>
      </c>
      <c r="H347" t="s">
        <v>46</v>
      </c>
      <c r="I347" t="s">
        <v>10</v>
      </c>
      <c r="J347" t="s">
        <v>5</v>
      </c>
      <c r="K347" t="s">
        <v>23</v>
      </c>
      <c r="L347" t="s">
        <v>42</v>
      </c>
      <c r="M347" t="s">
        <v>19</v>
      </c>
      <c r="N347">
        <v>816</v>
      </c>
      <c r="O347">
        <v>247</v>
      </c>
      <c r="P347">
        <v>447513.43000000011</v>
      </c>
      <c r="Q347">
        <v>440645.3299999999</v>
      </c>
    </row>
    <row r="348" spans="7:17" x14ac:dyDescent="0.25">
      <c r="G348" t="str">
        <f t="shared" si="5"/>
        <v/>
      </c>
      <c r="H348" t="s">
        <v>46</v>
      </c>
      <c r="I348" t="s">
        <v>10</v>
      </c>
      <c r="J348" t="s">
        <v>5</v>
      </c>
      <c r="K348" t="s">
        <v>23</v>
      </c>
      <c r="L348" t="s">
        <v>42</v>
      </c>
      <c r="M348" t="s">
        <v>20</v>
      </c>
      <c r="N348">
        <v>240</v>
      </c>
      <c r="O348">
        <v>74</v>
      </c>
      <c r="P348">
        <v>67299.909999999989</v>
      </c>
      <c r="Q348">
        <v>0</v>
      </c>
    </row>
    <row r="349" spans="7:17" x14ac:dyDescent="0.25">
      <c r="G349" t="str">
        <f t="shared" si="5"/>
        <v/>
      </c>
      <c r="H349" t="s">
        <v>46</v>
      </c>
      <c r="I349" t="s">
        <v>10</v>
      </c>
      <c r="J349" t="s">
        <v>5</v>
      </c>
      <c r="K349" t="s">
        <v>23</v>
      </c>
      <c r="L349" t="s">
        <v>43</v>
      </c>
      <c r="M349" t="s">
        <v>19</v>
      </c>
      <c r="N349">
        <v>84</v>
      </c>
      <c r="O349">
        <v>55</v>
      </c>
      <c r="P349">
        <v>64313.32</v>
      </c>
      <c r="Q349">
        <v>58356.400000000016</v>
      </c>
    </row>
    <row r="350" spans="7:17" x14ac:dyDescent="0.25">
      <c r="G350" t="str">
        <f t="shared" si="5"/>
        <v/>
      </c>
      <c r="H350" t="s">
        <v>46</v>
      </c>
      <c r="I350" t="s">
        <v>10</v>
      </c>
      <c r="J350" t="s">
        <v>5</v>
      </c>
      <c r="K350" t="s">
        <v>23</v>
      </c>
      <c r="L350" t="s">
        <v>43</v>
      </c>
      <c r="M350" t="s">
        <v>20</v>
      </c>
      <c r="N350">
        <v>90</v>
      </c>
      <c r="O350">
        <v>36</v>
      </c>
      <c r="P350">
        <v>93421.200000000055</v>
      </c>
      <c r="Q350">
        <v>0</v>
      </c>
    </row>
    <row r="351" spans="7:17" x14ac:dyDescent="0.25">
      <c r="G351" t="str">
        <f t="shared" si="5"/>
        <v/>
      </c>
      <c r="H351" t="s">
        <v>46</v>
      </c>
      <c r="I351" t="s">
        <v>10</v>
      </c>
      <c r="J351" t="s">
        <v>5</v>
      </c>
      <c r="K351" t="s">
        <v>23</v>
      </c>
      <c r="L351" t="s">
        <v>44</v>
      </c>
      <c r="M351" t="s">
        <v>19</v>
      </c>
      <c r="N351">
        <v>82</v>
      </c>
      <c r="O351">
        <v>39</v>
      </c>
      <c r="P351">
        <v>92886.879999999976</v>
      </c>
      <c r="Q351">
        <v>47630.030000000006</v>
      </c>
    </row>
    <row r="352" spans="7:17" x14ac:dyDescent="0.25">
      <c r="G352" t="str">
        <f t="shared" si="5"/>
        <v/>
      </c>
      <c r="H352" t="s">
        <v>46</v>
      </c>
      <c r="I352" t="s">
        <v>10</v>
      </c>
      <c r="J352" t="s">
        <v>5</v>
      </c>
      <c r="K352" t="s">
        <v>23</v>
      </c>
      <c r="L352" t="s">
        <v>44</v>
      </c>
      <c r="M352" t="s">
        <v>20</v>
      </c>
      <c r="N352">
        <v>20</v>
      </c>
      <c r="O352">
        <v>14</v>
      </c>
      <c r="P352">
        <v>12932.589999999998</v>
      </c>
      <c r="Q352">
        <v>0</v>
      </c>
    </row>
    <row r="353" spans="7:17" x14ac:dyDescent="0.25">
      <c r="G353" t="str">
        <f t="shared" si="5"/>
        <v/>
      </c>
      <c r="H353" t="s">
        <v>46</v>
      </c>
      <c r="I353" t="s">
        <v>10</v>
      </c>
      <c r="J353" t="s">
        <v>5</v>
      </c>
      <c r="K353" t="s">
        <v>23</v>
      </c>
      <c r="L353" t="s">
        <v>39</v>
      </c>
      <c r="M353" t="s">
        <v>19</v>
      </c>
      <c r="N353">
        <v>27</v>
      </c>
      <c r="O353">
        <v>7</v>
      </c>
      <c r="P353">
        <v>21444.610000000004</v>
      </c>
      <c r="Q353">
        <v>12717.13</v>
      </c>
    </row>
    <row r="354" spans="7:17" x14ac:dyDescent="0.25">
      <c r="G354" t="str">
        <f t="shared" si="5"/>
        <v/>
      </c>
      <c r="H354" t="s">
        <v>46</v>
      </c>
      <c r="I354" t="s">
        <v>10</v>
      </c>
      <c r="J354" t="s">
        <v>5</v>
      </c>
      <c r="K354" t="s">
        <v>23</v>
      </c>
      <c r="L354" t="s">
        <v>39</v>
      </c>
      <c r="M354" t="s">
        <v>20</v>
      </c>
      <c r="N354">
        <v>19</v>
      </c>
      <c r="O354">
        <v>14</v>
      </c>
      <c r="P354">
        <v>15192.179999999998</v>
      </c>
      <c r="Q354">
        <v>0</v>
      </c>
    </row>
    <row r="355" spans="7:17" x14ac:dyDescent="0.25">
      <c r="G355" t="str">
        <f t="shared" si="5"/>
        <v/>
      </c>
      <c r="H355" t="s">
        <v>46</v>
      </c>
      <c r="I355" t="s">
        <v>10</v>
      </c>
      <c r="J355" t="s">
        <v>5</v>
      </c>
      <c r="K355" t="s">
        <v>23</v>
      </c>
      <c r="L355" t="s">
        <v>40</v>
      </c>
      <c r="M355" t="s">
        <v>19</v>
      </c>
      <c r="N355">
        <v>4</v>
      </c>
      <c r="O355">
        <v>1</v>
      </c>
      <c r="P355">
        <v>5245.52</v>
      </c>
      <c r="Q355">
        <v>4378.55</v>
      </c>
    </row>
    <row r="356" spans="7:17" x14ac:dyDescent="0.25">
      <c r="G356" t="str">
        <f t="shared" si="5"/>
        <v/>
      </c>
      <c r="H356" t="s">
        <v>46</v>
      </c>
      <c r="I356" t="s">
        <v>10</v>
      </c>
      <c r="J356" t="s">
        <v>5</v>
      </c>
      <c r="K356" t="s">
        <v>23</v>
      </c>
      <c r="L356" t="s">
        <v>40</v>
      </c>
      <c r="M356" t="s">
        <v>20</v>
      </c>
      <c r="N356">
        <v>31</v>
      </c>
      <c r="O356">
        <v>10</v>
      </c>
      <c r="P356">
        <v>28725.160000000003</v>
      </c>
      <c r="Q356">
        <v>0</v>
      </c>
    </row>
    <row r="357" spans="7:17" x14ac:dyDescent="0.25">
      <c r="G357" t="str">
        <f t="shared" si="5"/>
        <v/>
      </c>
      <c r="H357" t="s">
        <v>46</v>
      </c>
      <c r="I357" t="s">
        <v>10</v>
      </c>
      <c r="J357" t="s">
        <v>5</v>
      </c>
      <c r="K357" t="s">
        <v>23</v>
      </c>
      <c r="L357" t="s">
        <v>41</v>
      </c>
      <c r="M357" t="s">
        <v>19</v>
      </c>
      <c r="N357">
        <v>5</v>
      </c>
      <c r="O357">
        <v>2</v>
      </c>
      <c r="P357">
        <v>4964.5700000000006</v>
      </c>
      <c r="Q357">
        <v>2642.25</v>
      </c>
    </row>
    <row r="358" spans="7:17" x14ac:dyDescent="0.25">
      <c r="G358" t="str">
        <f t="shared" si="5"/>
        <v/>
      </c>
      <c r="H358" t="s">
        <v>46</v>
      </c>
      <c r="I358" t="s">
        <v>10</v>
      </c>
      <c r="J358" t="s">
        <v>5</v>
      </c>
      <c r="K358" t="s">
        <v>23</v>
      </c>
      <c r="L358" t="s">
        <v>41</v>
      </c>
      <c r="M358" t="s">
        <v>20</v>
      </c>
      <c r="N358">
        <v>39</v>
      </c>
      <c r="O358">
        <v>14</v>
      </c>
      <c r="P358">
        <v>37998.92</v>
      </c>
      <c r="Q358">
        <v>0</v>
      </c>
    </row>
    <row r="359" spans="7:17" x14ac:dyDescent="0.25">
      <c r="G359" t="str">
        <f t="shared" si="5"/>
        <v/>
      </c>
      <c r="H359" t="s">
        <v>46</v>
      </c>
      <c r="I359" t="s">
        <v>10</v>
      </c>
      <c r="J359" t="s">
        <v>5</v>
      </c>
      <c r="K359" t="s">
        <v>23</v>
      </c>
      <c r="L359" t="s">
        <v>45</v>
      </c>
      <c r="M359" t="s">
        <v>19</v>
      </c>
      <c r="N359">
        <v>9</v>
      </c>
      <c r="O359">
        <v>4</v>
      </c>
      <c r="P359">
        <v>6644.66</v>
      </c>
      <c r="Q359">
        <v>4046.0899999999997</v>
      </c>
    </row>
    <row r="360" spans="7:17" x14ac:dyDescent="0.25">
      <c r="G360" t="str">
        <f t="shared" si="5"/>
        <v/>
      </c>
      <c r="H360" t="s">
        <v>46</v>
      </c>
      <c r="I360" t="s">
        <v>10</v>
      </c>
      <c r="J360" t="s">
        <v>5</v>
      </c>
      <c r="K360" t="s">
        <v>23</v>
      </c>
      <c r="L360" t="s">
        <v>45</v>
      </c>
      <c r="M360" t="s">
        <v>20</v>
      </c>
      <c r="N360">
        <v>288</v>
      </c>
      <c r="O360">
        <v>121</v>
      </c>
      <c r="P360">
        <v>282036.86999999994</v>
      </c>
      <c r="Q360">
        <v>0</v>
      </c>
    </row>
    <row r="361" spans="7:17" x14ac:dyDescent="0.25">
      <c r="G361" t="str">
        <f t="shared" si="5"/>
        <v/>
      </c>
      <c r="H361" t="s">
        <v>46</v>
      </c>
      <c r="I361" t="s">
        <v>10</v>
      </c>
      <c r="J361" t="s">
        <v>5</v>
      </c>
      <c r="K361" t="s">
        <v>24</v>
      </c>
      <c r="L361" t="s">
        <v>42</v>
      </c>
      <c r="M361" t="s">
        <v>19</v>
      </c>
      <c r="N361">
        <v>132</v>
      </c>
      <c r="O361">
        <v>34</v>
      </c>
      <c r="P361">
        <v>64051.130000000012</v>
      </c>
      <c r="Q361">
        <v>60122.770000000011</v>
      </c>
    </row>
    <row r="362" spans="7:17" x14ac:dyDescent="0.25">
      <c r="G362" t="str">
        <f t="shared" si="5"/>
        <v/>
      </c>
      <c r="H362" t="s">
        <v>46</v>
      </c>
      <c r="I362" t="s">
        <v>10</v>
      </c>
      <c r="J362" t="s">
        <v>5</v>
      </c>
      <c r="K362" t="s">
        <v>24</v>
      </c>
      <c r="L362" t="s">
        <v>42</v>
      </c>
      <c r="M362" t="s">
        <v>20</v>
      </c>
      <c r="N362">
        <v>72</v>
      </c>
      <c r="O362">
        <v>21</v>
      </c>
      <c r="P362">
        <v>19675.960000000006</v>
      </c>
      <c r="Q362">
        <v>0</v>
      </c>
    </row>
    <row r="363" spans="7:17" x14ac:dyDescent="0.25">
      <c r="G363" t="str">
        <f t="shared" si="5"/>
        <v/>
      </c>
      <c r="H363" t="s">
        <v>46</v>
      </c>
      <c r="I363" t="s">
        <v>10</v>
      </c>
      <c r="J363" t="s">
        <v>5</v>
      </c>
      <c r="K363" t="s">
        <v>24</v>
      </c>
      <c r="L363" t="s">
        <v>43</v>
      </c>
      <c r="M363" t="s">
        <v>19</v>
      </c>
      <c r="N363">
        <v>16</v>
      </c>
      <c r="O363">
        <v>6</v>
      </c>
      <c r="P363">
        <v>11306.340000000002</v>
      </c>
      <c r="Q363">
        <v>10280.070000000003</v>
      </c>
    </row>
    <row r="364" spans="7:17" x14ac:dyDescent="0.25">
      <c r="G364" t="str">
        <f t="shared" si="5"/>
        <v/>
      </c>
      <c r="H364" t="s">
        <v>46</v>
      </c>
      <c r="I364" t="s">
        <v>10</v>
      </c>
      <c r="J364" t="s">
        <v>5</v>
      </c>
      <c r="K364" t="s">
        <v>24</v>
      </c>
      <c r="L364" t="s">
        <v>43</v>
      </c>
      <c r="M364" t="s">
        <v>20</v>
      </c>
      <c r="N364">
        <v>18</v>
      </c>
      <c r="O364">
        <v>7</v>
      </c>
      <c r="P364">
        <v>12647.699999999999</v>
      </c>
      <c r="Q364">
        <v>0</v>
      </c>
    </row>
    <row r="365" spans="7:17" x14ac:dyDescent="0.25">
      <c r="G365" t="str">
        <f t="shared" si="5"/>
        <v/>
      </c>
      <c r="H365" t="s">
        <v>46</v>
      </c>
      <c r="I365" t="s">
        <v>10</v>
      </c>
      <c r="J365" t="s">
        <v>5</v>
      </c>
      <c r="K365" t="s">
        <v>24</v>
      </c>
      <c r="L365" t="s">
        <v>44</v>
      </c>
      <c r="M365" t="s">
        <v>19</v>
      </c>
      <c r="N365">
        <v>14</v>
      </c>
      <c r="O365">
        <v>7</v>
      </c>
      <c r="P365">
        <v>15153.550000000003</v>
      </c>
      <c r="Q365">
        <v>8359.74</v>
      </c>
    </row>
    <row r="366" spans="7:17" x14ac:dyDescent="0.25">
      <c r="G366" t="str">
        <f t="shared" si="5"/>
        <v/>
      </c>
      <c r="H366" t="s">
        <v>46</v>
      </c>
      <c r="I366" t="s">
        <v>10</v>
      </c>
      <c r="J366" t="s">
        <v>5</v>
      </c>
      <c r="K366" t="s">
        <v>24</v>
      </c>
      <c r="L366" t="s">
        <v>44</v>
      </c>
      <c r="M366" t="s">
        <v>20</v>
      </c>
      <c r="N366">
        <v>2</v>
      </c>
      <c r="O366">
        <v>1</v>
      </c>
      <c r="P366">
        <v>991.72</v>
      </c>
      <c r="Q366">
        <v>0</v>
      </c>
    </row>
    <row r="367" spans="7:17" x14ac:dyDescent="0.25">
      <c r="G367" t="str">
        <f t="shared" si="5"/>
        <v/>
      </c>
      <c r="H367" t="s">
        <v>46</v>
      </c>
      <c r="I367" t="s">
        <v>10</v>
      </c>
      <c r="J367" t="s">
        <v>5</v>
      </c>
      <c r="K367" t="s">
        <v>24</v>
      </c>
      <c r="L367" t="s">
        <v>39</v>
      </c>
      <c r="M367" t="s">
        <v>19</v>
      </c>
      <c r="N367">
        <v>9</v>
      </c>
      <c r="O367">
        <v>3</v>
      </c>
      <c r="P367">
        <v>7123.1500000000015</v>
      </c>
      <c r="Q367">
        <v>3129.32</v>
      </c>
    </row>
    <row r="368" spans="7:17" x14ac:dyDescent="0.25">
      <c r="G368" t="str">
        <f t="shared" si="5"/>
        <v/>
      </c>
      <c r="H368" t="s">
        <v>46</v>
      </c>
      <c r="I368" t="s">
        <v>10</v>
      </c>
      <c r="J368" t="s">
        <v>5</v>
      </c>
      <c r="K368" t="s">
        <v>24</v>
      </c>
      <c r="L368" t="s">
        <v>39</v>
      </c>
      <c r="M368" t="s">
        <v>20</v>
      </c>
      <c r="N368">
        <v>8</v>
      </c>
      <c r="O368">
        <v>5</v>
      </c>
      <c r="P368">
        <v>3694.0800000000004</v>
      </c>
      <c r="Q368">
        <v>0</v>
      </c>
    </row>
    <row r="369" spans="7:17" x14ac:dyDescent="0.25">
      <c r="G369" t="str">
        <f t="shared" si="5"/>
        <v/>
      </c>
      <c r="H369" t="s">
        <v>46</v>
      </c>
      <c r="I369" t="s">
        <v>10</v>
      </c>
      <c r="J369" t="s">
        <v>5</v>
      </c>
      <c r="K369" t="s">
        <v>24</v>
      </c>
      <c r="L369" t="s">
        <v>40</v>
      </c>
      <c r="M369" t="s">
        <v>19</v>
      </c>
      <c r="N369">
        <v>4</v>
      </c>
      <c r="O369">
        <v>0</v>
      </c>
      <c r="P369">
        <v>3780.49</v>
      </c>
      <c r="Q369">
        <v>1405.23</v>
      </c>
    </row>
    <row r="370" spans="7:17" x14ac:dyDescent="0.25">
      <c r="G370" t="str">
        <f t="shared" si="5"/>
        <v/>
      </c>
      <c r="H370" t="s">
        <v>46</v>
      </c>
      <c r="I370" t="s">
        <v>10</v>
      </c>
      <c r="J370" t="s">
        <v>5</v>
      </c>
      <c r="K370" t="s">
        <v>24</v>
      </c>
      <c r="L370" t="s">
        <v>40</v>
      </c>
      <c r="M370" t="s">
        <v>20</v>
      </c>
      <c r="N370">
        <v>12</v>
      </c>
      <c r="O370">
        <v>2</v>
      </c>
      <c r="P370">
        <v>32110.429999999997</v>
      </c>
      <c r="Q370">
        <v>0</v>
      </c>
    </row>
    <row r="371" spans="7:17" x14ac:dyDescent="0.25">
      <c r="G371" t="str">
        <f t="shared" si="5"/>
        <v/>
      </c>
      <c r="H371" t="s">
        <v>46</v>
      </c>
      <c r="I371" t="s">
        <v>10</v>
      </c>
      <c r="J371" t="s">
        <v>5</v>
      </c>
      <c r="K371" t="s">
        <v>24</v>
      </c>
      <c r="L371" t="s">
        <v>41</v>
      </c>
      <c r="M371" t="s">
        <v>19</v>
      </c>
      <c r="N371">
        <v>1</v>
      </c>
      <c r="O371">
        <v>0</v>
      </c>
      <c r="P371">
        <v>2070.81</v>
      </c>
      <c r="Q371">
        <v>147.5</v>
      </c>
    </row>
    <row r="372" spans="7:17" x14ac:dyDescent="0.25">
      <c r="G372" t="str">
        <f t="shared" si="5"/>
        <v/>
      </c>
      <c r="H372" t="s">
        <v>46</v>
      </c>
      <c r="I372" t="s">
        <v>10</v>
      </c>
      <c r="J372" t="s">
        <v>5</v>
      </c>
      <c r="K372" t="s">
        <v>24</v>
      </c>
      <c r="L372" t="s">
        <v>41</v>
      </c>
      <c r="M372" t="s">
        <v>20</v>
      </c>
      <c r="N372">
        <v>12</v>
      </c>
      <c r="O372">
        <v>3</v>
      </c>
      <c r="P372">
        <v>14457.400000000005</v>
      </c>
      <c r="Q372">
        <v>0</v>
      </c>
    </row>
    <row r="373" spans="7:17" x14ac:dyDescent="0.25">
      <c r="G373" t="str">
        <f t="shared" si="5"/>
        <v/>
      </c>
      <c r="H373" t="s">
        <v>46</v>
      </c>
      <c r="I373" t="s">
        <v>10</v>
      </c>
      <c r="J373" t="s">
        <v>5</v>
      </c>
      <c r="K373" t="s">
        <v>24</v>
      </c>
      <c r="L373" t="s">
        <v>45</v>
      </c>
      <c r="M373" t="s">
        <v>19</v>
      </c>
      <c r="N373">
        <v>1</v>
      </c>
      <c r="O373">
        <v>0</v>
      </c>
      <c r="P373">
        <v>874.71</v>
      </c>
      <c r="Q373">
        <v>29.5</v>
      </c>
    </row>
    <row r="374" spans="7:17" x14ac:dyDescent="0.25">
      <c r="G374" t="str">
        <f t="shared" si="5"/>
        <v/>
      </c>
      <c r="H374" t="s">
        <v>46</v>
      </c>
      <c r="I374" t="s">
        <v>10</v>
      </c>
      <c r="J374" t="s">
        <v>5</v>
      </c>
      <c r="K374" t="s">
        <v>24</v>
      </c>
      <c r="L374" t="s">
        <v>45</v>
      </c>
      <c r="M374" t="s">
        <v>20</v>
      </c>
      <c r="N374">
        <v>55</v>
      </c>
      <c r="O374">
        <v>26</v>
      </c>
      <c r="P374">
        <v>60424.45</v>
      </c>
      <c r="Q374">
        <v>0</v>
      </c>
    </row>
    <row r="375" spans="7:17" x14ac:dyDescent="0.25">
      <c r="G375" t="str">
        <f t="shared" si="5"/>
        <v/>
      </c>
      <c r="H375" t="s">
        <v>46</v>
      </c>
      <c r="I375" t="s">
        <v>10</v>
      </c>
      <c r="J375" t="s">
        <v>5</v>
      </c>
      <c r="K375" t="s">
        <v>25</v>
      </c>
      <c r="L375" t="s">
        <v>42</v>
      </c>
      <c r="M375" t="s">
        <v>19</v>
      </c>
      <c r="N375">
        <v>962</v>
      </c>
      <c r="O375">
        <v>282</v>
      </c>
      <c r="P375">
        <v>567954.45000000042</v>
      </c>
      <c r="Q375">
        <v>561227.57000000007</v>
      </c>
    </row>
    <row r="376" spans="7:17" x14ac:dyDescent="0.25">
      <c r="G376" t="str">
        <f t="shared" si="5"/>
        <v/>
      </c>
      <c r="H376" t="s">
        <v>46</v>
      </c>
      <c r="I376" t="s">
        <v>10</v>
      </c>
      <c r="J376" t="s">
        <v>5</v>
      </c>
      <c r="K376" t="s">
        <v>25</v>
      </c>
      <c r="L376" t="s">
        <v>42</v>
      </c>
      <c r="M376" t="s">
        <v>20</v>
      </c>
      <c r="N376">
        <v>467</v>
      </c>
      <c r="O376">
        <v>91</v>
      </c>
      <c r="P376">
        <v>145369.82000000036</v>
      </c>
      <c r="Q376">
        <v>0</v>
      </c>
    </row>
    <row r="377" spans="7:17" x14ac:dyDescent="0.25">
      <c r="G377" t="str">
        <f t="shared" si="5"/>
        <v/>
      </c>
      <c r="H377" t="s">
        <v>46</v>
      </c>
      <c r="I377" t="s">
        <v>10</v>
      </c>
      <c r="J377" t="s">
        <v>5</v>
      </c>
      <c r="K377" t="s">
        <v>25</v>
      </c>
      <c r="L377" t="s">
        <v>43</v>
      </c>
      <c r="M377" t="s">
        <v>19</v>
      </c>
      <c r="N377">
        <v>104</v>
      </c>
      <c r="O377">
        <v>55</v>
      </c>
      <c r="P377">
        <v>80341.440000000017</v>
      </c>
      <c r="Q377">
        <v>68060.37000000001</v>
      </c>
    </row>
    <row r="378" spans="7:17" x14ac:dyDescent="0.25">
      <c r="G378" t="str">
        <f t="shared" si="5"/>
        <v/>
      </c>
      <c r="H378" t="s">
        <v>46</v>
      </c>
      <c r="I378" t="s">
        <v>10</v>
      </c>
      <c r="J378" t="s">
        <v>5</v>
      </c>
      <c r="K378" t="s">
        <v>25</v>
      </c>
      <c r="L378" t="s">
        <v>43</v>
      </c>
      <c r="M378" t="s">
        <v>20</v>
      </c>
      <c r="N378">
        <v>93</v>
      </c>
      <c r="O378">
        <v>39</v>
      </c>
      <c r="P378">
        <v>75929.87</v>
      </c>
      <c r="Q378">
        <v>0</v>
      </c>
    </row>
    <row r="379" spans="7:17" x14ac:dyDescent="0.25">
      <c r="G379" t="str">
        <f t="shared" si="5"/>
        <v/>
      </c>
      <c r="H379" t="s">
        <v>46</v>
      </c>
      <c r="I379" t="s">
        <v>10</v>
      </c>
      <c r="J379" t="s">
        <v>5</v>
      </c>
      <c r="K379" t="s">
        <v>25</v>
      </c>
      <c r="L379" t="s">
        <v>44</v>
      </c>
      <c r="M379" t="s">
        <v>19</v>
      </c>
      <c r="N379">
        <v>107</v>
      </c>
      <c r="O379">
        <v>57</v>
      </c>
      <c r="P379">
        <v>137792.5</v>
      </c>
      <c r="Q379">
        <v>81653.880000000034</v>
      </c>
    </row>
    <row r="380" spans="7:17" x14ac:dyDescent="0.25">
      <c r="G380" t="str">
        <f t="shared" si="5"/>
        <v/>
      </c>
      <c r="H380" t="s">
        <v>46</v>
      </c>
      <c r="I380" t="s">
        <v>10</v>
      </c>
      <c r="J380" t="s">
        <v>5</v>
      </c>
      <c r="K380" t="s">
        <v>25</v>
      </c>
      <c r="L380" t="s">
        <v>44</v>
      </c>
      <c r="M380" t="s">
        <v>20</v>
      </c>
      <c r="N380">
        <v>25</v>
      </c>
      <c r="O380">
        <v>18</v>
      </c>
      <c r="P380">
        <v>26683.21</v>
      </c>
      <c r="Q380">
        <v>0</v>
      </c>
    </row>
    <row r="381" spans="7:17" x14ac:dyDescent="0.25">
      <c r="G381" t="str">
        <f t="shared" si="5"/>
        <v/>
      </c>
      <c r="H381" t="s">
        <v>46</v>
      </c>
      <c r="I381" t="s">
        <v>10</v>
      </c>
      <c r="J381" t="s">
        <v>5</v>
      </c>
      <c r="K381" t="s">
        <v>25</v>
      </c>
      <c r="L381" t="s">
        <v>39</v>
      </c>
      <c r="M381" t="s">
        <v>19</v>
      </c>
      <c r="N381">
        <v>11</v>
      </c>
      <c r="O381">
        <v>7</v>
      </c>
      <c r="P381">
        <v>8578.9199999999983</v>
      </c>
      <c r="Q381">
        <v>5898.3799999999992</v>
      </c>
    </row>
    <row r="382" spans="7:17" x14ac:dyDescent="0.25">
      <c r="G382" t="str">
        <f t="shared" si="5"/>
        <v/>
      </c>
      <c r="H382" t="s">
        <v>46</v>
      </c>
      <c r="I382" t="s">
        <v>10</v>
      </c>
      <c r="J382" t="s">
        <v>5</v>
      </c>
      <c r="K382" t="s">
        <v>25</v>
      </c>
      <c r="L382" t="s">
        <v>39</v>
      </c>
      <c r="M382" t="s">
        <v>20</v>
      </c>
      <c r="N382">
        <v>54</v>
      </c>
      <c r="O382">
        <v>43</v>
      </c>
      <c r="P382">
        <v>53557.569999999992</v>
      </c>
      <c r="Q382">
        <v>0</v>
      </c>
    </row>
    <row r="383" spans="7:17" x14ac:dyDescent="0.25">
      <c r="G383" t="str">
        <f t="shared" si="5"/>
        <v/>
      </c>
      <c r="H383" t="s">
        <v>46</v>
      </c>
      <c r="I383" t="s">
        <v>10</v>
      </c>
      <c r="J383" t="s">
        <v>5</v>
      </c>
      <c r="K383" t="s">
        <v>25</v>
      </c>
      <c r="L383" t="s">
        <v>40</v>
      </c>
      <c r="M383" t="s">
        <v>19</v>
      </c>
      <c r="N383">
        <v>8</v>
      </c>
      <c r="O383">
        <v>1</v>
      </c>
      <c r="P383">
        <v>6097.7</v>
      </c>
      <c r="Q383">
        <v>4116.6000000000004</v>
      </c>
    </row>
    <row r="384" spans="7:17" x14ac:dyDescent="0.25">
      <c r="G384" t="str">
        <f t="shared" si="5"/>
        <v/>
      </c>
      <c r="H384" t="s">
        <v>46</v>
      </c>
      <c r="I384" t="s">
        <v>10</v>
      </c>
      <c r="J384" t="s">
        <v>5</v>
      </c>
      <c r="K384" t="s">
        <v>25</v>
      </c>
      <c r="L384" t="s">
        <v>40</v>
      </c>
      <c r="M384" t="s">
        <v>20</v>
      </c>
      <c r="N384">
        <v>44</v>
      </c>
      <c r="O384">
        <v>17</v>
      </c>
      <c r="P384">
        <v>46132.09</v>
      </c>
      <c r="Q384">
        <v>0</v>
      </c>
    </row>
    <row r="385" spans="7:17" x14ac:dyDescent="0.25">
      <c r="G385" t="str">
        <f t="shared" si="5"/>
        <v/>
      </c>
      <c r="H385" t="s">
        <v>46</v>
      </c>
      <c r="I385" t="s">
        <v>10</v>
      </c>
      <c r="J385" t="s">
        <v>5</v>
      </c>
      <c r="K385" t="s">
        <v>25</v>
      </c>
      <c r="L385" t="s">
        <v>41</v>
      </c>
      <c r="M385" t="s">
        <v>19</v>
      </c>
      <c r="N385">
        <v>3</v>
      </c>
      <c r="O385">
        <v>0</v>
      </c>
      <c r="P385">
        <v>2474.0699999999997</v>
      </c>
      <c r="Q385">
        <v>721.39</v>
      </c>
    </row>
    <row r="386" spans="7:17" x14ac:dyDescent="0.25">
      <c r="G386" t="str">
        <f t="shared" ref="G386:G449" si="6">IF(G$1="Overall","Overall",IF(G$1=L386,L386,""))</f>
        <v/>
      </c>
      <c r="H386" t="s">
        <v>46</v>
      </c>
      <c r="I386" t="s">
        <v>10</v>
      </c>
      <c r="J386" t="s">
        <v>5</v>
      </c>
      <c r="K386" t="s">
        <v>25</v>
      </c>
      <c r="L386" t="s">
        <v>41</v>
      </c>
      <c r="M386" t="s">
        <v>20</v>
      </c>
      <c r="N386">
        <v>42</v>
      </c>
      <c r="O386">
        <v>19</v>
      </c>
      <c r="P386">
        <v>37295.040000000001</v>
      </c>
      <c r="Q386">
        <v>0</v>
      </c>
    </row>
    <row r="387" spans="7:17" x14ac:dyDescent="0.25">
      <c r="G387" t="str">
        <f t="shared" si="6"/>
        <v/>
      </c>
      <c r="H387" t="s">
        <v>46</v>
      </c>
      <c r="I387" t="s">
        <v>10</v>
      </c>
      <c r="J387" t="s">
        <v>5</v>
      </c>
      <c r="K387" t="s">
        <v>25</v>
      </c>
      <c r="L387" t="s">
        <v>45</v>
      </c>
      <c r="M387" t="s">
        <v>19</v>
      </c>
      <c r="N387">
        <v>6</v>
      </c>
      <c r="O387">
        <v>2</v>
      </c>
      <c r="P387">
        <v>6277.09</v>
      </c>
      <c r="Q387">
        <v>2980.2000000000003</v>
      </c>
    </row>
    <row r="388" spans="7:17" x14ac:dyDescent="0.25">
      <c r="G388" t="str">
        <f t="shared" si="6"/>
        <v/>
      </c>
      <c r="H388" t="s">
        <v>46</v>
      </c>
      <c r="I388" t="s">
        <v>10</v>
      </c>
      <c r="J388" t="s">
        <v>5</v>
      </c>
      <c r="K388" t="s">
        <v>25</v>
      </c>
      <c r="L388" t="s">
        <v>45</v>
      </c>
      <c r="M388" t="s">
        <v>20</v>
      </c>
      <c r="N388">
        <v>362</v>
      </c>
      <c r="O388">
        <v>117</v>
      </c>
      <c r="P388">
        <v>360387.60999999969</v>
      </c>
      <c r="Q388">
        <v>0</v>
      </c>
    </row>
    <row r="389" spans="7:17" x14ac:dyDescent="0.25">
      <c r="G389" t="str">
        <f t="shared" si="6"/>
        <v/>
      </c>
      <c r="H389" t="s">
        <v>46</v>
      </c>
      <c r="I389" t="s">
        <v>10</v>
      </c>
      <c r="J389" t="s">
        <v>5</v>
      </c>
      <c r="K389" t="s">
        <v>26</v>
      </c>
      <c r="L389" t="s">
        <v>42</v>
      </c>
      <c r="M389" t="s">
        <v>19</v>
      </c>
      <c r="N389">
        <v>922</v>
      </c>
      <c r="O389">
        <v>379</v>
      </c>
      <c r="P389">
        <v>476346.51999999973</v>
      </c>
      <c r="Q389">
        <v>471642.82999999984</v>
      </c>
    </row>
    <row r="390" spans="7:17" x14ac:dyDescent="0.25">
      <c r="G390" t="str">
        <f t="shared" si="6"/>
        <v/>
      </c>
      <c r="H390" t="s">
        <v>46</v>
      </c>
      <c r="I390" t="s">
        <v>10</v>
      </c>
      <c r="J390" t="s">
        <v>5</v>
      </c>
      <c r="K390" t="s">
        <v>26</v>
      </c>
      <c r="L390" t="s">
        <v>42</v>
      </c>
      <c r="M390" t="s">
        <v>20</v>
      </c>
      <c r="N390">
        <v>364</v>
      </c>
      <c r="O390">
        <v>163</v>
      </c>
      <c r="P390">
        <v>104036.81999999989</v>
      </c>
      <c r="Q390">
        <v>0</v>
      </c>
    </row>
    <row r="391" spans="7:17" x14ac:dyDescent="0.25">
      <c r="G391" t="str">
        <f t="shared" si="6"/>
        <v/>
      </c>
      <c r="H391" t="s">
        <v>46</v>
      </c>
      <c r="I391" t="s">
        <v>10</v>
      </c>
      <c r="J391" t="s">
        <v>5</v>
      </c>
      <c r="K391" t="s">
        <v>26</v>
      </c>
      <c r="L391" t="s">
        <v>43</v>
      </c>
      <c r="M391" t="s">
        <v>19</v>
      </c>
      <c r="N391">
        <v>91</v>
      </c>
      <c r="O391">
        <v>59</v>
      </c>
      <c r="P391">
        <v>76512.64999999998</v>
      </c>
      <c r="Q391">
        <v>69205.34</v>
      </c>
    </row>
    <row r="392" spans="7:17" x14ac:dyDescent="0.25">
      <c r="G392" t="str">
        <f t="shared" si="6"/>
        <v/>
      </c>
      <c r="H392" t="s">
        <v>46</v>
      </c>
      <c r="I392" t="s">
        <v>10</v>
      </c>
      <c r="J392" t="s">
        <v>5</v>
      </c>
      <c r="K392" t="s">
        <v>26</v>
      </c>
      <c r="L392" t="s">
        <v>43</v>
      </c>
      <c r="M392" t="s">
        <v>20</v>
      </c>
      <c r="N392">
        <v>207</v>
      </c>
      <c r="O392">
        <v>59</v>
      </c>
      <c r="P392">
        <v>150324.48000000021</v>
      </c>
      <c r="Q392">
        <v>0</v>
      </c>
    </row>
    <row r="393" spans="7:17" x14ac:dyDescent="0.25">
      <c r="G393" t="str">
        <f t="shared" si="6"/>
        <v/>
      </c>
      <c r="H393" t="s">
        <v>46</v>
      </c>
      <c r="I393" t="s">
        <v>10</v>
      </c>
      <c r="J393" t="s">
        <v>5</v>
      </c>
      <c r="K393" t="s">
        <v>26</v>
      </c>
      <c r="L393" t="s">
        <v>44</v>
      </c>
      <c r="M393" t="s">
        <v>19</v>
      </c>
      <c r="N393">
        <v>39</v>
      </c>
      <c r="O393">
        <v>24</v>
      </c>
      <c r="P393">
        <v>47133.510000000009</v>
      </c>
      <c r="Q393">
        <v>29759.59</v>
      </c>
    </row>
    <row r="394" spans="7:17" x14ac:dyDescent="0.25">
      <c r="G394" t="str">
        <f t="shared" si="6"/>
        <v/>
      </c>
      <c r="H394" t="s">
        <v>46</v>
      </c>
      <c r="I394" t="s">
        <v>10</v>
      </c>
      <c r="J394" t="s">
        <v>5</v>
      </c>
      <c r="K394" t="s">
        <v>26</v>
      </c>
      <c r="L394" t="s">
        <v>44</v>
      </c>
      <c r="M394" t="s">
        <v>20</v>
      </c>
      <c r="N394">
        <v>182</v>
      </c>
      <c r="O394">
        <v>65</v>
      </c>
      <c r="P394">
        <v>160997.5999999998</v>
      </c>
      <c r="Q394">
        <v>0</v>
      </c>
    </row>
    <row r="395" spans="7:17" x14ac:dyDescent="0.25">
      <c r="G395" t="str">
        <f t="shared" si="6"/>
        <v/>
      </c>
      <c r="H395" t="s">
        <v>46</v>
      </c>
      <c r="I395" t="s">
        <v>10</v>
      </c>
      <c r="J395" t="s">
        <v>5</v>
      </c>
      <c r="K395" t="s">
        <v>26</v>
      </c>
      <c r="L395" t="s">
        <v>39</v>
      </c>
      <c r="M395" t="s">
        <v>19</v>
      </c>
      <c r="N395">
        <v>8</v>
      </c>
      <c r="O395">
        <v>3</v>
      </c>
      <c r="P395">
        <v>14364.329999999998</v>
      </c>
      <c r="Q395">
        <v>13806.25</v>
      </c>
    </row>
    <row r="396" spans="7:17" x14ac:dyDescent="0.25">
      <c r="G396" t="str">
        <f t="shared" si="6"/>
        <v/>
      </c>
      <c r="H396" t="s">
        <v>46</v>
      </c>
      <c r="I396" t="s">
        <v>10</v>
      </c>
      <c r="J396" t="s">
        <v>5</v>
      </c>
      <c r="K396" t="s">
        <v>26</v>
      </c>
      <c r="L396" t="s">
        <v>39</v>
      </c>
      <c r="M396" t="s">
        <v>20</v>
      </c>
      <c r="N396">
        <v>48</v>
      </c>
      <c r="O396">
        <v>35</v>
      </c>
      <c r="P396">
        <v>43436.200000000012</v>
      </c>
      <c r="Q396">
        <v>0</v>
      </c>
    </row>
    <row r="397" spans="7:17" x14ac:dyDescent="0.25">
      <c r="G397" t="str">
        <f t="shared" si="6"/>
        <v/>
      </c>
      <c r="H397" t="s">
        <v>46</v>
      </c>
      <c r="I397" t="s">
        <v>10</v>
      </c>
      <c r="J397" t="s">
        <v>5</v>
      </c>
      <c r="K397" t="s">
        <v>26</v>
      </c>
      <c r="L397" t="s">
        <v>40</v>
      </c>
      <c r="M397" t="s">
        <v>19</v>
      </c>
      <c r="N397">
        <v>3</v>
      </c>
      <c r="O397">
        <v>3</v>
      </c>
      <c r="P397">
        <v>4189.5</v>
      </c>
      <c r="Q397">
        <v>3254.83</v>
      </c>
    </row>
    <row r="398" spans="7:17" x14ac:dyDescent="0.25">
      <c r="G398" t="str">
        <f t="shared" si="6"/>
        <v/>
      </c>
      <c r="H398" t="s">
        <v>46</v>
      </c>
      <c r="I398" t="s">
        <v>10</v>
      </c>
      <c r="J398" t="s">
        <v>5</v>
      </c>
      <c r="K398" t="s">
        <v>26</v>
      </c>
      <c r="L398" t="s">
        <v>40</v>
      </c>
      <c r="M398" t="s">
        <v>20</v>
      </c>
      <c r="N398">
        <v>33</v>
      </c>
      <c r="O398">
        <v>19</v>
      </c>
      <c r="P398">
        <v>35320.979999999996</v>
      </c>
      <c r="Q398">
        <v>0</v>
      </c>
    </row>
    <row r="399" spans="7:17" x14ac:dyDescent="0.25">
      <c r="G399" t="str">
        <f t="shared" si="6"/>
        <v/>
      </c>
      <c r="H399" t="s">
        <v>46</v>
      </c>
      <c r="I399" t="s">
        <v>10</v>
      </c>
      <c r="J399" t="s">
        <v>5</v>
      </c>
      <c r="K399" t="s">
        <v>26</v>
      </c>
      <c r="L399" t="s">
        <v>41</v>
      </c>
      <c r="M399" t="s">
        <v>19</v>
      </c>
      <c r="N399">
        <v>1</v>
      </c>
      <c r="O399">
        <v>0</v>
      </c>
      <c r="P399">
        <v>1921.14</v>
      </c>
      <c r="Q399">
        <v>6.91</v>
      </c>
    </row>
    <row r="400" spans="7:17" x14ac:dyDescent="0.25">
      <c r="G400" t="str">
        <f t="shared" si="6"/>
        <v/>
      </c>
      <c r="H400" t="s">
        <v>46</v>
      </c>
      <c r="I400" t="s">
        <v>10</v>
      </c>
      <c r="J400" t="s">
        <v>5</v>
      </c>
      <c r="K400" t="s">
        <v>26</v>
      </c>
      <c r="L400" t="s">
        <v>41</v>
      </c>
      <c r="M400" t="s">
        <v>20</v>
      </c>
      <c r="N400">
        <v>29</v>
      </c>
      <c r="O400">
        <v>15</v>
      </c>
      <c r="P400">
        <v>28444.99</v>
      </c>
      <c r="Q400">
        <v>0</v>
      </c>
    </row>
    <row r="401" spans="7:17" x14ac:dyDescent="0.25">
      <c r="G401" t="str">
        <f t="shared" si="6"/>
        <v/>
      </c>
      <c r="H401" t="s">
        <v>46</v>
      </c>
      <c r="I401" t="s">
        <v>10</v>
      </c>
      <c r="J401" t="s">
        <v>5</v>
      </c>
      <c r="K401" t="s">
        <v>27</v>
      </c>
      <c r="L401" t="s">
        <v>42</v>
      </c>
      <c r="M401" t="s">
        <v>19</v>
      </c>
      <c r="N401">
        <v>103</v>
      </c>
      <c r="O401">
        <v>37</v>
      </c>
      <c r="P401">
        <v>45778.469999999972</v>
      </c>
      <c r="Q401">
        <v>45534.20999999997</v>
      </c>
    </row>
    <row r="402" spans="7:17" x14ac:dyDescent="0.25">
      <c r="G402" t="str">
        <f t="shared" si="6"/>
        <v/>
      </c>
      <c r="H402" t="s">
        <v>46</v>
      </c>
      <c r="I402" t="s">
        <v>10</v>
      </c>
      <c r="J402" t="s">
        <v>5</v>
      </c>
      <c r="K402" t="s">
        <v>27</v>
      </c>
      <c r="L402" t="s">
        <v>42</v>
      </c>
      <c r="M402" t="s">
        <v>20</v>
      </c>
      <c r="N402">
        <v>40</v>
      </c>
      <c r="O402">
        <v>9</v>
      </c>
      <c r="P402">
        <v>11432.25</v>
      </c>
      <c r="Q402">
        <v>0</v>
      </c>
    </row>
    <row r="403" spans="7:17" x14ac:dyDescent="0.25">
      <c r="G403" t="str">
        <f t="shared" si="6"/>
        <v/>
      </c>
      <c r="H403" t="s">
        <v>46</v>
      </c>
      <c r="I403" t="s">
        <v>10</v>
      </c>
      <c r="J403" t="s">
        <v>5</v>
      </c>
      <c r="K403" t="s">
        <v>27</v>
      </c>
      <c r="L403" t="s">
        <v>43</v>
      </c>
      <c r="M403" t="s">
        <v>19</v>
      </c>
      <c r="N403">
        <v>11</v>
      </c>
      <c r="O403">
        <v>8</v>
      </c>
      <c r="P403">
        <v>9284.369999999999</v>
      </c>
      <c r="Q403">
        <v>9099.989999999998</v>
      </c>
    </row>
    <row r="404" spans="7:17" x14ac:dyDescent="0.25">
      <c r="G404" t="str">
        <f t="shared" si="6"/>
        <v/>
      </c>
      <c r="H404" t="s">
        <v>46</v>
      </c>
      <c r="I404" t="s">
        <v>10</v>
      </c>
      <c r="J404" t="s">
        <v>5</v>
      </c>
      <c r="K404" t="s">
        <v>27</v>
      </c>
      <c r="L404" t="s">
        <v>43</v>
      </c>
      <c r="M404" t="s">
        <v>20</v>
      </c>
      <c r="N404">
        <v>12</v>
      </c>
      <c r="O404">
        <v>11</v>
      </c>
      <c r="P404">
        <v>7937.4400000000014</v>
      </c>
      <c r="Q404">
        <v>0</v>
      </c>
    </row>
    <row r="405" spans="7:17" x14ac:dyDescent="0.25">
      <c r="G405" t="str">
        <f t="shared" si="6"/>
        <v/>
      </c>
      <c r="H405" t="s">
        <v>46</v>
      </c>
      <c r="I405" t="s">
        <v>10</v>
      </c>
      <c r="J405" t="s">
        <v>5</v>
      </c>
      <c r="K405" t="s">
        <v>27</v>
      </c>
      <c r="L405" t="s">
        <v>44</v>
      </c>
      <c r="M405" t="s">
        <v>19</v>
      </c>
      <c r="N405">
        <v>7</v>
      </c>
      <c r="O405">
        <v>3</v>
      </c>
      <c r="P405">
        <v>9376.14</v>
      </c>
      <c r="Q405">
        <v>9195.77</v>
      </c>
    </row>
    <row r="406" spans="7:17" x14ac:dyDescent="0.25">
      <c r="G406" t="str">
        <f t="shared" si="6"/>
        <v/>
      </c>
      <c r="H406" t="s">
        <v>46</v>
      </c>
      <c r="I406" t="s">
        <v>10</v>
      </c>
      <c r="J406" t="s">
        <v>5</v>
      </c>
      <c r="K406" t="s">
        <v>27</v>
      </c>
      <c r="L406" t="s">
        <v>44</v>
      </c>
      <c r="M406" t="s">
        <v>20</v>
      </c>
      <c r="N406">
        <v>5</v>
      </c>
      <c r="O406">
        <v>4</v>
      </c>
      <c r="P406">
        <v>3218.89</v>
      </c>
      <c r="Q406">
        <v>0</v>
      </c>
    </row>
    <row r="407" spans="7:17" x14ac:dyDescent="0.25">
      <c r="G407" t="str">
        <f t="shared" si="6"/>
        <v/>
      </c>
      <c r="H407" t="s">
        <v>46</v>
      </c>
      <c r="I407" t="s">
        <v>10</v>
      </c>
      <c r="J407" t="s">
        <v>5</v>
      </c>
      <c r="K407" t="s">
        <v>27</v>
      </c>
      <c r="L407" t="s">
        <v>39</v>
      </c>
      <c r="M407" t="s">
        <v>19</v>
      </c>
      <c r="N407">
        <v>1</v>
      </c>
      <c r="O407">
        <v>1</v>
      </c>
      <c r="P407">
        <v>885.92</v>
      </c>
      <c r="Q407">
        <v>885.92</v>
      </c>
    </row>
    <row r="408" spans="7:17" x14ac:dyDescent="0.25">
      <c r="G408" t="str">
        <f t="shared" si="6"/>
        <v/>
      </c>
      <c r="H408" t="s">
        <v>46</v>
      </c>
      <c r="I408" t="s">
        <v>10</v>
      </c>
      <c r="J408" t="s">
        <v>5</v>
      </c>
      <c r="K408" t="s">
        <v>27</v>
      </c>
      <c r="L408" t="s">
        <v>39</v>
      </c>
      <c r="M408" t="s">
        <v>20</v>
      </c>
      <c r="N408">
        <v>8</v>
      </c>
      <c r="O408">
        <v>6</v>
      </c>
      <c r="P408">
        <v>5147.6399999999994</v>
      </c>
      <c r="Q408">
        <v>0</v>
      </c>
    </row>
    <row r="409" spans="7:17" x14ac:dyDescent="0.25">
      <c r="G409" t="str">
        <f t="shared" si="6"/>
        <v/>
      </c>
      <c r="H409" t="s">
        <v>46</v>
      </c>
      <c r="I409" t="s">
        <v>10</v>
      </c>
      <c r="J409" t="s">
        <v>5</v>
      </c>
      <c r="K409" t="s">
        <v>27</v>
      </c>
      <c r="L409" t="s">
        <v>40</v>
      </c>
      <c r="M409" t="s">
        <v>20</v>
      </c>
      <c r="N409">
        <v>5</v>
      </c>
      <c r="O409">
        <v>3</v>
      </c>
      <c r="P409">
        <v>3058.72</v>
      </c>
      <c r="Q409">
        <v>0</v>
      </c>
    </row>
    <row r="410" spans="7:17" x14ac:dyDescent="0.25">
      <c r="G410" t="str">
        <f t="shared" si="6"/>
        <v/>
      </c>
      <c r="H410" t="s">
        <v>46</v>
      </c>
      <c r="I410" t="s">
        <v>10</v>
      </c>
      <c r="J410" t="s">
        <v>5</v>
      </c>
      <c r="K410" t="s">
        <v>27</v>
      </c>
      <c r="L410" t="s">
        <v>41</v>
      </c>
      <c r="M410" t="s">
        <v>20</v>
      </c>
      <c r="N410">
        <v>1</v>
      </c>
      <c r="O410">
        <v>1</v>
      </c>
      <c r="P410">
        <v>796.48</v>
      </c>
      <c r="Q410">
        <v>0</v>
      </c>
    </row>
    <row r="411" spans="7:17" x14ac:dyDescent="0.25">
      <c r="G411" t="str">
        <f t="shared" si="6"/>
        <v/>
      </c>
      <c r="H411" t="s">
        <v>46</v>
      </c>
      <c r="I411" t="s">
        <v>10</v>
      </c>
      <c r="J411" t="s">
        <v>5</v>
      </c>
      <c r="K411" t="s">
        <v>27</v>
      </c>
      <c r="L411" t="s">
        <v>45</v>
      </c>
      <c r="M411" t="s">
        <v>19</v>
      </c>
      <c r="N411">
        <v>2</v>
      </c>
      <c r="O411">
        <v>2</v>
      </c>
      <c r="P411">
        <v>494.99</v>
      </c>
      <c r="Q411">
        <v>494.99</v>
      </c>
    </row>
    <row r="412" spans="7:17" x14ac:dyDescent="0.25">
      <c r="G412" t="str">
        <f t="shared" si="6"/>
        <v/>
      </c>
      <c r="H412" t="s">
        <v>46</v>
      </c>
      <c r="I412" t="s">
        <v>10</v>
      </c>
      <c r="J412" t="s">
        <v>5</v>
      </c>
      <c r="K412" t="s">
        <v>27</v>
      </c>
      <c r="L412" t="s">
        <v>45</v>
      </c>
      <c r="M412" t="s">
        <v>20</v>
      </c>
      <c r="N412">
        <v>43</v>
      </c>
      <c r="O412">
        <v>18</v>
      </c>
      <c r="P412">
        <v>29967.800000000003</v>
      </c>
      <c r="Q412">
        <v>0</v>
      </c>
    </row>
    <row r="413" spans="7:17" x14ac:dyDescent="0.25">
      <c r="G413" t="str">
        <f t="shared" si="6"/>
        <v/>
      </c>
      <c r="H413" t="s">
        <v>46</v>
      </c>
      <c r="I413" t="s">
        <v>10</v>
      </c>
      <c r="J413" t="s">
        <v>5</v>
      </c>
      <c r="K413" t="s">
        <v>28</v>
      </c>
      <c r="L413" t="s">
        <v>42</v>
      </c>
      <c r="M413" t="s">
        <v>19</v>
      </c>
      <c r="N413">
        <v>507</v>
      </c>
      <c r="O413">
        <v>170</v>
      </c>
      <c r="P413">
        <v>224676.83000000019</v>
      </c>
      <c r="Q413">
        <v>223095.1800000002</v>
      </c>
    </row>
    <row r="414" spans="7:17" x14ac:dyDescent="0.25">
      <c r="G414" t="str">
        <f t="shared" si="6"/>
        <v/>
      </c>
      <c r="H414" t="s">
        <v>46</v>
      </c>
      <c r="I414" t="s">
        <v>10</v>
      </c>
      <c r="J414" t="s">
        <v>5</v>
      </c>
      <c r="K414" t="s">
        <v>28</v>
      </c>
      <c r="L414" t="s">
        <v>42</v>
      </c>
      <c r="M414" t="s">
        <v>20</v>
      </c>
      <c r="N414">
        <v>216</v>
      </c>
      <c r="O414">
        <v>102</v>
      </c>
      <c r="P414">
        <v>68839.140000000029</v>
      </c>
      <c r="Q414">
        <v>0</v>
      </c>
    </row>
    <row r="415" spans="7:17" x14ac:dyDescent="0.25">
      <c r="G415" t="str">
        <f t="shared" si="6"/>
        <v/>
      </c>
      <c r="H415" t="s">
        <v>46</v>
      </c>
      <c r="I415" t="s">
        <v>10</v>
      </c>
      <c r="J415" t="s">
        <v>5</v>
      </c>
      <c r="K415" t="s">
        <v>28</v>
      </c>
      <c r="L415" t="s">
        <v>43</v>
      </c>
      <c r="M415" t="s">
        <v>19</v>
      </c>
      <c r="N415">
        <v>56</v>
      </c>
      <c r="O415">
        <v>33</v>
      </c>
      <c r="P415">
        <v>45916.819999999992</v>
      </c>
      <c r="Q415">
        <v>43927.509999999995</v>
      </c>
    </row>
    <row r="416" spans="7:17" x14ac:dyDescent="0.25">
      <c r="G416" t="str">
        <f t="shared" si="6"/>
        <v/>
      </c>
      <c r="H416" t="s">
        <v>46</v>
      </c>
      <c r="I416" t="s">
        <v>10</v>
      </c>
      <c r="J416" t="s">
        <v>5</v>
      </c>
      <c r="K416" t="s">
        <v>28</v>
      </c>
      <c r="L416" t="s">
        <v>43</v>
      </c>
      <c r="M416" t="s">
        <v>20</v>
      </c>
      <c r="N416">
        <v>63</v>
      </c>
      <c r="O416">
        <v>33</v>
      </c>
      <c r="P416">
        <v>37060.349999999991</v>
      </c>
      <c r="Q416">
        <v>0</v>
      </c>
    </row>
    <row r="417" spans="7:17" x14ac:dyDescent="0.25">
      <c r="G417" t="str">
        <f t="shared" si="6"/>
        <v/>
      </c>
      <c r="H417" t="s">
        <v>46</v>
      </c>
      <c r="I417" t="s">
        <v>10</v>
      </c>
      <c r="J417" t="s">
        <v>5</v>
      </c>
      <c r="K417" t="s">
        <v>28</v>
      </c>
      <c r="L417" t="s">
        <v>44</v>
      </c>
      <c r="M417" t="s">
        <v>19</v>
      </c>
      <c r="N417">
        <v>13</v>
      </c>
      <c r="O417">
        <v>12</v>
      </c>
      <c r="P417">
        <v>18413.55</v>
      </c>
      <c r="Q417">
        <v>14604.46</v>
      </c>
    </row>
    <row r="418" spans="7:17" x14ac:dyDescent="0.25">
      <c r="G418" t="str">
        <f t="shared" si="6"/>
        <v/>
      </c>
      <c r="H418" t="s">
        <v>46</v>
      </c>
      <c r="I418" t="s">
        <v>10</v>
      </c>
      <c r="J418" t="s">
        <v>5</v>
      </c>
      <c r="K418" t="s">
        <v>28</v>
      </c>
      <c r="L418" t="s">
        <v>44</v>
      </c>
      <c r="M418" t="s">
        <v>20</v>
      </c>
      <c r="N418">
        <v>37</v>
      </c>
      <c r="O418">
        <v>28</v>
      </c>
      <c r="P418">
        <v>31976.429999999997</v>
      </c>
      <c r="Q418">
        <v>0</v>
      </c>
    </row>
    <row r="419" spans="7:17" x14ac:dyDescent="0.25">
      <c r="G419" t="str">
        <f t="shared" si="6"/>
        <v/>
      </c>
      <c r="H419" t="s">
        <v>46</v>
      </c>
      <c r="I419" t="s">
        <v>10</v>
      </c>
      <c r="J419" t="s">
        <v>5</v>
      </c>
      <c r="K419" t="s">
        <v>29</v>
      </c>
      <c r="L419" t="s">
        <v>42</v>
      </c>
      <c r="M419" t="s">
        <v>19</v>
      </c>
      <c r="N419">
        <v>447</v>
      </c>
      <c r="O419">
        <v>124</v>
      </c>
      <c r="P419">
        <v>218133.20000000007</v>
      </c>
      <c r="Q419">
        <v>198155.54000000021</v>
      </c>
    </row>
    <row r="420" spans="7:17" x14ac:dyDescent="0.25">
      <c r="G420" t="str">
        <f t="shared" si="6"/>
        <v/>
      </c>
      <c r="H420" t="s">
        <v>46</v>
      </c>
      <c r="I420" t="s">
        <v>10</v>
      </c>
      <c r="J420" t="s">
        <v>5</v>
      </c>
      <c r="K420" t="s">
        <v>29</v>
      </c>
      <c r="L420" t="s">
        <v>42</v>
      </c>
      <c r="M420" t="s">
        <v>20</v>
      </c>
      <c r="N420">
        <v>148</v>
      </c>
      <c r="O420">
        <v>46</v>
      </c>
      <c r="P420">
        <v>37193.060000000019</v>
      </c>
      <c r="Q420">
        <v>0</v>
      </c>
    </row>
    <row r="421" spans="7:17" x14ac:dyDescent="0.25">
      <c r="G421" t="str">
        <f t="shared" si="6"/>
        <v/>
      </c>
      <c r="H421" t="s">
        <v>46</v>
      </c>
      <c r="I421" t="s">
        <v>10</v>
      </c>
      <c r="J421" t="s">
        <v>5</v>
      </c>
      <c r="K421" t="s">
        <v>29</v>
      </c>
      <c r="L421" t="s">
        <v>43</v>
      </c>
      <c r="M421" t="s">
        <v>19</v>
      </c>
      <c r="N421">
        <v>37</v>
      </c>
      <c r="O421">
        <v>23</v>
      </c>
      <c r="P421">
        <v>32026.880000000001</v>
      </c>
      <c r="Q421">
        <v>28754.449999999997</v>
      </c>
    </row>
    <row r="422" spans="7:17" x14ac:dyDescent="0.25">
      <c r="G422" t="str">
        <f t="shared" si="6"/>
        <v/>
      </c>
      <c r="H422" t="s">
        <v>46</v>
      </c>
      <c r="I422" t="s">
        <v>10</v>
      </c>
      <c r="J422" t="s">
        <v>5</v>
      </c>
      <c r="K422" t="s">
        <v>29</v>
      </c>
      <c r="L422" t="s">
        <v>43</v>
      </c>
      <c r="M422" t="s">
        <v>20</v>
      </c>
      <c r="N422">
        <v>41</v>
      </c>
      <c r="O422">
        <v>20</v>
      </c>
      <c r="P422">
        <v>27285.440000000002</v>
      </c>
      <c r="Q422">
        <v>0</v>
      </c>
    </row>
    <row r="423" spans="7:17" x14ac:dyDescent="0.25">
      <c r="G423" t="str">
        <f t="shared" si="6"/>
        <v/>
      </c>
      <c r="H423" t="s">
        <v>46</v>
      </c>
      <c r="I423" t="s">
        <v>10</v>
      </c>
      <c r="J423" t="s">
        <v>5</v>
      </c>
      <c r="K423" t="s">
        <v>29</v>
      </c>
      <c r="L423" t="s">
        <v>44</v>
      </c>
      <c r="M423" t="s">
        <v>19</v>
      </c>
      <c r="N423">
        <v>8</v>
      </c>
      <c r="O423">
        <v>6</v>
      </c>
      <c r="P423">
        <v>9713.23</v>
      </c>
      <c r="Q423">
        <v>8703.48</v>
      </c>
    </row>
    <row r="424" spans="7:17" x14ac:dyDescent="0.25">
      <c r="G424" t="str">
        <f t="shared" si="6"/>
        <v/>
      </c>
      <c r="H424" t="s">
        <v>46</v>
      </c>
      <c r="I424" t="s">
        <v>10</v>
      </c>
      <c r="J424" t="s">
        <v>5</v>
      </c>
      <c r="K424" t="s">
        <v>29</v>
      </c>
      <c r="L424" t="s">
        <v>44</v>
      </c>
      <c r="M424" t="s">
        <v>20</v>
      </c>
      <c r="N424">
        <v>42</v>
      </c>
      <c r="O424">
        <v>26</v>
      </c>
      <c r="P424">
        <v>42149.63</v>
      </c>
      <c r="Q424">
        <v>0</v>
      </c>
    </row>
    <row r="425" spans="7:17" x14ac:dyDescent="0.25">
      <c r="G425" t="str">
        <f t="shared" si="6"/>
        <v/>
      </c>
      <c r="H425" t="s">
        <v>46</v>
      </c>
      <c r="I425" t="s">
        <v>10</v>
      </c>
      <c r="J425" t="s">
        <v>5</v>
      </c>
      <c r="K425" t="s">
        <v>29</v>
      </c>
      <c r="L425" t="s">
        <v>39</v>
      </c>
      <c r="M425" t="s">
        <v>19</v>
      </c>
      <c r="N425">
        <v>2</v>
      </c>
      <c r="O425">
        <v>2</v>
      </c>
      <c r="P425">
        <v>1544.77</v>
      </c>
      <c r="Q425">
        <v>1544.77</v>
      </c>
    </row>
    <row r="426" spans="7:17" x14ac:dyDescent="0.25">
      <c r="G426" t="str">
        <f t="shared" si="6"/>
        <v/>
      </c>
      <c r="H426" t="s">
        <v>46</v>
      </c>
      <c r="I426" t="s">
        <v>10</v>
      </c>
      <c r="J426" t="s">
        <v>5</v>
      </c>
      <c r="K426" t="s">
        <v>29</v>
      </c>
      <c r="L426" t="s">
        <v>39</v>
      </c>
      <c r="M426" t="s">
        <v>20</v>
      </c>
      <c r="N426">
        <v>20</v>
      </c>
      <c r="O426">
        <v>14</v>
      </c>
      <c r="P426">
        <v>14513.060000000001</v>
      </c>
      <c r="Q426">
        <v>0</v>
      </c>
    </row>
    <row r="427" spans="7:17" x14ac:dyDescent="0.25">
      <c r="G427" t="str">
        <f t="shared" si="6"/>
        <v/>
      </c>
      <c r="H427" t="s">
        <v>46</v>
      </c>
      <c r="I427" t="s">
        <v>10</v>
      </c>
      <c r="J427" t="s">
        <v>5</v>
      </c>
      <c r="K427" t="s">
        <v>29</v>
      </c>
      <c r="L427" t="s">
        <v>40</v>
      </c>
      <c r="M427" t="s">
        <v>20</v>
      </c>
      <c r="N427">
        <v>14</v>
      </c>
      <c r="O427">
        <v>5</v>
      </c>
      <c r="P427">
        <v>11229.65</v>
      </c>
      <c r="Q427">
        <v>0</v>
      </c>
    </row>
    <row r="428" spans="7:17" x14ac:dyDescent="0.25">
      <c r="G428" t="str">
        <f t="shared" si="6"/>
        <v/>
      </c>
      <c r="H428" t="s">
        <v>46</v>
      </c>
      <c r="I428" t="s">
        <v>10</v>
      </c>
      <c r="J428" t="s">
        <v>5</v>
      </c>
      <c r="K428" t="s">
        <v>29</v>
      </c>
      <c r="L428" t="s">
        <v>41</v>
      </c>
      <c r="M428" t="s">
        <v>20</v>
      </c>
      <c r="N428">
        <v>10</v>
      </c>
      <c r="O428">
        <v>3</v>
      </c>
      <c r="P428">
        <v>20421.810000000001</v>
      </c>
      <c r="Q428">
        <v>0</v>
      </c>
    </row>
    <row r="429" spans="7:17" x14ac:dyDescent="0.25">
      <c r="G429" t="str">
        <f t="shared" si="6"/>
        <v/>
      </c>
      <c r="H429" t="s">
        <v>46</v>
      </c>
      <c r="I429" t="s">
        <v>10</v>
      </c>
      <c r="J429" t="s">
        <v>5</v>
      </c>
      <c r="K429" t="s">
        <v>29</v>
      </c>
      <c r="L429" t="s">
        <v>45</v>
      </c>
      <c r="M429" t="s">
        <v>19</v>
      </c>
      <c r="N429">
        <v>4</v>
      </c>
      <c r="O429">
        <v>1</v>
      </c>
      <c r="P429">
        <v>4336.6400000000003</v>
      </c>
      <c r="Q429">
        <v>2850</v>
      </c>
    </row>
    <row r="430" spans="7:17" x14ac:dyDescent="0.25">
      <c r="G430" t="str">
        <f t="shared" si="6"/>
        <v/>
      </c>
      <c r="H430" t="s">
        <v>46</v>
      </c>
      <c r="I430" t="s">
        <v>10</v>
      </c>
      <c r="J430" t="s">
        <v>5</v>
      </c>
      <c r="K430" t="s">
        <v>29</v>
      </c>
      <c r="L430" t="s">
        <v>45</v>
      </c>
      <c r="M430" t="s">
        <v>20</v>
      </c>
      <c r="N430">
        <v>213</v>
      </c>
      <c r="O430">
        <v>87</v>
      </c>
      <c r="P430">
        <v>178698.51000000004</v>
      </c>
      <c r="Q430">
        <v>0</v>
      </c>
    </row>
    <row r="431" spans="7:17" x14ac:dyDescent="0.25">
      <c r="G431" t="str">
        <f t="shared" si="6"/>
        <v/>
      </c>
      <c r="H431" t="s">
        <v>46</v>
      </c>
      <c r="I431" t="s">
        <v>10</v>
      </c>
      <c r="J431" t="s">
        <v>5</v>
      </c>
      <c r="K431" t="s">
        <v>30</v>
      </c>
      <c r="L431" t="s">
        <v>42</v>
      </c>
      <c r="M431" t="s">
        <v>19</v>
      </c>
      <c r="N431">
        <v>52</v>
      </c>
      <c r="O431">
        <v>9</v>
      </c>
      <c r="P431">
        <v>22601.16</v>
      </c>
      <c r="Q431">
        <v>22044.749999999996</v>
      </c>
    </row>
    <row r="432" spans="7:17" x14ac:dyDescent="0.25">
      <c r="G432" t="str">
        <f t="shared" si="6"/>
        <v/>
      </c>
      <c r="H432" t="s">
        <v>46</v>
      </c>
      <c r="I432" t="s">
        <v>10</v>
      </c>
      <c r="J432" t="s">
        <v>5</v>
      </c>
      <c r="K432" t="s">
        <v>30</v>
      </c>
      <c r="L432" t="s">
        <v>42</v>
      </c>
      <c r="M432" t="s">
        <v>20</v>
      </c>
      <c r="N432">
        <v>11</v>
      </c>
      <c r="O432">
        <v>4</v>
      </c>
      <c r="P432">
        <v>2199.69</v>
      </c>
      <c r="Q432">
        <v>0</v>
      </c>
    </row>
    <row r="433" spans="7:17" x14ac:dyDescent="0.25">
      <c r="G433" t="str">
        <f t="shared" si="6"/>
        <v/>
      </c>
      <c r="H433" t="s">
        <v>46</v>
      </c>
      <c r="I433" t="s">
        <v>10</v>
      </c>
      <c r="J433" t="s">
        <v>5</v>
      </c>
      <c r="K433" t="s">
        <v>30</v>
      </c>
      <c r="L433" t="s">
        <v>43</v>
      </c>
      <c r="M433" t="s">
        <v>20</v>
      </c>
      <c r="N433">
        <v>18</v>
      </c>
      <c r="O433">
        <v>5</v>
      </c>
      <c r="P433">
        <v>19542.050000000003</v>
      </c>
      <c r="Q433">
        <v>0</v>
      </c>
    </row>
    <row r="434" spans="7:17" x14ac:dyDescent="0.25">
      <c r="G434" t="str">
        <f t="shared" si="6"/>
        <v/>
      </c>
      <c r="H434" t="s">
        <v>46</v>
      </c>
      <c r="I434" t="s">
        <v>10</v>
      </c>
      <c r="J434" t="s">
        <v>5</v>
      </c>
      <c r="K434" t="s">
        <v>30</v>
      </c>
      <c r="L434" t="s">
        <v>44</v>
      </c>
      <c r="M434" t="s">
        <v>20</v>
      </c>
      <c r="N434">
        <v>3</v>
      </c>
      <c r="O434">
        <v>2</v>
      </c>
      <c r="P434">
        <v>1535.85</v>
      </c>
      <c r="Q434">
        <v>0</v>
      </c>
    </row>
    <row r="435" spans="7:17" x14ac:dyDescent="0.25">
      <c r="G435" t="str">
        <f t="shared" si="6"/>
        <v/>
      </c>
      <c r="H435" t="s">
        <v>46</v>
      </c>
      <c r="I435" t="s">
        <v>10</v>
      </c>
      <c r="J435" t="s">
        <v>5</v>
      </c>
      <c r="K435" t="s">
        <v>30</v>
      </c>
      <c r="L435" t="s">
        <v>39</v>
      </c>
      <c r="M435" t="s">
        <v>20</v>
      </c>
      <c r="N435">
        <v>1</v>
      </c>
      <c r="O435">
        <v>1</v>
      </c>
      <c r="P435">
        <v>1968.52</v>
      </c>
      <c r="Q435">
        <v>0</v>
      </c>
    </row>
    <row r="436" spans="7:17" x14ac:dyDescent="0.25">
      <c r="G436" t="str">
        <f t="shared" si="6"/>
        <v/>
      </c>
      <c r="H436" t="s">
        <v>46</v>
      </c>
      <c r="I436" t="s">
        <v>10</v>
      </c>
      <c r="J436" t="s">
        <v>5</v>
      </c>
      <c r="K436" t="s">
        <v>30</v>
      </c>
      <c r="L436" t="s">
        <v>41</v>
      </c>
      <c r="M436" t="s">
        <v>20</v>
      </c>
      <c r="N436">
        <v>1</v>
      </c>
      <c r="O436">
        <v>0</v>
      </c>
      <c r="P436">
        <v>342.21</v>
      </c>
      <c r="Q436">
        <v>0</v>
      </c>
    </row>
    <row r="437" spans="7:17" x14ac:dyDescent="0.25">
      <c r="G437" t="str">
        <f t="shared" si="6"/>
        <v/>
      </c>
      <c r="H437" t="s">
        <v>46</v>
      </c>
      <c r="I437" t="s">
        <v>10</v>
      </c>
      <c r="J437" t="s">
        <v>5</v>
      </c>
      <c r="K437" t="s">
        <v>30</v>
      </c>
      <c r="L437" t="s">
        <v>45</v>
      </c>
      <c r="M437" t="s">
        <v>20</v>
      </c>
      <c r="N437">
        <v>6</v>
      </c>
      <c r="O437">
        <v>3</v>
      </c>
      <c r="P437">
        <v>12730.83</v>
      </c>
      <c r="Q437">
        <v>0</v>
      </c>
    </row>
    <row r="438" spans="7:17" x14ac:dyDescent="0.25">
      <c r="G438" t="str">
        <f t="shared" si="6"/>
        <v/>
      </c>
      <c r="H438" t="s">
        <v>46</v>
      </c>
      <c r="I438" t="s">
        <v>10</v>
      </c>
      <c r="J438" t="s">
        <v>5</v>
      </c>
      <c r="K438" t="s">
        <v>32</v>
      </c>
      <c r="L438" t="s">
        <v>42</v>
      </c>
      <c r="M438" t="s">
        <v>19</v>
      </c>
      <c r="N438">
        <v>70</v>
      </c>
      <c r="O438">
        <v>9</v>
      </c>
      <c r="P438">
        <v>37650.619999999995</v>
      </c>
      <c r="Q438">
        <v>37167.55999999999</v>
      </c>
    </row>
    <row r="439" spans="7:17" x14ac:dyDescent="0.25">
      <c r="G439" t="str">
        <f t="shared" si="6"/>
        <v/>
      </c>
      <c r="H439" t="s">
        <v>46</v>
      </c>
      <c r="I439" t="s">
        <v>10</v>
      </c>
      <c r="J439" t="s">
        <v>5</v>
      </c>
      <c r="K439" t="s">
        <v>32</v>
      </c>
      <c r="L439" t="s">
        <v>42</v>
      </c>
      <c r="M439" t="s">
        <v>20</v>
      </c>
      <c r="N439">
        <v>16</v>
      </c>
      <c r="O439">
        <v>3</v>
      </c>
      <c r="P439">
        <v>7021.7999999999993</v>
      </c>
      <c r="Q439">
        <v>0</v>
      </c>
    </row>
    <row r="440" spans="7:17" x14ac:dyDescent="0.25">
      <c r="G440" t="str">
        <f t="shared" si="6"/>
        <v/>
      </c>
      <c r="H440" t="s">
        <v>46</v>
      </c>
      <c r="I440" t="s">
        <v>10</v>
      </c>
      <c r="J440" t="s">
        <v>5</v>
      </c>
      <c r="K440" t="s">
        <v>32</v>
      </c>
      <c r="L440" t="s">
        <v>43</v>
      </c>
      <c r="M440" t="s">
        <v>19</v>
      </c>
      <c r="N440">
        <v>2</v>
      </c>
      <c r="O440">
        <v>1</v>
      </c>
      <c r="P440">
        <v>832.34999999999991</v>
      </c>
      <c r="Q440">
        <v>832.34999999999991</v>
      </c>
    </row>
    <row r="441" spans="7:17" x14ac:dyDescent="0.25">
      <c r="G441" t="str">
        <f t="shared" si="6"/>
        <v/>
      </c>
      <c r="H441" t="s">
        <v>46</v>
      </c>
      <c r="I441" t="s">
        <v>10</v>
      </c>
      <c r="J441" t="s">
        <v>5</v>
      </c>
      <c r="K441" t="s">
        <v>32</v>
      </c>
      <c r="L441" t="s">
        <v>43</v>
      </c>
      <c r="M441" t="s">
        <v>20</v>
      </c>
      <c r="N441">
        <v>3</v>
      </c>
      <c r="O441">
        <v>2</v>
      </c>
      <c r="P441">
        <v>2127.39</v>
      </c>
      <c r="Q441">
        <v>0</v>
      </c>
    </row>
    <row r="442" spans="7:17" x14ac:dyDescent="0.25">
      <c r="G442" t="str">
        <f t="shared" si="6"/>
        <v/>
      </c>
      <c r="H442" t="s">
        <v>46</v>
      </c>
      <c r="I442" t="s">
        <v>10</v>
      </c>
      <c r="J442" t="s">
        <v>5</v>
      </c>
      <c r="K442" t="s">
        <v>32</v>
      </c>
      <c r="L442" t="s">
        <v>39</v>
      </c>
      <c r="M442" t="s">
        <v>20</v>
      </c>
      <c r="N442">
        <v>1</v>
      </c>
      <c r="O442">
        <v>1</v>
      </c>
      <c r="P442">
        <v>388.91</v>
      </c>
      <c r="Q442">
        <v>0</v>
      </c>
    </row>
    <row r="443" spans="7:17" x14ac:dyDescent="0.25">
      <c r="G443" t="str">
        <f t="shared" si="6"/>
        <v/>
      </c>
      <c r="H443" t="s">
        <v>46</v>
      </c>
      <c r="I443" t="s">
        <v>10</v>
      </c>
      <c r="J443" t="s">
        <v>5</v>
      </c>
      <c r="K443" t="s">
        <v>32</v>
      </c>
      <c r="L443" t="s">
        <v>41</v>
      </c>
      <c r="M443" t="s">
        <v>20</v>
      </c>
      <c r="N443">
        <v>3</v>
      </c>
      <c r="O443">
        <v>1</v>
      </c>
      <c r="P443">
        <v>3402.3</v>
      </c>
      <c r="Q443">
        <v>0</v>
      </c>
    </row>
    <row r="444" spans="7:17" x14ac:dyDescent="0.25">
      <c r="G444" t="str">
        <f t="shared" si="6"/>
        <v/>
      </c>
      <c r="H444" t="s">
        <v>46</v>
      </c>
      <c r="I444" t="s">
        <v>10</v>
      </c>
      <c r="J444" t="s">
        <v>5</v>
      </c>
      <c r="K444" t="s">
        <v>32</v>
      </c>
      <c r="L444" t="s">
        <v>45</v>
      </c>
      <c r="M444" t="s">
        <v>20</v>
      </c>
      <c r="N444">
        <v>21</v>
      </c>
      <c r="O444">
        <v>10</v>
      </c>
      <c r="P444">
        <v>20038.289999999997</v>
      </c>
      <c r="Q444">
        <v>0</v>
      </c>
    </row>
    <row r="445" spans="7:17" x14ac:dyDescent="0.25">
      <c r="G445" t="str">
        <f t="shared" si="6"/>
        <v/>
      </c>
      <c r="H445" t="s">
        <v>46</v>
      </c>
      <c r="I445" t="s">
        <v>10</v>
      </c>
      <c r="J445" t="s">
        <v>5</v>
      </c>
      <c r="K445" t="s">
        <v>33</v>
      </c>
      <c r="L445" t="s">
        <v>42</v>
      </c>
      <c r="M445" t="s">
        <v>19</v>
      </c>
      <c r="N445">
        <v>258</v>
      </c>
      <c r="O445">
        <v>98</v>
      </c>
      <c r="P445">
        <v>116477.07</v>
      </c>
      <c r="Q445">
        <v>115280.57000000002</v>
      </c>
    </row>
    <row r="446" spans="7:17" x14ac:dyDescent="0.25">
      <c r="G446" t="str">
        <f t="shared" si="6"/>
        <v/>
      </c>
      <c r="H446" t="s">
        <v>46</v>
      </c>
      <c r="I446" t="s">
        <v>10</v>
      </c>
      <c r="J446" t="s">
        <v>5</v>
      </c>
      <c r="K446" t="s">
        <v>33</v>
      </c>
      <c r="L446" t="s">
        <v>42</v>
      </c>
      <c r="M446" t="s">
        <v>20</v>
      </c>
      <c r="N446">
        <v>138</v>
      </c>
      <c r="O446">
        <v>49</v>
      </c>
      <c r="P446">
        <v>36618.009999999995</v>
      </c>
      <c r="Q446">
        <v>0</v>
      </c>
    </row>
    <row r="447" spans="7:17" x14ac:dyDescent="0.25">
      <c r="G447" t="str">
        <f t="shared" si="6"/>
        <v/>
      </c>
      <c r="H447" t="s">
        <v>46</v>
      </c>
      <c r="I447" t="s">
        <v>10</v>
      </c>
      <c r="J447" t="s">
        <v>5</v>
      </c>
      <c r="K447" t="s">
        <v>33</v>
      </c>
      <c r="L447" t="s">
        <v>43</v>
      </c>
      <c r="M447" t="s">
        <v>19</v>
      </c>
      <c r="N447">
        <v>55</v>
      </c>
      <c r="O447">
        <v>24</v>
      </c>
      <c r="P447">
        <v>38139.319999999992</v>
      </c>
      <c r="Q447">
        <v>37313.419999999991</v>
      </c>
    </row>
    <row r="448" spans="7:17" x14ac:dyDescent="0.25">
      <c r="G448" t="str">
        <f t="shared" si="6"/>
        <v/>
      </c>
      <c r="H448" t="s">
        <v>46</v>
      </c>
      <c r="I448" t="s">
        <v>10</v>
      </c>
      <c r="J448" t="s">
        <v>5</v>
      </c>
      <c r="K448" t="s">
        <v>33</v>
      </c>
      <c r="L448" t="s">
        <v>43</v>
      </c>
      <c r="M448" t="s">
        <v>20</v>
      </c>
      <c r="N448">
        <v>42</v>
      </c>
      <c r="O448">
        <v>24</v>
      </c>
      <c r="P448">
        <v>28632.42</v>
      </c>
      <c r="Q448">
        <v>0</v>
      </c>
    </row>
    <row r="449" spans="7:17" x14ac:dyDescent="0.25">
      <c r="G449" t="str">
        <f t="shared" si="6"/>
        <v/>
      </c>
      <c r="H449" t="s">
        <v>46</v>
      </c>
      <c r="I449" t="s">
        <v>10</v>
      </c>
      <c r="J449" t="s">
        <v>5</v>
      </c>
      <c r="K449" t="s">
        <v>33</v>
      </c>
      <c r="L449" t="s">
        <v>44</v>
      </c>
      <c r="M449" t="s">
        <v>19</v>
      </c>
      <c r="N449">
        <v>14</v>
      </c>
      <c r="O449">
        <v>5</v>
      </c>
      <c r="P449">
        <v>12805.310000000001</v>
      </c>
      <c r="Q449">
        <v>12657.93</v>
      </c>
    </row>
    <row r="450" spans="7:17" x14ac:dyDescent="0.25">
      <c r="G450" t="str">
        <f t="shared" ref="G450:G513" si="7">IF(G$1="Overall","Overall",IF(G$1=L450,L450,""))</f>
        <v/>
      </c>
      <c r="H450" t="s">
        <v>46</v>
      </c>
      <c r="I450" t="s">
        <v>10</v>
      </c>
      <c r="J450" t="s">
        <v>5</v>
      </c>
      <c r="K450" t="s">
        <v>33</v>
      </c>
      <c r="L450" t="s">
        <v>44</v>
      </c>
      <c r="M450" t="s">
        <v>20</v>
      </c>
      <c r="N450">
        <v>63</v>
      </c>
      <c r="O450">
        <v>15</v>
      </c>
      <c r="P450">
        <v>50098.36</v>
      </c>
      <c r="Q450">
        <v>0</v>
      </c>
    </row>
    <row r="451" spans="7:17" x14ac:dyDescent="0.25">
      <c r="G451" t="str">
        <f t="shared" si="7"/>
        <v/>
      </c>
      <c r="H451" t="s">
        <v>46</v>
      </c>
      <c r="I451" t="s">
        <v>10</v>
      </c>
      <c r="J451" t="s">
        <v>5</v>
      </c>
      <c r="K451" t="s">
        <v>33</v>
      </c>
      <c r="L451" t="s">
        <v>39</v>
      </c>
      <c r="M451" t="s">
        <v>19</v>
      </c>
      <c r="N451">
        <v>2</v>
      </c>
      <c r="O451">
        <v>2</v>
      </c>
      <c r="P451">
        <v>1229.8599999999999</v>
      </c>
      <c r="Q451">
        <v>1229.8600000000001</v>
      </c>
    </row>
    <row r="452" spans="7:17" x14ac:dyDescent="0.25">
      <c r="G452" t="str">
        <f t="shared" si="7"/>
        <v/>
      </c>
      <c r="H452" t="s">
        <v>46</v>
      </c>
      <c r="I452" t="s">
        <v>10</v>
      </c>
      <c r="J452" t="s">
        <v>5</v>
      </c>
      <c r="K452" t="s">
        <v>33</v>
      </c>
      <c r="L452" t="s">
        <v>39</v>
      </c>
      <c r="M452" t="s">
        <v>20</v>
      </c>
      <c r="N452">
        <v>26</v>
      </c>
      <c r="O452">
        <v>14</v>
      </c>
      <c r="P452">
        <v>26300.699999999997</v>
      </c>
      <c r="Q452">
        <v>0</v>
      </c>
    </row>
    <row r="453" spans="7:17" x14ac:dyDescent="0.25">
      <c r="G453" t="str">
        <f t="shared" si="7"/>
        <v/>
      </c>
      <c r="H453" t="s">
        <v>46</v>
      </c>
      <c r="I453" t="s">
        <v>10</v>
      </c>
      <c r="J453" t="s">
        <v>5</v>
      </c>
      <c r="K453" t="s">
        <v>33</v>
      </c>
      <c r="L453" t="s">
        <v>40</v>
      </c>
      <c r="M453" t="s">
        <v>19</v>
      </c>
      <c r="N453">
        <v>2</v>
      </c>
      <c r="O453">
        <v>0</v>
      </c>
      <c r="P453">
        <v>1739.01</v>
      </c>
      <c r="Q453">
        <v>1088.73</v>
      </c>
    </row>
    <row r="454" spans="7:17" x14ac:dyDescent="0.25">
      <c r="G454" t="str">
        <f t="shared" si="7"/>
        <v/>
      </c>
      <c r="H454" t="s">
        <v>46</v>
      </c>
      <c r="I454" t="s">
        <v>10</v>
      </c>
      <c r="J454" t="s">
        <v>5</v>
      </c>
      <c r="K454" t="s">
        <v>33</v>
      </c>
      <c r="L454" t="s">
        <v>40</v>
      </c>
      <c r="M454" t="s">
        <v>20</v>
      </c>
      <c r="N454">
        <v>8</v>
      </c>
      <c r="O454">
        <v>1</v>
      </c>
      <c r="P454">
        <v>3595.2299999999996</v>
      </c>
      <c r="Q454">
        <v>0</v>
      </c>
    </row>
    <row r="455" spans="7:17" x14ac:dyDescent="0.25">
      <c r="G455" t="str">
        <f t="shared" si="7"/>
        <v/>
      </c>
      <c r="H455" t="s">
        <v>46</v>
      </c>
      <c r="I455" t="s">
        <v>10</v>
      </c>
      <c r="J455" t="s">
        <v>5</v>
      </c>
      <c r="K455" t="s">
        <v>33</v>
      </c>
      <c r="L455" t="s">
        <v>41</v>
      </c>
      <c r="M455" t="s">
        <v>20</v>
      </c>
      <c r="N455">
        <v>16</v>
      </c>
      <c r="O455">
        <v>7</v>
      </c>
      <c r="P455">
        <v>13643.69</v>
      </c>
      <c r="Q455">
        <v>0</v>
      </c>
    </row>
    <row r="456" spans="7:17" x14ac:dyDescent="0.25">
      <c r="G456" t="str">
        <f t="shared" si="7"/>
        <v/>
      </c>
      <c r="H456" t="s">
        <v>46</v>
      </c>
      <c r="I456" t="s">
        <v>10</v>
      </c>
      <c r="J456" t="s">
        <v>5</v>
      </c>
      <c r="K456" t="s">
        <v>33</v>
      </c>
      <c r="L456" t="s">
        <v>45</v>
      </c>
      <c r="M456" t="s">
        <v>19</v>
      </c>
      <c r="N456">
        <v>1</v>
      </c>
      <c r="O456">
        <v>1</v>
      </c>
      <c r="P456">
        <v>726.3</v>
      </c>
      <c r="Q456">
        <v>545.25</v>
      </c>
    </row>
    <row r="457" spans="7:17" x14ac:dyDescent="0.25">
      <c r="G457" t="str">
        <f t="shared" si="7"/>
        <v/>
      </c>
      <c r="H457" t="s">
        <v>46</v>
      </c>
      <c r="I457" t="s">
        <v>10</v>
      </c>
      <c r="J457" t="s">
        <v>5</v>
      </c>
      <c r="K457" t="s">
        <v>33</v>
      </c>
      <c r="L457" t="s">
        <v>45</v>
      </c>
      <c r="M457" t="s">
        <v>20</v>
      </c>
      <c r="N457">
        <v>82</v>
      </c>
      <c r="O457">
        <v>37</v>
      </c>
      <c r="P457">
        <v>71157.16</v>
      </c>
      <c r="Q457">
        <v>0</v>
      </c>
    </row>
    <row r="458" spans="7:17" x14ac:dyDescent="0.25">
      <c r="G458" t="str">
        <f t="shared" si="7"/>
        <v/>
      </c>
      <c r="H458" t="s">
        <v>46</v>
      </c>
      <c r="I458" t="s">
        <v>10</v>
      </c>
      <c r="J458" t="s">
        <v>5</v>
      </c>
      <c r="K458" t="s">
        <v>34</v>
      </c>
      <c r="L458" t="s">
        <v>42</v>
      </c>
      <c r="M458" t="s">
        <v>19</v>
      </c>
      <c r="N458">
        <v>145</v>
      </c>
      <c r="O458">
        <v>38</v>
      </c>
      <c r="P458">
        <v>66082.029999999984</v>
      </c>
      <c r="Q458">
        <v>65453.569999999985</v>
      </c>
    </row>
    <row r="459" spans="7:17" x14ac:dyDescent="0.25">
      <c r="G459" t="str">
        <f t="shared" si="7"/>
        <v/>
      </c>
      <c r="H459" t="s">
        <v>46</v>
      </c>
      <c r="I459" t="s">
        <v>10</v>
      </c>
      <c r="J459" t="s">
        <v>5</v>
      </c>
      <c r="K459" t="s">
        <v>34</v>
      </c>
      <c r="L459" t="s">
        <v>42</v>
      </c>
      <c r="M459" t="s">
        <v>20</v>
      </c>
      <c r="N459">
        <v>73</v>
      </c>
      <c r="O459">
        <v>31</v>
      </c>
      <c r="P459">
        <v>20073.5</v>
      </c>
      <c r="Q459">
        <v>0</v>
      </c>
    </row>
    <row r="460" spans="7:17" x14ac:dyDescent="0.25">
      <c r="G460" t="str">
        <f t="shared" si="7"/>
        <v/>
      </c>
      <c r="H460" t="s">
        <v>46</v>
      </c>
      <c r="I460" t="s">
        <v>10</v>
      </c>
      <c r="J460" t="s">
        <v>5</v>
      </c>
      <c r="K460" t="s">
        <v>34</v>
      </c>
      <c r="L460" t="s">
        <v>43</v>
      </c>
      <c r="M460" t="s">
        <v>19</v>
      </c>
      <c r="N460">
        <v>17</v>
      </c>
      <c r="O460">
        <v>6</v>
      </c>
      <c r="P460">
        <v>11606.570000000002</v>
      </c>
      <c r="Q460">
        <v>9974.4800000000014</v>
      </c>
    </row>
    <row r="461" spans="7:17" x14ac:dyDescent="0.25">
      <c r="G461" t="str">
        <f t="shared" si="7"/>
        <v/>
      </c>
      <c r="H461" t="s">
        <v>46</v>
      </c>
      <c r="I461" t="s">
        <v>10</v>
      </c>
      <c r="J461" t="s">
        <v>5</v>
      </c>
      <c r="K461" t="s">
        <v>34</v>
      </c>
      <c r="L461" t="s">
        <v>43</v>
      </c>
      <c r="M461" t="s">
        <v>20</v>
      </c>
      <c r="N461">
        <v>26</v>
      </c>
      <c r="O461">
        <v>11</v>
      </c>
      <c r="P461">
        <v>18191.190000000002</v>
      </c>
      <c r="Q461">
        <v>0</v>
      </c>
    </row>
    <row r="462" spans="7:17" x14ac:dyDescent="0.25">
      <c r="G462" t="str">
        <f t="shared" si="7"/>
        <v/>
      </c>
      <c r="H462" t="s">
        <v>46</v>
      </c>
      <c r="I462" t="s">
        <v>10</v>
      </c>
      <c r="J462" t="s">
        <v>5</v>
      </c>
      <c r="K462" t="s">
        <v>34</v>
      </c>
      <c r="L462" t="s">
        <v>44</v>
      </c>
      <c r="M462" t="s">
        <v>19</v>
      </c>
      <c r="N462">
        <v>10</v>
      </c>
      <c r="O462">
        <v>6</v>
      </c>
      <c r="P462">
        <v>11115.570000000002</v>
      </c>
      <c r="Q462">
        <v>7477.9400000000005</v>
      </c>
    </row>
    <row r="463" spans="7:17" x14ac:dyDescent="0.25">
      <c r="G463" t="str">
        <f t="shared" si="7"/>
        <v/>
      </c>
      <c r="H463" t="s">
        <v>46</v>
      </c>
      <c r="I463" t="s">
        <v>10</v>
      </c>
      <c r="J463" t="s">
        <v>5</v>
      </c>
      <c r="K463" t="s">
        <v>34</v>
      </c>
      <c r="L463" t="s">
        <v>44</v>
      </c>
      <c r="M463" t="s">
        <v>20</v>
      </c>
      <c r="N463">
        <v>10</v>
      </c>
      <c r="O463">
        <v>5</v>
      </c>
      <c r="P463">
        <v>8258.2999999999993</v>
      </c>
      <c r="Q463">
        <v>0</v>
      </c>
    </row>
    <row r="464" spans="7:17" x14ac:dyDescent="0.25">
      <c r="G464" t="str">
        <f t="shared" si="7"/>
        <v/>
      </c>
      <c r="H464" t="s">
        <v>46</v>
      </c>
      <c r="I464" t="s">
        <v>10</v>
      </c>
      <c r="J464" t="s">
        <v>5</v>
      </c>
      <c r="K464" t="s">
        <v>34</v>
      </c>
      <c r="L464" t="s">
        <v>39</v>
      </c>
      <c r="M464" t="s">
        <v>19</v>
      </c>
      <c r="N464">
        <v>4</v>
      </c>
      <c r="O464">
        <v>2</v>
      </c>
      <c r="P464">
        <v>1931.12</v>
      </c>
      <c r="Q464">
        <v>1931.12</v>
      </c>
    </row>
    <row r="465" spans="7:17" x14ac:dyDescent="0.25">
      <c r="G465" t="str">
        <f t="shared" si="7"/>
        <v/>
      </c>
      <c r="H465" t="s">
        <v>46</v>
      </c>
      <c r="I465" t="s">
        <v>10</v>
      </c>
      <c r="J465" t="s">
        <v>5</v>
      </c>
      <c r="K465" t="s">
        <v>34</v>
      </c>
      <c r="L465" t="s">
        <v>39</v>
      </c>
      <c r="M465" t="s">
        <v>20</v>
      </c>
      <c r="N465">
        <v>4</v>
      </c>
      <c r="O465">
        <v>4</v>
      </c>
      <c r="P465">
        <v>2405.2599999999998</v>
      </c>
      <c r="Q465">
        <v>0</v>
      </c>
    </row>
    <row r="466" spans="7:17" x14ac:dyDescent="0.25">
      <c r="G466" t="str">
        <f t="shared" si="7"/>
        <v/>
      </c>
      <c r="H466" t="s">
        <v>46</v>
      </c>
      <c r="I466" t="s">
        <v>10</v>
      </c>
      <c r="J466" t="s">
        <v>5</v>
      </c>
      <c r="K466" t="s">
        <v>34</v>
      </c>
      <c r="L466" t="s">
        <v>40</v>
      </c>
      <c r="M466" t="s">
        <v>20</v>
      </c>
      <c r="N466">
        <v>3</v>
      </c>
      <c r="O466">
        <v>2</v>
      </c>
      <c r="P466">
        <v>1747.1599999999999</v>
      </c>
      <c r="Q466">
        <v>0</v>
      </c>
    </row>
    <row r="467" spans="7:17" x14ac:dyDescent="0.25">
      <c r="G467" t="str">
        <f t="shared" si="7"/>
        <v/>
      </c>
      <c r="H467" t="s">
        <v>46</v>
      </c>
      <c r="I467" t="s">
        <v>10</v>
      </c>
      <c r="J467" t="s">
        <v>5</v>
      </c>
      <c r="K467" t="s">
        <v>34</v>
      </c>
      <c r="L467" t="s">
        <v>41</v>
      </c>
      <c r="M467" t="s">
        <v>20</v>
      </c>
      <c r="N467">
        <v>5</v>
      </c>
      <c r="O467">
        <v>1</v>
      </c>
      <c r="P467">
        <v>2798.34</v>
      </c>
      <c r="Q467">
        <v>0</v>
      </c>
    </row>
    <row r="468" spans="7:17" x14ac:dyDescent="0.25">
      <c r="G468" t="str">
        <f t="shared" si="7"/>
        <v/>
      </c>
      <c r="H468" t="s">
        <v>46</v>
      </c>
      <c r="I468" t="s">
        <v>10</v>
      </c>
      <c r="J468" t="s">
        <v>5</v>
      </c>
      <c r="K468" t="s">
        <v>34</v>
      </c>
      <c r="L468" t="s">
        <v>45</v>
      </c>
      <c r="M468" t="s">
        <v>19</v>
      </c>
      <c r="N468">
        <v>1</v>
      </c>
      <c r="O468">
        <v>1</v>
      </c>
      <c r="P468">
        <v>455.79</v>
      </c>
      <c r="Q468">
        <v>455.79</v>
      </c>
    </row>
    <row r="469" spans="7:17" x14ac:dyDescent="0.25">
      <c r="G469" t="str">
        <f t="shared" si="7"/>
        <v/>
      </c>
      <c r="H469" t="s">
        <v>46</v>
      </c>
      <c r="I469" t="s">
        <v>10</v>
      </c>
      <c r="J469" t="s">
        <v>5</v>
      </c>
      <c r="K469" t="s">
        <v>34</v>
      </c>
      <c r="L469" t="s">
        <v>45</v>
      </c>
      <c r="M469" t="s">
        <v>20</v>
      </c>
      <c r="N469">
        <v>51</v>
      </c>
      <c r="O469">
        <v>30</v>
      </c>
      <c r="P469">
        <v>24527.860000000004</v>
      </c>
      <c r="Q469">
        <v>0</v>
      </c>
    </row>
    <row r="470" spans="7:17" x14ac:dyDescent="0.25">
      <c r="G470" t="str">
        <f t="shared" si="7"/>
        <v/>
      </c>
      <c r="H470" t="s">
        <v>46</v>
      </c>
      <c r="I470" t="s">
        <v>10</v>
      </c>
      <c r="J470" t="s">
        <v>5</v>
      </c>
      <c r="K470" t="s">
        <v>35</v>
      </c>
      <c r="L470" t="s">
        <v>42</v>
      </c>
      <c r="M470" t="s">
        <v>19</v>
      </c>
      <c r="N470">
        <v>380</v>
      </c>
      <c r="O470">
        <v>153</v>
      </c>
      <c r="P470">
        <v>175331.31000000023</v>
      </c>
      <c r="Q470">
        <v>173843.94000000021</v>
      </c>
    </row>
    <row r="471" spans="7:17" x14ac:dyDescent="0.25">
      <c r="G471" t="str">
        <f t="shared" si="7"/>
        <v/>
      </c>
      <c r="H471" t="s">
        <v>46</v>
      </c>
      <c r="I471" t="s">
        <v>10</v>
      </c>
      <c r="J471" t="s">
        <v>5</v>
      </c>
      <c r="K471" t="s">
        <v>35</v>
      </c>
      <c r="L471" t="s">
        <v>42</v>
      </c>
      <c r="M471" t="s">
        <v>20</v>
      </c>
      <c r="N471">
        <v>210</v>
      </c>
      <c r="O471">
        <v>89</v>
      </c>
      <c r="P471">
        <v>60107.989999999991</v>
      </c>
      <c r="Q471">
        <v>0</v>
      </c>
    </row>
    <row r="472" spans="7:17" x14ac:dyDescent="0.25">
      <c r="G472" t="str">
        <f t="shared" si="7"/>
        <v/>
      </c>
      <c r="H472" t="s">
        <v>46</v>
      </c>
      <c r="I472" t="s">
        <v>10</v>
      </c>
      <c r="J472" t="s">
        <v>5</v>
      </c>
      <c r="K472" t="s">
        <v>35</v>
      </c>
      <c r="L472" t="s">
        <v>43</v>
      </c>
      <c r="M472" t="s">
        <v>19</v>
      </c>
      <c r="N472">
        <v>34</v>
      </c>
      <c r="O472">
        <v>23</v>
      </c>
      <c r="P472">
        <v>27750.149999999998</v>
      </c>
      <c r="Q472">
        <v>24284.2</v>
      </c>
    </row>
    <row r="473" spans="7:17" x14ac:dyDescent="0.25">
      <c r="G473" t="str">
        <f t="shared" si="7"/>
        <v/>
      </c>
      <c r="H473" t="s">
        <v>46</v>
      </c>
      <c r="I473" t="s">
        <v>10</v>
      </c>
      <c r="J473" t="s">
        <v>5</v>
      </c>
      <c r="K473" t="s">
        <v>35</v>
      </c>
      <c r="L473" t="s">
        <v>43</v>
      </c>
      <c r="M473" t="s">
        <v>20</v>
      </c>
      <c r="N473">
        <v>63</v>
      </c>
      <c r="O473">
        <v>30</v>
      </c>
      <c r="P473">
        <v>43095.519999999982</v>
      </c>
      <c r="Q473">
        <v>0</v>
      </c>
    </row>
    <row r="474" spans="7:17" x14ac:dyDescent="0.25">
      <c r="G474" t="str">
        <f t="shared" si="7"/>
        <v/>
      </c>
      <c r="H474" t="s">
        <v>46</v>
      </c>
      <c r="I474" t="s">
        <v>10</v>
      </c>
      <c r="J474" t="s">
        <v>5</v>
      </c>
      <c r="K474" t="s">
        <v>35</v>
      </c>
      <c r="L474" t="s">
        <v>44</v>
      </c>
      <c r="M474" t="s">
        <v>19</v>
      </c>
      <c r="N474">
        <v>20</v>
      </c>
      <c r="O474">
        <v>12</v>
      </c>
      <c r="P474">
        <v>79648.079999999973</v>
      </c>
      <c r="Q474">
        <v>31073.309999999998</v>
      </c>
    </row>
    <row r="475" spans="7:17" x14ac:dyDescent="0.25">
      <c r="G475" t="str">
        <f t="shared" si="7"/>
        <v/>
      </c>
      <c r="H475" t="s">
        <v>46</v>
      </c>
      <c r="I475" t="s">
        <v>10</v>
      </c>
      <c r="J475" t="s">
        <v>5</v>
      </c>
      <c r="K475" t="s">
        <v>35</v>
      </c>
      <c r="L475" t="s">
        <v>44</v>
      </c>
      <c r="M475" t="s">
        <v>20</v>
      </c>
      <c r="N475">
        <v>33</v>
      </c>
      <c r="O475">
        <v>20</v>
      </c>
      <c r="P475">
        <v>22631.100000000002</v>
      </c>
      <c r="Q475">
        <v>0</v>
      </c>
    </row>
    <row r="476" spans="7:17" x14ac:dyDescent="0.25">
      <c r="G476" t="str">
        <f t="shared" si="7"/>
        <v/>
      </c>
      <c r="H476" t="s">
        <v>46</v>
      </c>
      <c r="I476" t="s">
        <v>10</v>
      </c>
      <c r="J476" t="s">
        <v>5</v>
      </c>
      <c r="K476" t="s">
        <v>36</v>
      </c>
      <c r="L476" t="s">
        <v>42</v>
      </c>
      <c r="M476" t="s">
        <v>19</v>
      </c>
      <c r="N476">
        <v>523</v>
      </c>
      <c r="O476">
        <v>171</v>
      </c>
      <c r="P476">
        <v>233921.62000000034</v>
      </c>
      <c r="Q476">
        <v>231452.27000000037</v>
      </c>
    </row>
    <row r="477" spans="7:17" x14ac:dyDescent="0.25">
      <c r="G477" t="str">
        <f t="shared" si="7"/>
        <v/>
      </c>
      <c r="H477" t="s">
        <v>46</v>
      </c>
      <c r="I477" t="s">
        <v>10</v>
      </c>
      <c r="J477" t="s">
        <v>5</v>
      </c>
      <c r="K477" t="s">
        <v>36</v>
      </c>
      <c r="L477" t="s">
        <v>42</v>
      </c>
      <c r="M477" t="s">
        <v>20</v>
      </c>
      <c r="N477">
        <v>247</v>
      </c>
      <c r="O477">
        <v>79</v>
      </c>
      <c r="P477">
        <v>73760.139999999941</v>
      </c>
      <c r="Q477">
        <v>0</v>
      </c>
    </row>
    <row r="478" spans="7:17" x14ac:dyDescent="0.25">
      <c r="G478" t="str">
        <f t="shared" si="7"/>
        <v/>
      </c>
      <c r="H478" t="s">
        <v>46</v>
      </c>
      <c r="I478" t="s">
        <v>10</v>
      </c>
      <c r="J478" t="s">
        <v>5</v>
      </c>
      <c r="K478" t="s">
        <v>36</v>
      </c>
      <c r="L478" t="s">
        <v>43</v>
      </c>
      <c r="M478" t="s">
        <v>19</v>
      </c>
      <c r="N478">
        <v>47</v>
      </c>
      <c r="O478">
        <v>36</v>
      </c>
      <c r="P478">
        <v>37687.97</v>
      </c>
      <c r="Q478">
        <v>34480.35</v>
      </c>
    </row>
    <row r="479" spans="7:17" x14ac:dyDescent="0.25">
      <c r="G479" t="str">
        <f t="shared" si="7"/>
        <v/>
      </c>
      <c r="H479" t="s">
        <v>46</v>
      </c>
      <c r="I479" t="s">
        <v>10</v>
      </c>
      <c r="J479" t="s">
        <v>5</v>
      </c>
      <c r="K479" t="s">
        <v>36</v>
      </c>
      <c r="L479" t="s">
        <v>43</v>
      </c>
      <c r="M479" t="s">
        <v>20</v>
      </c>
      <c r="N479">
        <v>87</v>
      </c>
      <c r="O479">
        <v>29</v>
      </c>
      <c r="P479">
        <v>58295.920000000056</v>
      </c>
      <c r="Q479">
        <v>0</v>
      </c>
    </row>
    <row r="480" spans="7:17" x14ac:dyDescent="0.25">
      <c r="G480" t="str">
        <f t="shared" si="7"/>
        <v/>
      </c>
      <c r="H480" t="s">
        <v>46</v>
      </c>
      <c r="I480" t="s">
        <v>10</v>
      </c>
      <c r="J480" t="s">
        <v>5</v>
      </c>
      <c r="K480" t="s">
        <v>36</v>
      </c>
      <c r="L480" t="s">
        <v>44</v>
      </c>
      <c r="M480" t="s">
        <v>19</v>
      </c>
      <c r="N480">
        <v>20</v>
      </c>
      <c r="O480">
        <v>19</v>
      </c>
      <c r="P480">
        <v>19325.999999999996</v>
      </c>
      <c r="Q480">
        <v>10899.970000000001</v>
      </c>
    </row>
    <row r="481" spans="7:17" x14ac:dyDescent="0.25">
      <c r="G481" t="str">
        <f t="shared" si="7"/>
        <v/>
      </c>
      <c r="H481" t="s">
        <v>46</v>
      </c>
      <c r="I481" t="s">
        <v>10</v>
      </c>
      <c r="J481" t="s">
        <v>5</v>
      </c>
      <c r="K481" t="s">
        <v>36</v>
      </c>
      <c r="L481" t="s">
        <v>44</v>
      </c>
      <c r="M481" t="s">
        <v>20</v>
      </c>
      <c r="N481">
        <v>47</v>
      </c>
      <c r="O481">
        <v>25</v>
      </c>
      <c r="P481">
        <v>45995.979999999996</v>
      </c>
      <c r="Q481">
        <v>0</v>
      </c>
    </row>
    <row r="482" spans="7:17" x14ac:dyDescent="0.25">
      <c r="G482" t="str">
        <f t="shared" si="7"/>
        <v/>
      </c>
      <c r="H482" t="s">
        <v>46</v>
      </c>
      <c r="I482" t="s">
        <v>10</v>
      </c>
      <c r="J482" t="s">
        <v>5</v>
      </c>
      <c r="K482" t="s">
        <v>36</v>
      </c>
      <c r="L482" t="s">
        <v>39</v>
      </c>
      <c r="M482" t="s">
        <v>19</v>
      </c>
      <c r="N482">
        <v>1</v>
      </c>
      <c r="O482">
        <v>1</v>
      </c>
      <c r="P482">
        <v>853.01</v>
      </c>
      <c r="Q482">
        <v>850</v>
      </c>
    </row>
    <row r="483" spans="7:17" x14ac:dyDescent="0.25">
      <c r="G483" t="str">
        <f t="shared" si="7"/>
        <v/>
      </c>
      <c r="H483" t="s">
        <v>46</v>
      </c>
      <c r="I483" t="s">
        <v>10</v>
      </c>
      <c r="J483" t="s">
        <v>5</v>
      </c>
      <c r="K483" t="s">
        <v>36</v>
      </c>
      <c r="L483" t="s">
        <v>39</v>
      </c>
      <c r="M483" t="s">
        <v>20</v>
      </c>
      <c r="N483">
        <v>16</v>
      </c>
      <c r="O483">
        <v>12</v>
      </c>
      <c r="P483">
        <v>13655.690000000002</v>
      </c>
      <c r="Q483">
        <v>0</v>
      </c>
    </row>
    <row r="484" spans="7:17" x14ac:dyDescent="0.25">
      <c r="G484" t="str">
        <f t="shared" si="7"/>
        <v/>
      </c>
      <c r="H484" t="s">
        <v>46</v>
      </c>
      <c r="I484" t="s">
        <v>10</v>
      </c>
      <c r="J484" t="s">
        <v>5</v>
      </c>
      <c r="K484" t="s">
        <v>36</v>
      </c>
      <c r="L484" t="s">
        <v>40</v>
      </c>
      <c r="M484" t="s">
        <v>19</v>
      </c>
      <c r="N484">
        <v>2</v>
      </c>
      <c r="O484">
        <v>0</v>
      </c>
      <c r="P484">
        <v>2755.68</v>
      </c>
      <c r="Q484">
        <v>1053.49</v>
      </c>
    </row>
    <row r="485" spans="7:17" x14ac:dyDescent="0.25">
      <c r="G485" t="str">
        <f t="shared" si="7"/>
        <v/>
      </c>
      <c r="H485" t="s">
        <v>46</v>
      </c>
      <c r="I485" t="s">
        <v>10</v>
      </c>
      <c r="J485" t="s">
        <v>5</v>
      </c>
      <c r="K485" t="s">
        <v>36</v>
      </c>
      <c r="L485" t="s">
        <v>40</v>
      </c>
      <c r="M485" t="s">
        <v>20</v>
      </c>
      <c r="N485">
        <v>7</v>
      </c>
      <c r="O485">
        <v>5</v>
      </c>
      <c r="P485">
        <v>4373.119999999999</v>
      </c>
      <c r="Q485">
        <v>0</v>
      </c>
    </row>
    <row r="486" spans="7:17" x14ac:dyDescent="0.25">
      <c r="G486" t="str">
        <f t="shared" si="7"/>
        <v/>
      </c>
      <c r="H486" t="s">
        <v>46</v>
      </c>
      <c r="I486" t="s">
        <v>10</v>
      </c>
      <c r="J486" t="s">
        <v>5</v>
      </c>
      <c r="K486" t="s">
        <v>36</v>
      </c>
      <c r="L486" t="s">
        <v>41</v>
      </c>
      <c r="M486" t="s">
        <v>20</v>
      </c>
      <c r="N486">
        <v>10</v>
      </c>
      <c r="O486">
        <v>2</v>
      </c>
      <c r="P486">
        <v>8018.5</v>
      </c>
      <c r="Q486">
        <v>0</v>
      </c>
    </row>
    <row r="487" spans="7:17" x14ac:dyDescent="0.25">
      <c r="G487" t="str">
        <f t="shared" si="7"/>
        <v/>
      </c>
      <c r="H487" t="s">
        <v>46</v>
      </c>
      <c r="I487" t="s">
        <v>10</v>
      </c>
      <c r="J487" t="s">
        <v>5</v>
      </c>
      <c r="K487" t="s">
        <v>36</v>
      </c>
      <c r="L487" t="s">
        <v>45</v>
      </c>
      <c r="M487" t="s">
        <v>19</v>
      </c>
      <c r="N487">
        <v>3</v>
      </c>
      <c r="O487">
        <v>2</v>
      </c>
      <c r="P487">
        <v>1236.29</v>
      </c>
      <c r="Q487">
        <v>339.79999999999995</v>
      </c>
    </row>
    <row r="488" spans="7:17" x14ac:dyDescent="0.25">
      <c r="G488" t="str">
        <f t="shared" si="7"/>
        <v/>
      </c>
      <c r="H488" t="s">
        <v>46</v>
      </c>
      <c r="I488" t="s">
        <v>10</v>
      </c>
      <c r="J488" t="s">
        <v>5</v>
      </c>
      <c r="K488" t="s">
        <v>36</v>
      </c>
      <c r="L488" t="s">
        <v>45</v>
      </c>
      <c r="M488" t="s">
        <v>20</v>
      </c>
      <c r="N488">
        <v>111</v>
      </c>
      <c r="O488">
        <v>45</v>
      </c>
      <c r="P488">
        <v>74919.970000000016</v>
      </c>
      <c r="Q488">
        <v>0</v>
      </c>
    </row>
    <row r="489" spans="7:17" x14ac:dyDescent="0.25">
      <c r="G489" t="str">
        <f t="shared" si="7"/>
        <v/>
      </c>
      <c r="H489" t="s">
        <v>46</v>
      </c>
      <c r="I489" t="s">
        <v>10</v>
      </c>
      <c r="J489" t="s">
        <v>5</v>
      </c>
      <c r="K489" t="s">
        <v>37</v>
      </c>
      <c r="L489" t="s">
        <v>42</v>
      </c>
      <c r="M489" t="s">
        <v>19</v>
      </c>
      <c r="N489">
        <v>359</v>
      </c>
      <c r="O489">
        <v>132</v>
      </c>
      <c r="P489">
        <v>162876.81999999995</v>
      </c>
      <c r="Q489">
        <v>160078.34999999995</v>
      </c>
    </row>
    <row r="490" spans="7:17" x14ac:dyDescent="0.25">
      <c r="G490" t="str">
        <f t="shared" si="7"/>
        <v/>
      </c>
      <c r="H490" t="s">
        <v>46</v>
      </c>
      <c r="I490" t="s">
        <v>10</v>
      </c>
      <c r="J490" t="s">
        <v>5</v>
      </c>
      <c r="K490" t="s">
        <v>37</v>
      </c>
      <c r="L490" t="s">
        <v>42</v>
      </c>
      <c r="M490" t="s">
        <v>20</v>
      </c>
      <c r="N490">
        <v>135</v>
      </c>
      <c r="O490">
        <v>59</v>
      </c>
      <c r="P490">
        <v>36553.810000000005</v>
      </c>
      <c r="Q490">
        <v>0</v>
      </c>
    </row>
    <row r="491" spans="7:17" x14ac:dyDescent="0.25">
      <c r="G491" t="str">
        <f t="shared" si="7"/>
        <v/>
      </c>
      <c r="H491" t="s">
        <v>46</v>
      </c>
      <c r="I491" t="s">
        <v>10</v>
      </c>
      <c r="J491" t="s">
        <v>5</v>
      </c>
      <c r="K491" t="s">
        <v>37</v>
      </c>
      <c r="L491" t="s">
        <v>43</v>
      </c>
      <c r="M491" t="s">
        <v>19</v>
      </c>
      <c r="N491">
        <v>40</v>
      </c>
      <c r="O491">
        <v>27</v>
      </c>
      <c r="P491">
        <v>30782.039999999994</v>
      </c>
      <c r="Q491">
        <v>29114.089999999997</v>
      </c>
    </row>
    <row r="492" spans="7:17" x14ac:dyDescent="0.25">
      <c r="G492" t="str">
        <f t="shared" si="7"/>
        <v/>
      </c>
      <c r="H492" t="s">
        <v>46</v>
      </c>
      <c r="I492" t="s">
        <v>10</v>
      </c>
      <c r="J492" t="s">
        <v>5</v>
      </c>
      <c r="K492" t="s">
        <v>37</v>
      </c>
      <c r="L492" t="s">
        <v>43</v>
      </c>
      <c r="M492" t="s">
        <v>20</v>
      </c>
      <c r="N492">
        <v>26</v>
      </c>
      <c r="O492">
        <v>18</v>
      </c>
      <c r="P492">
        <v>17367.89</v>
      </c>
      <c r="Q492">
        <v>0</v>
      </c>
    </row>
    <row r="493" spans="7:17" x14ac:dyDescent="0.25">
      <c r="G493" t="str">
        <f t="shared" si="7"/>
        <v/>
      </c>
      <c r="H493" t="s">
        <v>46</v>
      </c>
      <c r="I493" t="s">
        <v>10</v>
      </c>
      <c r="J493" t="s">
        <v>5</v>
      </c>
      <c r="K493" t="s">
        <v>37</v>
      </c>
      <c r="L493" t="s">
        <v>44</v>
      </c>
      <c r="M493" t="s">
        <v>19</v>
      </c>
      <c r="N493">
        <v>8</v>
      </c>
      <c r="O493">
        <v>7</v>
      </c>
      <c r="P493">
        <v>16215.51</v>
      </c>
      <c r="Q493">
        <v>14130.34</v>
      </c>
    </row>
    <row r="494" spans="7:17" x14ac:dyDescent="0.25">
      <c r="G494" t="str">
        <f t="shared" si="7"/>
        <v/>
      </c>
      <c r="H494" t="s">
        <v>46</v>
      </c>
      <c r="I494" t="s">
        <v>10</v>
      </c>
      <c r="J494" t="s">
        <v>5</v>
      </c>
      <c r="K494" t="s">
        <v>37</v>
      </c>
      <c r="L494" t="s">
        <v>44</v>
      </c>
      <c r="M494" t="s">
        <v>20</v>
      </c>
      <c r="N494">
        <v>14</v>
      </c>
      <c r="O494">
        <v>3</v>
      </c>
      <c r="P494">
        <v>5640.3400000000011</v>
      </c>
      <c r="Q494">
        <v>0</v>
      </c>
    </row>
    <row r="495" spans="7:17" x14ac:dyDescent="0.25">
      <c r="G495" t="str">
        <f t="shared" si="7"/>
        <v/>
      </c>
      <c r="H495" t="s">
        <v>46</v>
      </c>
      <c r="I495" t="s">
        <v>10</v>
      </c>
      <c r="J495" t="s">
        <v>5</v>
      </c>
      <c r="K495" t="s">
        <v>37</v>
      </c>
      <c r="L495" t="s">
        <v>39</v>
      </c>
      <c r="M495" t="s">
        <v>19</v>
      </c>
      <c r="N495">
        <v>2</v>
      </c>
      <c r="O495">
        <v>2</v>
      </c>
      <c r="P495">
        <v>2287.4899999999998</v>
      </c>
      <c r="Q495">
        <v>2287.4899999999998</v>
      </c>
    </row>
    <row r="496" spans="7:17" x14ac:dyDescent="0.25">
      <c r="G496" t="str">
        <f t="shared" si="7"/>
        <v/>
      </c>
      <c r="H496" t="s">
        <v>46</v>
      </c>
      <c r="I496" t="s">
        <v>10</v>
      </c>
      <c r="J496" t="s">
        <v>5</v>
      </c>
      <c r="K496" t="s">
        <v>37</v>
      </c>
      <c r="L496" t="s">
        <v>39</v>
      </c>
      <c r="M496" t="s">
        <v>20</v>
      </c>
      <c r="N496">
        <v>11</v>
      </c>
      <c r="O496">
        <v>9</v>
      </c>
      <c r="P496">
        <v>10011.76</v>
      </c>
      <c r="Q496">
        <v>0</v>
      </c>
    </row>
    <row r="497" spans="7:17" x14ac:dyDescent="0.25">
      <c r="G497" t="str">
        <f t="shared" si="7"/>
        <v/>
      </c>
      <c r="H497" t="s">
        <v>46</v>
      </c>
      <c r="I497" t="s">
        <v>10</v>
      </c>
      <c r="J497" t="s">
        <v>5</v>
      </c>
      <c r="K497" t="s">
        <v>37</v>
      </c>
      <c r="L497" t="s">
        <v>40</v>
      </c>
      <c r="M497" t="s">
        <v>19</v>
      </c>
      <c r="N497">
        <v>2</v>
      </c>
      <c r="O497">
        <v>2</v>
      </c>
      <c r="P497">
        <v>925.81</v>
      </c>
      <c r="Q497">
        <v>790.7</v>
      </c>
    </row>
    <row r="498" spans="7:17" x14ac:dyDescent="0.25">
      <c r="G498" t="str">
        <f t="shared" si="7"/>
        <v/>
      </c>
      <c r="H498" t="s">
        <v>46</v>
      </c>
      <c r="I498" t="s">
        <v>10</v>
      </c>
      <c r="J498" t="s">
        <v>5</v>
      </c>
      <c r="K498" t="s">
        <v>37</v>
      </c>
      <c r="L498" t="s">
        <v>40</v>
      </c>
      <c r="M498" t="s">
        <v>20</v>
      </c>
      <c r="N498">
        <v>3</v>
      </c>
      <c r="O498">
        <v>2</v>
      </c>
      <c r="P498">
        <v>1871.3899999999999</v>
      </c>
      <c r="Q498">
        <v>0</v>
      </c>
    </row>
    <row r="499" spans="7:17" x14ac:dyDescent="0.25">
      <c r="G499" t="str">
        <f t="shared" si="7"/>
        <v/>
      </c>
      <c r="H499" t="s">
        <v>46</v>
      </c>
      <c r="I499" t="s">
        <v>10</v>
      </c>
      <c r="J499" t="s">
        <v>5</v>
      </c>
      <c r="K499" t="s">
        <v>37</v>
      </c>
      <c r="L499" t="s">
        <v>41</v>
      </c>
      <c r="M499" t="s">
        <v>20</v>
      </c>
      <c r="N499">
        <v>6</v>
      </c>
      <c r="O499">
        <v>4</v>
      </c>
      <c r="P499">
        <v>2731.3199999999997</v>
      </c>
      <c r="Q499">
        <v>0</v>
      </c>
    </row>
    <row r="500" spans="7:17" x14ac:dyDescent="0.25">
      <c r="G500" t="str">
        <f t="shared" si="7"/>
        <v/>
      </c>
      <c r="H500" t="s">
        <v>46</v>
      </c>
      <c r="I500" t="s">
        <v>10</v>
      </c>
      <c r="J500" t="s">
        <v>5</v>
      </c>
      <c r="K500" t="s">
        <v>37</v>
      </c>
      <c r="L500" t="s">
        <v>45</v>
      </c>
      <c r="M500" t="s">
        <v>20</v>
      </c>
      <c r="N500">
        <v>114</v>
      </c>
      <c r="O500">
        <v>54</v>
      </c>
      <c r="P500">
        <v>103846.08000000006</v>
      </c>
      <c r="Q500">
        <v>0</v>
      </c>
    </row>
    <row r="501" spans="7:17" x14ac:dyDescent="0.25">
      <c r="G501" t="str">
        <f t="shared" si="7"/>
        <v/>
      </c>
      <c r="H501" t="s">
        <v>46</v>
      </c>
      <c r="I501" t="s">
        <v>10</v>
      </c>
      <c r="J501" t="s">
        <v>5</v>
      </c>
      <c r="K501" t="s">
        <v>38</v>
      </c>
      <c r="L501" t="s">
        <v>42</v>
      </c>
      <c r="M501" t="s">
        <v>19</v>
      </c>
      <c r="N501">
        <v>329</v>
      </c>
      <c r="O501">
        <v>64</v>
      </c>
      <c r="P501">
        <v>144161.62</v>
      </c>
      <c r="Q501">
        <v>141979.06999999992</v>
      </c>
    </row>
    <row r="502" spans="7:17" x14ac:dyDescent="0.25">
      <c r="G502" t="str">
        <f t="shared" si="7"/>
        <v/>
      </c>
      <c r="H502" t="s">
        <v>46</v>
      </c>
      <c r="I502" t="s">
        <v>10</v>
      </c>
      <c r="J502" t="s">
        <v>5</v>
      </c>
      <c r="K502" t="s">
        <v>38</v>
      </c>
      <c r="L502" t="s">
        <v>42</v>
      </c>
      <c r="M502" t="s">
        <v>20</v>
      </c>
      <c r="N502">
        <v>206</v>
      </c>
      <c r="O502">
        <v>32</v>
      </c>
      <c r="P502">
        <v>57075.319999999985</v>
      </c>
      <c r="Q502">
        <v>0</v>
      </c>
    </row>
    <row r="503" spans="7:17" x14ac:dyDescent="0.25">
      <c r="G503" t="str">
        <f t="shared" si="7"/>
        <v/>
      </c>
      <c r="H503" t="s">
        <v>46</v>
      </c>
      <c r="I503" t="s">
        <v>10</v>
      </c>
      <c r="J503" t="s">
        <v>5</v>
      </c>
      <c r="K503" t="s">
        <v>38</v>
      </c>
      <c r="L503" t="s">
        <v>43</v>
      </c>
      <c r="M503" t="s">
        <v>19</v>
      </c>
      <c r="N503">
        <v>27</v>
      </c>
      <c r="O503">
        <v>8</v>
      </c>
      <c r="P503">
        <v>34384.100000000006</v>
      </c>
      <c r="Q503">
        <v>21676.17</v>
      </c>
    </row>
    <row r="504" spans="7:17" x14ac:dyDescent="0.25">
      <c r="G504" t="str">
        <f t="shared" si="7"/>
        <v/>
      </c>
      <c r="H504" t="s">
        <v>46</v>
      </c>
      <c r="I504" t="s">
        <v>10</v>
      </c>
      <c r="J504" t="s">
        <v>5</v>
      </c>
      <c r="K504" t="s">
        <v>38</v>
      </c>
      <c r="L504" t="s">
        <v>43</v>
      </c>
      <c r="M504" t="s">
        <v>20</v>
      </c>
      <c r="N504">
        <v>46</v>
      </c>
      <c r="O504">
        <v>12</v>
      </c>
      <c r="P504">
        <v>34470.910000000011</v>
      </c>
      <c r="Q504">
        <v>0</v>
      </c>
    </row>
    <row r="505" spans="7:17" x14ac:dyDescent="0.25">
      <c r="G505" t="str">
        <f t="shared" si="7"/>
        <v/>
      </c>
      <c r="H505" t="s">
        <v>46</v>
      </c>
      <c r="I505" t="s">
        <v>10</v>
      </c>
      <c r="J505" t="s">
        <v>5</v>
      </c>
      <c r="K505" t="s">
        <v>38</v>
      </c>
      <c r="L505" t="s">
        <v>44</v>
      </c>
      <c r="M505" t="s">
        <v>19</v>
      </c>
      <c r="N505">
        <v>2</v>
      </c>
      <c r="O505">
        <v>2</v>
      </c>
      <c r="P505">
        <v>2576.2799999999997</v>
      </c>
      <c r="Q505">
        <v>2265.0500000000002</v>
      </c>
    </row>
    <row r="506" spans="7:17" x14ac:dyDescent="0.25">
      <c r="G506" t="str">
        <f t="shared" si="7"/>
        <v/>
      </c>
      <c r="H506" t="s">
        <v>46</v>
      </c>
      <c r="I506" t="s">
        <v>10</v>
      </c>
      <c r="J506" t="s">
        <v>5</v>
      </c>
      <c r="K506" t="s">
        <v>38</v>
      </c>
      <c r="L506" t="s">
        <v>44</v>
      </c>
      <c r="M506" t="s">
        <v>20</v>
      </c>
      <c r="N506">
        <v>32</v>
      </c>
      <c r="O506">
        <v>21</v>
      </c>
      <c r="P506">
        <v>27018.839999999989</v>
      </c>
      <c r="Q506">
        <v>0</v>
      </c>
    </row>
    <row r="507" spans="7:17" x14ac:dyDescent="0.25">
      <c r="G507" t="str">
        <f t="shared" si="7"/>
        <v/>
      </c>
      <c r="H507" t="s">
        <v>46</v>
      </c>
      <c r="I507" t="s">
        <v>10</v>
      </c>
      <c r="J507" t="s">
        <v>5</v>
      </c>
      <c r="K507" t="s">
        <v>38</v>
      </c>
      <c r="L507" t="s">
        <v>39</v>
      </c>
      <c r="M507" t="s">
        <v>20</v>
      </c>
      <c r="N507">
        <v>15</v>
      </c>
      <c r="O507">
        <v>10</v>
      </c>
      <c r="P507">
        <v>11519.189999999999</v>
      </c>
      <c r="Q507">
        <v>0</v>
      </c>
    </row>
    <row r="508" spans="7:17" x14ac:dyDescent="0.25">
      <c r="G508" t="str">
        <f t="shared" si="7"/>
        <v/>
      </c>
      <c r="H508" t="s">
        <v>46</v>
      </c>
      <c r="I508" t="s">
        <v>10</v>
      </c>
      <c r="J508" t="s">
        <v>5</v>
      </c>
      <c r="K508" t="s">
        <v>38</v>
      </c>
      <c r="L508" t="s">
        <v>40</v>
      </c>
      <c r="M508" t="s">
        <v>20</v>
      </c>
      <c r="N508">
        <v>19</v>
      </c>
      <c r="O508">
        <v>2</v>
      </c>
      <c r="P508">
        <v>17494.079999999998</v>
      </c>
      <c r="Q508">
        <v>0</v>
      </c>
    </row>
    <row r="509" spans="7:17" x14ac:dyDescent="0.25">
      <c r="G509" t="str">
        <f t="shared" si="7"/>
        <v/>
      </c>
      <c r="H509" t="s">
        <v>46</v>
      </c>
      <c r="I509" t="s">
        <v>10</v>
      </c>
      <c r="J509" t="s">
        <v>5</v>
      </c>
      <c r="K509" t="s">
        <v>38</v>
      </c>
      <c r="L509" t="s">
        <v>41</v>
      </c>
      <c r="M509" t="s">
        <v>20</v>
      </c>
      <c r="N509">
        <v>8</v>
      </c>
      <c r="O509">
        <v>0</v>
      </c>
      <c r="P509">
        <v>5143.3500000000004</v>
      </c>
      <c r="Q509">
        <v>0</v>
      </c>
    </row>
    <row r="510" spans="7:17" x14ac:dyDescent="0.25">
      <c r="G510" t="str">
        <f t="shared" si="7"/>
        <v/>
      </c>
      <c r="H510" t="s">
        <v>46</v>
      </c>
      <c r="I510" t="s">
        <v>10</v>
      </c>
      <c r="J510" t="s">
        <v>5</v>
      </c>
      <c r="K510" t="s">
        <v>38</v>
      </c>
      <c r="L510" t="s">
        <v>45</v>
      </c>
      <c r="M510" t="s">
        <v>20</v>
      </c>
      <c r="N510">
        <v>144</v>
      </c>
      <c r="O510">
        <v>60</v>
      </c>
      <c r="P510">
        <v>125390.59</v>
      </c>
      <c r="Q510">
        <v>0</v>
      </c>
    </row>
    <row r="511" spans="7:17" x14ac:dyDescent="0.25">
      <c r="G511" t="str">
        <f t="shared" si="7"/>
        <v/>
      </c>
      <c r="H511" t="s">
        <v>46</v>
      </c>
      <c r="I511" t="s">
        <v>10</v>
      </c>
      <c r="J511" t="s">
        <v>7</v>
      </c>
      <c r="K511" t="s">
        <v>23</v>
      </c>
      <c r="L511" t="s">
        <v>42</v>
      </c>
      <c r="M511" t="s">
        <v>19</v>
      </c>
      <c r="N511">
        <v>185</v>
      </c>
      <c r="O511">
        <v>59</v>
      </c>
      <c r="P511">
        <v>94124.779999999984</v>
      </c>
      <c r="Q511">
        <v>93213.319999999963</v>
      </c>
    </row>
    <row r="512" spans="7:17" x14ac:dyDescent="0.25">
      <c r="G512" t="str">
        <f t="shared" si="7"/>
        <v/>
      </c>
      <c r="H512" t="s">
        <v>46</v>
      </c>
      <c r="I512" t="s">
        <v>10</v>
      </c>
      <c r="J512" t="s">
        <v>7</v>
      </c>
      <c r="K512" t="s">
        <v>23</v>
      </c>
      <c r="L512" t="s">
        <v>42</v>
      </c>
      <c r="M512" t="s">
        <v>20</v>
      </c>
      <c r="N512">
        <v>99</v>
      </c>
      <c r="O512">
        <v>30</v>
      </c>
      <c r="P512">
        <v>31276.230000000003</v>
      </c>
      <c r="Q512">
        <v>0</v>
      </c>
    </row>
    <row r="513" spans="7:17" x14ac:dyDescent="0.25">
      <c r="G513" t="str">
        <f t="shared" si="7"/>
        <v/>
      </c>
      <c r="H513" t="s">
        <v>46</v>
      </c>
      <c r="I513" t="s">
        <v>10</v>
      </c>
      <c r="J513" t="s">
        <v>7</v>
      </c>
      <c r="K513" t="s">
        <v>23</v>
      </c>
      <c r="L513" t="s">
        <v>43</v>
      </c>
      <c r="M513" t="s">
        <v>19</v>
      </c>
      <c r="N513">
        <v>21</v>
      </c>
      <c r="O513">
        <v>9</v>
      </c>
      <c r="P513">
        <v>16467.160000000003</v>
      </c>
      <c r="Q513">
        <v>13937.09</v>
      </c>
    </row>
    <row r="514" spans="7:17" x14ac:dyDescent="0.25">
      <c r="G514" t="str">
        <f t="shared" ref="G514:G577" si="8">IF(G$1="Overall","Overall",IF(G$1=L514,L514,""))</f>
        <v/>
      </c>
      <c r="H514" t="s">
        <v>46</v>
      </c>
      <c r="I514" t="s">
        <v>10</v>
      </c>
      <c r="J514" t="s">
        <v>7</v>
      </c>
      <c r="K514" t="s">
        <v>23</v>
      </c>
      <c r="L514" t="s">
        <v>43</v>
      </c>
      <c r="M514" t="s">
        <v>20</v>
      </c>
      <c r="N514">
        <v>26</v>
      </c>
      <c r="O514">
        <v>17</v>
      </c>
      <c r="P514">
        <v>25679.040000000005</v>
      </c>
      <c r="Q514">
        <v>0</v>
      </c>
    </row>
    <row r="515" spans="7:17" x14ac:dyDescent="0.25">
      <c r="G515" t="str">
        <f t="shared" si="8"/>
        <v/>
      </c>
      <c r="H515" t="s">
        <v>46</v>
      </c>
      <c r="I515" t="s">
        <v>10</v>
      </c>
      <c r="J515" t="s">
        <v>7</v>
      </c>
      <c r="K515" t="s">
        <v>23</v>
      </c>
      <c r="L515" t="s">
        <v>44</v>
      </c>
      <c r="M515" t="s">
        <v>19</v>
      </c>
      <c r="N515">
        <v>14</v>
      </c>
      <c r="O515">
        <v>11</v>
      </c>
      <c r="P515">
        <v>18829.099999999999</v>
      </c>
      <c r="Q515">
        <v>11418.9</v>
      </c>
    </row>
    <row r="516" spans="7:17" x14ac:dyDescent="0.25">
      <c r="G516" t="str">
        <f t="shared" si="8"/>
        <v/>
      </c>
      <c r="H516" t="s">
        <v>46</v>
      </c>
      <c r="I516" t="s">
        <v>10</v>
      </c>
      <c r="J516" t="s">
        <v>7</v>
      </c>
      <c r="K516" t="s">
        <v>23</v>
      </c>
      <c r="L516" t="s">
        <v>44</v>
      </c>
      <c r="M516" t="s">
        <v>20</v>
      </c>
      <c r="N516">
        <v>10</v>
      </c>
      <c r="O516">
        <v>4</v>
      </c>
      <c r="P516">
        <v>5582.7000000000007</v>
      </c>
      <c r="Q516">
        <v>0</v>
      </c>
    </row>
    <row r="517" spans="7:17" x14ac:dyDescent="0.25">
      <c r="G517" t="str">
        <f t="shared" si="8"/>
        <v/>
      </c>
      <c r="H517" t="s">
        <v>46</v>
      </c>
      <c r="I517" t="s">
        <v>10</v>
      </c>
      <c r="J517" t="s">
        <v>7</v>
      </c>
      <c r="K517" t="s">
        <v>23</v>
      </c>
      <c r="L517" t="s">
        <v>39</v>
      </c>
      <c r="M517" t="s">
        <v>19</v>
      </c>
      <c r="N517">
        <v>8</v>
      </c>
      <c r="O517">
        <v>7</v>
      </c>
      <c r="P517">
        <v>10094.080000000002</v>
      </c>
      <c r="Q517">
        <v>5698.29</v>
      </c>
    </row>
    <row r="518" spans="7:17" x14ac:dyDescent="0.25">
      <c r="G518" t="str">
        <f t="shared" si="8"/>
        <v/>
      </c>
      <c r="H518" t="s">
        <v>46</v>
      </c>
      <c r="I518" t="s">
        <v>10</v>
      </c>
      <c r="J518" t="s">
        <v>7</v>
      </c>
      <c r="K518" t="s">
        <v>23</v>
      </c>
      <c r="L518" t="s">
        <v>39</v>
      </c>
      <c r="M518" t="s">
        <v>20</v>
      </c>
      <c r="N518">
        <v>16</v>
      </c>
      <c r="O518">
        <v>10</v>
      </c>
      <c r="P518">
        <v>12823.800000000001</v>
      </c>
      <c r="Q518">
        <v>0</v>
      </c>
    </row>
    <row r="519" spans="7:17" x14ac:dyDescent="0.25">
      <c r="G519" t="str">
        <f t="shared" si="8"/>
        <v/>
      </c>
      <c r="H519" t="s">
        <v>46</v>
      </c>
      <c r="I519" t="s">
        <v>10</v>
      </c>
      <c r="J519" t="s">
        <v>7</v>
      </c>
      <c r="K519" t="s">
        <v>23</v>
      </c>
      <c r="L519" t="s">
        <v>40</v>
      </c>
      <c r="M519" t="s">
        <v>19</v>
      </c>
      <c r="N519">
        <v>1</v>
      </c>
      <c r="O519">
        <v>0</v>
      </c>
      <c r="P519">
        <v>2467.65</v>
      </c>
      <c r="Q519">
        <v>687.67</v>
      </c>
    </row>
    <row r="520" spans="7:17" x14ac:dyDescent="0.25">
      <c r="G520" t="str">
        <f t="shared" si="8"/>
        <v/>
      </c>
      <c r="H520" t="s">
        <v>46</v>
      </c>
      <c r="I520" t="s">
        <v>10</v>
      </c>
      <c r="J520" t="s">
        <v>7</v>
      </c>
      <c r="K520" t="s">
        <v>23</v>
      </c>
      <c r="L520" t="s">
        <v>40</v>
      </c>
      <c r="M520" t="s">
        <v>20</v>
      </c>
      <c r="N520">
        <v>12</v>
      </c>
      <c r="O520">
        <v>3</v>
      </c>
      <c r="P520">
        <v>11418.09</v>
      </c>
      <c r="Q520">
        <v>0</v>
      </c>
    </row>
    <row r="521" spans="7:17" x14ac:dyDescent="0.25">
      <c r="G521" t="str">
        <f t="shared" si="8"/>
        <v/>
      </c>
      <c r="H521" t="s">
        <v>46</v>
      </c>
      <c r="I521" t="s">
        <v>10</v>
      </c>
      <c r="J521" t="s">
        <v>7</v>
      </c>
      <c r="K521" t="s">
        <v>23</v>
      </c>
      <c r="L521" t="s">
        <v>41</v>
      </c>
      <c r="M521" t="s">
        <v>19</v>
      </c>
      <c r="N521">
        <v>1</v>
      </c>
      <c r="O521">
        <v>0</v>
      </c>
      <c r="P521">
        <v>244.19</v>
      </c>
      <c r="Q521">
        <v>244.19</v>
      </c>
    </row>
    <row r="522" spans="7:17" x14ac:dyDescent="0.25">
      <c r="G522" t="str">
        <f t="shared" si="8"/>
        <v/>
      </c>
      <c r="H522" t="s">
        <v>46</v>
      </c>
      <c r="I522" t="s">
        <v>10</v>
      </c>
      <c r="J522" t="s">
        <v>7</v>
      </c>
      <c r="K522" t="s">
        <v>23</v>
      </c>
      <c r="L522" t="s">
        <v>41</v>
      </c>
      <c r="M522" t="s">
        <v>20</v>
      </c>
      <c r="N522">
        <v>12</v>
      </c>
      <c r="O522">
        <v>4</v>
      </c>
      <c r="P522">
        <v>13287.929999999997</v>
      </c>
      <c r="Q522">
        <v>0</v>
      </c>
    </row>
    <row r="523" spans="7:17" x14ac:dyDescent="0.25">
      <c r="G523" t="str">
        <f t="shared" si="8"/>
        <v/>
      </c>
      <c r="H523" t="s">
        <v>46</v>
      </c>
      <c r="I523" t="s">
        <v>10</v>
      </c>
      <c r="J523" t="s">
        <v>7</v>
      </c>
      <c r="K523" t="s">
        <v>23</v>
      </c>
      <c r="L523" t="s">
        <v>45</v>
      </c>
      <c r="M523" t="s">
        <v>19</v>
      </c>
      <c r="N523">
        <v>2</v>
      </c>
      <c r="O523">
        <v>1</v>
      </c>
      <c r="P523">
        <v>1371.8</v>
      </c>
      <c r="Q523">
        <v>851.98</v>
      </c>
    </row>
    <row r="524" spans="7:17" x14ac:dyDescent="0.25">
      <c r="G524" t="str">
        <f t="shared" si="8"/>
        <v/>
      </c>
      <c r="H524" t="s">
        <v>46</v>
      </c>
      <c r="I524" t="s">
        <v>10</v>
      </c>
      <c r="J524" t="s">
        <v>7</v>
      </c>
      <c r="K524" t="s">
        <v>23</v>
      </c>
      <c r="L524" t="s">
        <v>45</v>
      </c>
      <c r="M524" t="s">
        <v>20</v>
      </c>
      <c r="N524">
        <v>76</v>
      </c>
      <c r="O524">
        <v>42</v>
      </c>
      <c r="P524">
        <v>128341.85000000002</v>
      </c>
      <c r="Q524">
        <v>0</v>
      </c>
    </row>
    <row r="525" spans="7:17" x14ac:dyDescent="0.25">
      <c r="G525" t="str">
        <f t="shared" si="8"/>
        <v/>
      </c>
      <c r="H525" t="s">
        <v>46</v>
      </c>
      <c r="I525" t="s">
        <v>10</v>
      </c>
      <c r="J525" t="s">
        <v>7</v>
      </c>
      <c r="K525" t="s">
        <v>24</v>
      </c>
      <c r="L525" t="s">
        <v>42</v>
      </c>
      <c r="M525" t="s">
        <v>19</v>
      </c>
      <c r="N525">
        <v>206</v>
      </c>
      <c r="O525">
        <v>10</v>
      </c>
      <c r="P525">
        <v>63586.779999999992</v>
      </c>
      <c r="Q525">
        <v>56164.409999999989</v>
      </c>
    </row>
    <row r="526" spans="7:17" x14ac:dyDescent="0.25">
      <c r="G526" t="str">
        <f t="shared" si="8"/>
        <v/>
      </c>
      <c r="H526" t="s">
        <v>46</v>
      </c>
      <c r="I526" t="s">
        <v>10</v>
      </c>
      <c r="J526" t="s">
        <v>7</v>
      </c>
      <c r="K526" t="s">
        <v>24</v>
      </c>
      <c r="L526" t="s">
        <v>42</v>
      </c>
      <c r="M526" t="s">
        <v>20</v>
      </c>
      <c r="N526">
        <v>12</v>
      </c>
      <c r="O526">
        <v>4</v>
      </c>
      <c r="P526">
        <v>3166.12</v>
      </c>
      <c r="Q526">
        <v>0</v>
      </c>
    </row>
    <row r="527" spans="7:17" x14ac:dyDescent="0.25">
      <c r="G527" t="str">
        <f t="shared" si="8"/>
        <v/>
      </c>
      <c r="H527" t="s">
        <v>46</v>
      </c>
      <c r="I527" t="s">
        <v>10</v>
      </c>
      <c r="J527" t="s">
        <v>7</v>
      </c>
      <c r="K527" t="s">
        <v>24</v>
      </c>
      <c r="L527" t="s">
        <v>43</v>
      </c>
      <c r="M527" t="s">
        <v>19</v>
      </c>
      <c r="N527">
        <v>4</v>
      </c>
      <c r="O527">
        <v>3</v>
      </c>
      <c r="P527">
        <v>2334.1800000000003</v>
      </c>
      <c r="Q527">
        <v>1959.6100000000001</v>
      </c>
    </row>
    <row r="528" spans="7:17" x14ac:dyDescent="0.25">
      <c r="G528" t="str">
        <f t="shared" si="8"/>
        <v/>
      </c>
      <c r="H528" t="s">
        <v>46</v>
      </c>
      <c r="I528" t="s">
        <v>10</v>
      </c>
      <c r="J528" t="s">
        <v>7</v>
      </c>
      <c r="K528" t="s">
        <v>24</v>
      </c>
      <c r="L528" t="s">
        <v>43</v>
      </c>
      <c r="M528" t="s">
        <v>20</v>
      </c>
      <c r="N528">
        <v>8</v>
      </c>
      <c r="O528">
        <v>3</v>
      </c>
      <c r="P528">
        <v>6756.0199999999995</v>
      </c>
      <c r="Q528">
        <v>0</v>
      </c>
    </row>
    <row r="529" spans="7:17" x14ac:dyDescent="0.25">
      <c r="G529" t="str">
        <f t="shared" si="8"/>
        <v/>
      </c>
      <c r="H529" t="s">
        <v>46</v>
      </c>
      <c r="I529" t="s">
        <v>10</v>
      </c>
      <c r="J529" t="s">
        <v>7</v>
      </c>
      <c r="K529" t="s">
        <v>24</v>
      </c>
      <c r="L529" t="s">
        <v>44</v>
      </c>
      <c r="M529" t="s">
        <v>19</v>
      </c>
      <c r="N529">
        <v>5</v>
      </c>
      <c r="O529">
        <v>4</v>
      </c>
      <c r="P529">
        <v>6332.3600000000006</v>
      </c>
      <c r="Q529">
        <v>3304.5899999999997</v>
      </c>
    </row>
    <row r="530" spans="7:17" x14ac:dyDescent="0.25">
      <c r="G530" t="str">
        <f t="shared" si="8"/>
        <v/>
      </c>
      <c r="H530" t="s">
        <v>46</v>
      </c>
      <c r="I530" t="s">
        <v>10</v>
      </c>
      <c r="J530" t="s">
        <v>7</v>
      </c>
      <c r="K530" t="s">
        <v>24</v>
      </c>
      <c r="L530" t="s">
        <v>44</v>
      </c>
      <c r="M530" t="s">
        <v>20</v>
      </c>
      <c r="N530">
        <v>5</v>
      </c>
      <c r="O530">
        <v>2</v>
      </c>
      <c r="P530">
        <v>5531.27</v>
      </c>
      <c r="Q530">
        <v>0</v>
      </c>
    </row>
    <row r="531" spans="7:17" x14ac:dyDescent="0.25">
      <c r="G531" t="str">
        <f t="shared" si="8"/>
        <v/>
      </c>
      <c r="H531" t="s">
        <v>46</v>
      </c>
      <c r="I531" t="s">
        <v>10</v>
      </c>
      <c r="J531" t="s">
        <v>7</v>
      </c>
      <c r="K531" t="s">
        <v>24</v>
      </c>
      <c r="L531" t="s">
        <v>39</v>
      </c>
      <c r="M531" t="s">
        <v>19</v>
      </c>
      <c r="N531">
        <v>1</v>
      </c>
      <c r="O531">
        <v>0</v>
      </c>
      <c r="P531">
        <v>1334.26</v>
      </c>
      <c r="Q531">
        <v>521.17000000000007</v>
      </c>
    </row>
    <row r="532" spans="7:17" x14ac:dyDescent="0.25">
      <c r="G532" t="str">
        <f t="shared" si="8"/>
        <v/>
      </c>
      <c r="H532" t="s">
        <v>46</v>
      </c>
      <c r="I532" t="s">
        <v>10</v>
      </c>
      <c r="J532" t="s">
        <v>7</v>
      </c>
      <c r="K532" t="s">
        <v>24</v>
      </c>
      <c r="L532" t="s">
        <v>39</v>
      </c>
      <c r="M532" t="s">
        <v>20</v>
      </c>
      <c r="N532">
        <v>1</v>
      </c>
      <c r="O532">
        <v>1</v>
      </c>
      <c r="P532">
        <v>1271.28</v>
      </c>
      <c r="Q532">
        <v>0</v>
      </c>
    </row>
    <row r="533" spans="7:17" x14ac:dyDescent="0.25">
      <c r="G533" t="str">
        <f t="shared" si="8"/>
        <v/>
      </c>
      <c r="H533" t="s">
        <v>46</v>
      </c>
      <c r="I533" t="s">
        <v>10</v>
      </c>
      <c r="J533" t="s">
        <v>7</v>
      </c>
      <c r="K533" t="s">
        <v>24</v>
      </c>
      <c r="L533" t="s">
        <v>40</v>
      </c>
      <c r="M533" t="s">
        <v>19</v>
      </c>
      <c r="N533">
        <v>1</v>
      </c>
      <c r="O533">
        <v>0</v>
      </c>
      <c r="P533">
        <v>518.04999999999995</v>
      </c>
      <c r="Q533">
        <v>59</v>
      </c>
    </row>
    <row r="534" spans="7:17" x14ac:dyDescent="0.25">
      <c r="G534" t="str">
        <f t="shared" si="8"/>
        <v/>
      </c>
      <c r="H534" t="s">
        <v>46</v>
      </c>
      <c r="I534" t="s">
        <v>10</v>
      </c>
      <c r="J534" t="s">
        <v>7</v>
      </c>
      <c r="K534" t="s">
        <v>24</v>
      </c>
      <c r="L534" t="s">
        <v>40</v>
      </c>
      <c r="M534" t="s">
        <v>20</v>
      </c>
      <c r="N534">
        <v>2</v>
      </c>
      <c r="O534">
        <v>0</v>
      </c>
      <c r="P534">
        <v>2165.38</v>
      </c>
      <c r="Q534">
        <v>0</v>
      </c>
    </row>
    <row r="535" spans="7:17" x14ac:dyDescent="0.25">
      <c r="G535" t="str">
        <f t="shared" si="8"/>
        <v/>
      </c>
      <c r="H535" t="s">
        <v>46</v>
      </c>
      <c r="I535" t="s">
        <v>10</v>
      </c>
      <c r="J535" t="s">
        <v>7</v>
      </c>
      <c r="K535" t="s">
        <v>24</v>
      </c>
      <c r="L535" t="s">
        <v>41</v>
      </c>
      <c r="M535" t="s">
        <v>19</v>
      </c>
      <c r="N535">
        <v>1</v>
      </c>
      <c r="O535">
        <v>1</v>
      </c>
      <c r="P535">
        <v>868.19</v>
      </c>
      <c r="Q535">
        <v>59</v>
      </c>
    </row>
    <row r="536" spans="7:17" x14ac:dyDescent="0.25">
      <c r="G536" t="str">
        <f t="shared" si="8"/>
        <v/>
      </c>
      <c r="H536" t="s">
        <v>46</v>
      </c>
      <c r="I536" t="s">
        <v>10</v>
      </c>
      <c r="J536" t="s">
        <v>7</v>
      </c>
      <c r="K536" t="s">
        <v>24</v>
      </c>
      <c r="L536" t="s">
        <v>41</v>
      </c>
      <c r="M536" t="s">
        <v>20</v>
      </c>
      <c r="N536">
        <v>4</v>
      </c>
      <c r="O536">
        <v>1</v>
      </c>
      <c r="P536">
        <v>2404.64</v>
      </c>
      <c r="Q536">
        <v>0</v>
      </c>
    </row>
    <row r="537" spans="7:17" x14ac:dyDescent="0.25">
      <c r="G537" t="str">
        <f t="shared" si="8"/>
        <v/>
      </c>
      <c r="H537" t="s">
        <v>46</v>
      </c>
      <c r="I537" t="s">
        <v>10</v>
      </c>
      <c r="J537" t="s">
        <v>7</v>
      </c>
      <c r="K537" t="s">
        <v>24</v>
      </c>
      <c r="L537" t="s">
        <v>45</v>
      </c>
      <c r="M537" t="s">
        <v>20</v>
      </c>
      <c r="N537">
        <v>33</v>
      </c>
      <c r="O537">
        <v>10</v>
      </c>
      <c r="P537">
        <v>28347.350000000002</v>
      </c>
      <c r="Q537">
        <v>0</v>
      </c>
    </row>
    <row r="538" spans="7:17" x14ac:dyDescent="0.25">
      <c r="G538" t="str">
        <f t="shared" si="8"/>
        <v/>
      </c>
      <c r="H538" t="s">
        <v>46</v>
      </c>
      <c r="I538" t="s">
        <v>10</v>
      </c>
      <c r="J538" t="s">
        <v>7</v>
      </c>
      <c r="K538" t="s">
        <v>25</v>
      </c>
      <c r="L538" t="s">
        <v>42</v>
      </c>
      <c r="M538" t="s">
        <v>19</v>
      </c>
      <c r="N538">
        <v>261</v>
      </c>
      <c r="O538">
        <v>61</v>
      </c>
      <c r="P538">
        <v>123798.90000000002</v>
      </c>
      <c r="Q538">
        <v>120094.48000000007</v>
      </c>
    </row>
    <row r="539" spans="7:17" x14ac:dyDescent="0.25">
      <c r="G539" t="str">
        <f t="shared" si="8"/>
        <v/>
      </c>
      <c r="H539" t="s">
        <v>46</v>
      </c>
      <c r="I539" t="s">
        <v>10</v>
      </c>
      <c r="J539" t="s">
        <v>7</v>
      </c>
      <c r="K539" t="s">
        <v>25</v>
      </c>
      <c r="L539" t="s">
        <v>42</v>
      </c>
      <c r="M539" t="s">
        <v>20</v>
      </c>
      <c r="N539">
        <v>90</v>
      </c>
      <c r="O539">
        <v>27</v>
      </c>
      <c r="P539">
        <v>24927.040000000001</v>
      </c>
      <c r="Q539">
        <v>0</v>
      </c>
    </row>
    <row r="540" spans="7:17" x14ac:dyDescent="0.25">
      <c r="G540" t="str">
        <f t="shared" si="8"/>
        <v/>
      </c>
      <c r="H540" t="s">
        <v>46</v>
      </c>
      <c r="I540" t="s">
        <v>10</v>
      </c>
      <c r="J540" t="s">
        <v>7</v>
      </c>
      <c r="K540" t="s">
        <v>25</v>
      </c>
      <c r="L540" t="s">
        <v>43</v>
      </c>
      <c r="M540" t="s">
        <v>19</v>
      </c>
      <c r="N540">
        <v>35</v>
      </c>
      <c r="O540">
        <v>16</v>
      </c>
      <c r="P540">
        <v>29355.399999999998</v>
      </c>
      <c r="Q540">
        <v>19790.759999999998</v>
      </c>
    </row>
    <row r="541" spans="7:17" x14ac:dyDescent="0.25">
      <c r="G541" t="str">
        <f t="shared" si="8"/>
        <v/>
      </c>
      <c r="H541" t="s">
        <v>46</v>
      </c>
      <c r="I541" t="s">
        <v>10</v>
      </c>
      <c r="J541" t="s">
        <v>7</v>
      </c>
      <c r="K541" t="s">
        <v>25</v>
      </c>
      <c r="L541" t="s">
        <v>43</v>
      </c>
      <c r="M541" t="s">
        <v>20</v>
      </c>
      <c r="N541">
        <v>25</v>
      </c>
      <c r="O541">
        <v>9</v>
      </c>
      <c r="P541">
        <v>13892.939999999999</v>
      </c>
      <c r="Q541">
        <v>0</v>
      </c>
    </row>
    <row r="542" spans="7:17" x14ac:dyDescent="0.25">
      <c r="G542" t="str">
        <f t="shared" si="8"/>
        <v/>
      </c>
      <c r="H542" t="s">
        <v>46</v>
      </c>
      <c r="I542" t="s">
        <v>10</v>
      </c>
      <c r="J542" t="s">
        <v>7</v>
      </c>
      <c r="K542" t="s">
        <v>25</v>
      </c>
      <c r="L542" t="s">
        <v>44</v>
      </c>
      <c r="M542" t="s">
        <v>19</v>
      </c>
      <c r="N542">
        <v>61</v>
      </c>
      <c r="O542">
        <v>24</v>
      </c>
      <c r="P542">
        <v>44168.070000000022</v>
      </c>
      <c r="Q542">
        <v>27045.970000000005</v>
      </c>
    </row>
    <row r="543" spans="7:17" x14ac:dyDescent="0.25">
      <c r="G543" t="str">
        <f t="shared" si="8"/>
        <v/>
      </c>
      <c r="H543" t="s">
        <v>46</v>
      </c>
      <c r="I543" t="s">
        <v>10</v>
      </c>
      <c r="J543" t="s">
        <v>7</v>
      </c>
      <c r="K543" t="s">
        <v>25</v>
      </c>
      <c r="L543" t="s">
        <v>44</v>
      </c>
      <c r="M543" t="s">
        <v>20</v>
      </c>
      <c r="N543">
        <v>14</v>
      </c>
      <c r="O543">
        <v>9</v>
      </c>
      <c r="P543">
        <v>12808.88</v>
      </c>
      <c r="Q543">
        <v>0</v>
      </c>
    </row>
    <row r="544" spans="7:17" x14ac:dyDescent="0.25">
      <c r="G544" t="str">
        <f t="shared" si="8"/>
        <v/>
      </c>
      <c r="H544" t="s">
        <v>46</v>
      </c>
      <c r="I544" t="s">
        <v>10</v>
      </c>
      <c r="J544" t="s">
        <v>7</v>
      </c>
      <c r="K544" t="s">
        <v>25</v>
      </c>
      <c r="L544" t="s">
        <v>39</v>
      </c>
      <c r="M544" t="s">
        <v>19</v>
      </c>
      <c r="N544">
        <v>6</v>
      </c>
      <c r="O544">
        <v>4</v>
      </c>
      <c r="P544">
        <v>7682.64</v>
      </c>
      <c r="Q544">
        <v>7018.61</v>
      </c>
    </row>
    <row r="545" spans="7:17" x14ac:dyDescent="0.25">
      <c r="G545" t="str">
        <f t="shared" si="8"/>
        <v/>
      </c>
      <c r="H545" t="s">
        <v>46</v>
      </c>
      <c r="I545" t="s">
        <v>10</v>
      </c>
      <c r="J545" t="s">
        <v>7</v>
      </c>
      <c r="K545" t="s">
        <v>25</v>
      </c>
      <c r="L545" t="s">
        <v>39</v>
      </c>
      <c r="M545" t="s">
        <v>20</v>
      </c>
      <c r="N545">
        <v>18</v>
      </c>
      <c r="O545">
        <v>14</v>
      </c>
      <c r="P545">
        <v>19044.39</v>
      </c>
      <c r="Q545">
        <v>0</v>
      </c>
    </row>
    <row r="546" spans="7:17" x14ac:dyDescent="0.25">
      <c r="G546" t="str">
        <f t="shared" si="8"/>
        <v/>
      </c>
      <c r="H546" t="s">
        <v>46</v>
      </c>
      <c r="I546" t="s">
        <v>10</v>
      </c>
      <c r="J546" t="s">
        <v>7</v>
      </c>
      <c r="K546" t="s">
        <v>25</v>
      </c>
      <c r="L546" t="s">
        <v>40</v>
      </c>
      <c r="M546" t="s">
        <v>19</v>
      </c>
      <c r="N546">
        <v>1</v>
      </c>
      <c r="O546">
        <v>0</v>
      </c>
      <c r="P546">
        <v>348.03</v>
      </c>
      <c r="Q546">
        <v>29.5</v>
      </c>
    </row>
    <row r="547" spans="7:17" x14ac:dyDescent="0.25">
      <c r="G547" t="str">
        <f t="shared" si="8"/>
        <v/>
      </c>
      <c r="H547" t="s">
        <v>46</v>
      </c>
      <c r="I547" t="s">
        <v>10</v>
      </c>
      <c r="J547" t="s">
        <v>7</v>
      </c>
      <c r="K547" t="s">
        <v>25</v>
      </c>
      <c r="L547" t="s">
        <v>40</v>
      </c>
      <c r="M547" t="s">
        <v>20</v>
      </c>
      <c r="N547">
        <v>15</v>
      </c>
      <c r="O547">
        <v>5</v>
      </c>
      <c r="P547">
        <v>9402.77</v>
      </c>
      <c r="Q547">
        <v>0</v>
      </c>
    </row>
    <row r="548" spans="7:17" x14ac:dyDescent="0.25">
      <c r="G548" t="str">
        <f t="shared" si="8"/>
        <v/>
      </c>
      <c r="H548" t="s">
        <v>46</v>
      </c>
      <c r="I548" t="s">
        <v>10</v>
      </c>
      <c r="J548" t="s">
        <v>7</v>
      </c>
      <c r="K548" t="s">
        <v>25</v>
      </c>
      <c r="L548" t="s">
        <v>41</v>
      </c>
      <c r="M548" t="s">
        <v>20</v>
      </c>
      <c r="N548">
        <v>5</v>
      </c>
      <c r="O548">
        <v>2</v>
      </c>
      <c r="P548">
        <v>5195.3700000000008</v>
      </c>
      <c r="Q548">
        <v>0</v>
      </c>
    </row>
    <row r="549" spans="7:17" x14ac:dyDescent="0.25">
      <c r="G549" t="str">
        <f t="shared" si="8"/>
        <v/>
      </c>
      <c r="H549" t="s">
        <v>46</v>
      </c>
      <c r="I549" t="s">
        <v>10</v>
      </c>
      <c r="J549" t="s">
        <v>7</v>
      </c>
      <c r="K549" t="s">
        <v>25</v>
      </c>
      <c r="L549" t="s">
        <v>45</v>
      </c>
      <c r="M549" t="s">
        <v>19</v>
      </c>
      <c r="N549">
        <v>6</v>
      </c>
      <c r="O549">
        <v>3</v>
      </c>
      <c r="P549">
        <v>7165.4</v>
      </c>
      <c r="Q549">
        <v>1758.98</v>
      </c>
    </row>
    <row r="550" spans="7:17" x14ac:dyDescent="0.25">
      <c r="G550" t="str">
        <f t="shared" si="8"/>
        <v/>
      </c>
      <c r="H550" t="s">
        <v>46</v>
      </c>
      <c r="I550" t="s">
        <v>10</v>
      </c>
      <c r="J550" t="s">
        <v>7</v>
      </c>
      <c r="K550" t="s">
        <v>25</v>
      </c>
      <c r="L550" t="s">
        <v>45</v>
      </c>
      <c r="M550" t="s">
        <v>20</v>
      </c>
      <c r="N550">
        <v>125</v>
      </c>
      <c r="O550">
        <v>54</v>
      </c>
      <c r="P550">
        <v>136298.99000000002</v>
      </c>
      <c r="Q550">
        <v>0</v>
      </c>
    </row>
    <row r="551" spans="7:17" x14ac:dyDescent="0.25">
      <c r="G551" t="str">
        <f t="shared" si="8"/>
        <v/>
      </c>
      <c r="H551" t="s">
        <v>46</v>
      </c>
      <c r="I551" t="s">
        <v>10</v>
      </c>
      <c r="J551" t="s">
        <v>7</v>
      </c>
      <c r="K551" t="s">
        <v>26</v>
      </c>
      <c r="L551" t="s">
        <v>42</v>
      </c>
      <c r="M551" t="s">
        <v>19</v>
      </c>
      <c r="N551">
        <v>451</v>
      </c>
      <c r="O551">
        <v>161</v>
      </c>
      <c r="P551">
        <v>213690.49000000014</v>
      </c>
      <c r="Q551">
        <v>210617.05000000005</v>
      </c>
    </row>
    <row r="552" spans="7:17" x14ac:dyDescent="0.25">
      <c r="G552" t="str">
        <f t="shared" si="8"/>
        <v/>
      </c>
      <c r="H552" t="s">
        <v>46</v>
      </c>
      <c r="I552" t="s">
        <v>10</v>
      </c>
      <c r="J552" t="s">
        <v>7</v>
      </c>
      <c r="K552" t="s">
        <v>26</v>
      </c>
      <c r="L552" t="s">
        <v>42</v>
      </c>
      <c r="M552" t="s">
        <v>20</v>
      </c>
      <c r="N552">
        <v>362</v>
      </c>
      <c r="O552">
        <v>104</v>
      </c>
      <c r="P552">
        <v>97739.839999999909</v>
      </c>
      <c r="Q552">
        <v>0</v>
      </c>
    </row>
    <row r="553" spans="7:17" x14ac:dyDescent="0.25">
      <c r="G553" t="str">
        <f t="shared" si="8"/>
        <v/>
      </c>
      <c r="H553" t="s">
        <v>46</v>
      </c>
      <c r="I553" t="s">
        <v>10</v>
      </c>
      <c r="J553" t="s">
        <v>7</v>
      </c>
      <c r="K553" t="s">
        <v>26</v>
      </c>
      <c r="L553" t="s">
        <v>43</v>
      </c>
      <c r="M553" t="s">
        <v>19</v>
      </c>
      <c r="N553">
        <v>58</v>
      </c>
      <c r="O553">
        <v>26</v>
      </c>
      <c r="P553">
        <v>40752.30999999999</v>
      </c>
      <c r="Q553">
        <v>36429.42</v>
      </c>
    </row>
    <row r="554" spans="7:17" x14ac:dyDescent="0.25">
      <c r="G554" t="str">
        <f t="shared" si="8"/>
        <v/>
      </c>
      <c r="H554" t="s">
        <v>46</v>
      </c>
      <c r="I554" t="s">
        <v>10</v>
      </c>
      <c r="J554" t="s">
        <v>7</v>
      </c>
      <c r="K554" t="s">
        <v>26</v>
      </c>
      <c r="L554" t="s">
        <v>43</v>
      </c>
      <c r="M554" t="s">
        <v>20</v>
      </c>
      <c r="N554">
        <v>121</v>
      </c>
      <c r="O554">
        <v>34</v>
      </c>
      <c r="P554">
        <v>80420.460000000021</v>
      </c>
      <c r="Q554">
        <v>0</v>
      </c>
    </row>
    <row r="555" spans="7:17" x14ac:dyDescent="0.25">
      <c r="G555" t="str">
        <f t="shared" si="8"/>
        <v/>
      </c>
      <c r="H555" t="s">
        <v>46</v>
      </c>
      <c r="I555" t="s">
        <v>10</v>
      </c>
      <c r="J555" t="s">
        <v>7</v>
      </c>
      <c r="K555" t="s">
        <v>26</v>
      </c>
      <c r="L555" t="s">
        <v>44</v>
      </c>
      <c r="M555" t="s">
        <v>19</v>
      </c>
      <c r="N555">
        <v>31</v>
      </c>
      <c r="O555">
        <v>15</v>
      </c>
      <c r="P555">
        <v>71856.55</v>
      </c>
      <c r="Q555">
        <v>22361.219999999998</v>
      </c>
    </row>
    <row r="556" spans="7:17" x14ac:dyDescent="0.25">
      <c r="G556" t="str">
        <f t="shared" si="8"/>
        <v/>
      </c>
      <c r="H556" t="s">
        <v>46</v>
      </c>
      <c r="I556" t="s">
        <v>10</v>
      </c>
      <c r="J556" t="s">
        <v>7</v>
      </c>
      <c r="K556" t="s">
        <v>26</v>
      </c>
      <c r="L556" t="s">
        <v>44</v>
      </c>
      <c r="M556" t="s">
        <v>20</v>
      </c>
      <c r="N556">
        <v>113</v>
      </c>
      <c r="O556">
        <v>43</v>
      </c>
      <c r="P556">
        <v>80506.389999999985</v>
      </c>
      <c r="Q556">
        <v>0</v>
      </c>
    </row>
    <row r="557" spans="7:17" x14ac:dyDescent="0.25">
      <c r="G557" t="str">
        <f t="shared" si="8"/>
        <v/>
      </c>
      <c r="H557" t="s">
        <v>46</v>
      </c>
      <c r="I557" t="s">
        <v>10</v>
      </c>
      <c r="J557" t="s">
        <v>7</v>
      </c>
      <c r="K557" t="s">
        <v>26</v>
      </c>
      <c r="L557" t="s">
        <v>39</v>
      </c>
      <c r="M557" t="s">
        <v>19</v>
      </c>
      <c r="N557">
        <v>9</v>
      </c>
      <c r="O557">
        <v>3</v>
      </c>
      <c r="P557">
        <v>3787.9500000000007</v>
      </c>
      <c r="Q557">
        <v>3240.57</v>
      </c>
    </row>
    <row r="558" spans="7:17" x14ac:dyDescent="0.25">
      <c r="G558" t="str">
        <f t="shared" si="8"/>
        <v/>
      </c>
      <c r="H558" t="s">
        <v>46</v>
      </c>
      <c r="I558" t="s">
        <v>10</v>
      </c>
      <c r="J558" t="s">
        <v>7</v>
      </c>
      <c r="K558" t="s">
        <v>26</v>
      </c>
      <c r="L558" t="s">
        <v>39</v>
      </c>
      <c r="M558" t="s">
        <v>20</v>
      </c>
      <c r="N558">
        <v>64</v>
      </c>
      <c r="O558">
        <v>36</v>
      </c>
      <c r="P558">
        <v>51767.999999999993</v>
      </c>
      <c r="Q558">
        <v>0</v>
      </c>
    </row>
    <row r="559" spans="7:17" x14ac:dyDescent="0.25">
      <c r="G559" t="str">
        <f t="shared" si="8"/>
        <v/>
      </c>
      <c r="H559" t="s">
        <v>46</v>
      </c>
      <c r="I559" t="s">
        <v>10</v>
      </c>
      <c r="J559" t="s">
        <v>7</v>
      </c>
      <c r="K559" t="s">
        <v>26</v>
      </c>
      <c r="L559" t="s">
        <v>40</v>
      </c>
      <c r="M559" t="s">
        <v>19</v>
      </c>
      <c r="N559">
        <v>18</v>
      </c>
      <c r="O559">
        <v>0</v>
      </c>
      <c r="P559">
        <v>25455.779999999995</v>
      </c>
      <c r="Q559">
        <v>24825.87</v>
      </c>
    </row>
    <row r="560" spans="7:17" x14ac:dyDescent="0.25">
      <c r="G560" t="str">
        <f t="shared" si="8"/>
        <v/>
      </c>
      <c r="H560" t="s">
        <v>46</v>
      </c>
      <c r="I560" t="s">
        <v>10</v>
      </c>
      <c r="J560" t="s">
        <v>7</v>
      </c>
      <c r="K560" t="s">
        <v>26</v>
      </c>
      <c r="L560" t="s">
        <v>40</v>
      </c>
      <c r="M560" t="s">
        <v>20</v>
      </c>
      <c r="N560">
        <v>36</v>
      </c>
      <c r="O560">
        <v>13</v>
      </c>
      <c r="P560">
        <v>29359.069999999992</v>
      </c>
      <c r="Q560">
        <v>0</v>
      </c>
    </row>
    <row r="561" spans="7:17" x14ac:dyDescent="0.25">
      <c r="G561" t="str">
        <f t="shared" si="8"/>
        <v/>
      </c>
      <c r="H561" t="s">
        <v>46</v>
      </c>
      <c r="I561" t="s">
        <v>10</v>
      </c>
      <c r="J561" t="s">
        <v>7</v>
      </c>
      <c r="K561" t="s">
        <v>26</v>
      </c>
      <c r="L561" t="s">
        <v>41</v>
      </c>
      <c r="M561" t="s">
        <v>19</v>
      </c>
      <c r="N561">
        <v>9</v>
      </c>
      <c r="O561">
        <v>0</v>
      </c>
      <c r="P561">
        <v>17187.21</v>
      </c>
      <c r="Q561">
        <v>16653.45</v>
      </c>
    </row>
    <row r="562" spans="7:17" x14ac:dyDescent="0.25">
      <c r="G562" t="str">
        <f t="shared" si="8"/>
        <v/>
      </c>
      <c r="H562" t="s">
        <v>46</v>
      </c>
      <c r="I562" t="s">
        <v>10</v>
      </c>
      <c r="J562" t="s">
        <v>7</v>
      </c>
      <c r="K562" t="s">
        <v>26</v>
      </c>
      <c r="L562" t="s">
        <v>41</v>
      </c>
      <c r="M562" t="s">
        <v>20</v>
      </c>
      <c r="N562">
        <v>45</v>
      </c>
      <c r="O562">
        <v>12</v>
      </c>
      <c r="P562">
        <v>38566.19000000001</v>
      </c>
      <c r="Q562">
        <v>0</v>
      </c>
    </row>
    <row r="563" spans="7:17" x14ac:dyDescent="0.25">
      <c r="G563" t="str">
        <f t="shared" si="8"/>
        <v/>
      </c>
      <c r="H563" t="s">
        <v>46</v>
      </c>
      <c r="I563" t="s">
        <v>10</v>
      </c>
      <c r="J563" t="s">
        <v>7</v>
      </c>
      <c r="K563" t="s">
        <v>27</v>
      </c>
      <c r="L563" t="s">
        <v>42</v>
      </c>
      <c r="M563" t="s">
        <v>19</v>
      </c>
      <c r="N563">
        <v>138</v>
      </c>
      <c r="O563">
        <v>20</v>
      </c>
      <c r="P563">
        <v>50467.310000000012</v>
      </c>
      <c r="Q563">
        <v>50070.890000000007</v>
      </c>
    </row>
    <row r="564" spans="7:17" x14ac:dyDescent="0.25">
      <c r="G564" t="str">
        <f t="shared" si="8"/>
        <v/>
      </c>
      <c r="H564" t="s">
        <v>46</v>
      </c>
      <c r="I564" t="s">
        <v>10</v>
      </c>
      <c r="J564" t="s">
        <v>7</v>
      </c>
      <c r="K564" t="s">
        <v>27</v>
      </c>
      <c r="L564" t="s">
        <v>42</v>
      </c>
      <c r="M564" t="s">
        <v>20</v>
      </c>
      <c r="N564">
        <v>39</v>
      </c>
      <c r="O564">
        <v>15</v>
      </c>
      <c r="P564">
        <v>7886.25</v>
      </c>
      <c r="Q564">
        <v>0</v>
      </c>
    </row>
    <row r="565" spans="7:17" x14ac:dyDescent="0.25">
      <c r="G565" t="str">
        <f t="shared" si="8"/>
        <v/>
      </c>
      <c r="H565" t="s">
        <v>46</v>
      </c>
      <c r="I565" t="s">
        <v>10</v>
      </c>
      <c r="J565" t="s">
        <v>7</v>
      </c>
      <c r="K565" t="s">
        <v>27</v>
      </c>
      <c r="L565" t="s">
        <v>43</v>
      </c>
      <c r="M565" t="s">
        <v>19</v>
      </c>
      <c r="N565">
        <v>12</v>
      </c>
      <c r="O565">
        <v>6</v>
      </c>
      <c r="P565">
        <v>9471.880000000001</v>
      </c>
      <c r="Q565">
        <v>8416.9000000000015</v>
      </c>
    </row>
    <row r="566" spans="7:17" x14ac:dyDescent="0.25">
      <c r="G566" t="str">
        <f t="shared" si="8"/>
        <v/>
      </c>
      <c r="H566" t="s">
        <v>46</v>
      </c>
      <c r="I566" t="s">
        <v>10</v>
      </c>
      <c r="J566" t="s">
        <v>7</v>
      </c>
      <c r="K566" t="s">
        <v>27</v>
      </c>
      <c r="L566" t="s">
        <v>43</v>
      </c>
      <c r="M566" t="s">
        <v>20</v>
      </c>
      <c r="N566">
        <v>17</v>
      </c>
      <c r="O566">
        <v>1</v>
      </c>
      <c r="P566">
        <v>12723.679999999998</v>
      </c>
      <c r="Q566">
        <v>0</v>
      </c>
    </row>
    <row r="567" spans="7:17" x14ac:dyDescent="0.25">
      <c r="G567" t="str">
        <f t="shared" si="8"/>
        <v/>
      </c>
      <c r="H567" t="s">
        <v>46</v>
      </c>
      <c r="I567" t="s">
        <v>10</v>
      </c>
      <c r="J567" t="s">
        <v>7</v>
      </c>
      <c r="K567" t="s">
        <v>27</v>
      </c>
      <c r="L567" t="s">
        <v>44</v>
      </c>
      <c r="M567" t="s">
        <v>20</v>
      </c>
      <c r="N567">
        <v>18</v>
      </c>
      <c r="O567">
        <v>11</v>
      </c>
      <c r="P567">
        <v>14490.470000000001</v>
      </c>
      <c r="Q567">
        <v>0</v>
      </c>
    </row>
    <row r="568" spans="7:17" x14ac:dyDescent="0.25">
      <c r="G568" t="str">
        <f t="shared" si="8"/>
        <v/>
      </c>
      <c r="H568" t="s">
        <v>46</v>
      </c>
      <c r="I568" t="s">
        <v>10</v>
      </c>
      <c r="J568" t="s">
        <v>7</v>
      </c>
      <c r="K568" t="s">
        <v>27</v>
      </c>
      <c r="L568" t="s">
        <v>39</v>
      </c>
      <c r="M568" t="s">
        <v>20</v>
      </c>
      <c r="N568">
        <v>4</v>
      </c>
      <c r="O568">
        <v>3</v>
      </c>
      <c r="P568">
        <v>2272.86</v>
      </c>
      <c r="Q568">
        <v>0</v>
      </c>
    </row>
    <row r="569" spans="7:17" x14ac:dyDescent="0.25">
      <c r="G569" t="str">
        <f t="shared" si="8"/>
        <v/>
      </c>
      <c r="H569" t="s">
        <v>46</v>
      </c>
      <c r="I569" t="s">
        <v>10</v>
      </c>
      <c r="J569" t="s">
        <v>7</v>
      </c>
      <c r="K569" t="s">
        <v>27</v>
      </c>
      <c r="L569" t="s">
        <v>40</v>
      </c>
      <c r="M569" t="s">
        <v>20</v>
      </c>
      <c r="N569">
        <v>1</v>
      </c>
      <c r="O569">
        <v>1</v>
      </c>
      <c r="P569">
        <v>1944.12</v>
      </c>
      <c r="Q569">
        <v>0</v>
      </c>
    </row>
    <row r="570" spans="7:17" x14ac:dyDescent="0.25">
      <c r="G570" t="str">
        <f t="shared" si="8"/>
        <v/>
      </c>
      <c r="H570" t="s">
        <v>46</v>
      </c>
      <c r="I570" t="s">
        <v>10</v>
      </c>
      <c r="J570" t="s">
        <v>7</v>
      </c>
      <c r="K570" t="s">
        <v>27</v>
      </c>
      <c r="L570" t="s">
        <v>41</v>
      </c>
      <c r="M570" t="s">
        <v>20</v>
      </c>
      <c r="N570">
        <v>5</v>
      </c>
      <c r="O570">
        <v>1</v>
      </c>
      <c r="P570">
        <v>2597.21</v>
      </c>
      <c r="Q570">
        <v>0</v>
      </c>
    </row>
    <row r="571" spans="7:17" x14ac:dyDescent="0.25">
      <c r="G571" t="str">
        <f t="shared" si="8"/>
        <v/>
      </c>
      <c r="H571" t="s">
        <v>46</v>
      </c>
      <c r="I571" t="s">
        <v>10</v>
      </c>
      <c r="J571" t="s">
        <v>7</v>
      </c>
      <c r="K571" t="s">
        <v>27</v>
      </c>
      <c r="L571" t="s">
        <v>45</v>
      </c>
      <c r="M571" t="s">
        <v>20</v>
      </c>
      <c r="N571">
        <v>17</v>
      </c>
      <c r="O571">
        <v>9</v>
      </c>
      <c r="P571">
        <v>12827.419999999998</v>
      </c>
      <c r="Q571">
        <v>0</v>
      </c>
    </row>
    <row r="572" spans="7:17" x14ac:dyDescent="0.25">
      <c r="G572" t="str">
        <f t="shared" si="8"/>
        <v/>
      </c>
      <c r="H572" t="s">
        <v>46</v>
      </c>
      <c r="I572" t="s">
        <v>10</v>
      </c>
      <c r="J572" t="s">
        <v>7</v>
      </c>
      <c r="K572" t="s">
        <v>28</v>
      </c>
      <c r="L572" t="s">
        <v>42</v>
      </c>
      <c r="M572" t="s">
        <v>19</v>
      </c>
      <c r="N572">
        <v>241</v>
      </c>
      <c r="O572">
        <v>117</v>
      </c>
      <c r="P572">
        <v>110808.05000000005</v>
      </c>
      <c r="Q572">
        <v>108413.18000000002</v>
      </c>
    </row>
    <row r="573" spans="7:17" x14ac:dyDescent="0.25">
      <c r="G573" t="str">
        <f t="shared" si="8"/>
        <v/>
      </c>
      <c r="H573" t="s">
        <v>46</v>
      </c>
      <c r="I573" t="s">
        <v>10</v>
      </c>
      <c r="J573" t="s">
        <v>7</v>
      </c>
      <c r="K573" t="s">
        <v>28</v>
      </c>
      <c r="L573" t="s">
        <v>42</v>
      </c>
      <c r="M573" t="s">
        <v>20</v>
      </c>
      <c r="N573">
        <v>156</v>
      </c>
      <c r="O573">
        <v>80</v>
      </c>
      <c r="P573">
        <v>41402.610000000022</v>
      </c>
      <c r="Q573">
        <v>0</v>
      </c>
    </row>
    <row r="574" spans="7:17" x14ac:dyDescent="0.25">
      <c r="G574" t="str">
        <f t="shared" si="8"/>
        <v/>
      </c>
      <c r="H574" t="s">
        <v>46</v>
      </c>
      <c r="I574" t="s">
        <v>10</v>
      </c>
      <c r="J574" t="s">
        <v>7</v>
      </c>
      <c r="K574" t="s">
        <v>28</v>
      </c>
      <c r="L574" t="s">
        <v>43</v>
      </c>
      <c r="M574" t="s">
        <v>19</v>
      </c>
      <c r="N574">
        <v>23</v>
      </c>
      <c r="O574">
        <v>18</v>
      </c>
      <c r="P574">
        <v>20198.540000000005</v>
      </c>
      <c r="Q574">
        <v>17634.950000000004</v>
      </c>
    </row>
    <row r="575" spans="7:17" x14ac:dyDescent="0.25">
      <c r="G575" t="str">
        <f t="shared" si="8"/>
        <v/>
      </c>
      <c r="H575" t="s">
        <v>46</v>
      </c>
      <c r="I575" t="s">
        <v>10</v>
      </c>
      <c r="J575" t="s">
        <v>7</v>
      </c>
      <c r="K575" t="s">
        <v>28</v>
      </c>
      <c r="L575" t="s">
        <v>43</v>
      </c>
      <c r="M575" t="s">
        <v>20</v>
      </c>
      <c r="N575">
        <v>42</v>
      </c>
      <c r="O575">
        <v>27</v>
      </c>
      <c r="P575">
        <v>25293.010000000006</v>
      </c>
      <c r="Q575">
        <v>0</v>
      </c>
    </row>
    <row r="576" spans="7:17" x14ac:dyDescent="0.25">
      <c r="G576" t="str">
        <f t="shared" si="8"/>
        <v/>
      </c>
      <c r="H576" t="s">
        <v>46</v>
      </c>
      <c r="I576" t="s">
        <v>10</v>
      </c>
      <c r="J576" t="s">
        <v>7</v>
      </c>
      <c r="K576" t="s">
        <v>28</v>
      </c>
      <c r="L576" t="s">
        <v>44</v>
      </c>
      <c r="M576" t="s">
        <v>19</v>
      </c>
      <c r="N576">
        <v>9</v>
      </c>
      <c r="O576">
        <v>6</v>
      </c>
      <c r="P576">
        <v>12641.069999999998</v>
      </c>
      <c r="Q576">
        <v>8860.4700000000012</v>
      </c>
    </row>
    <row r="577" spans="7:17" x14ac:dyDescent="0.25">
      <c r="G577" t="str">
        <f t="shared" si="8"/>
        <v/>
      </c>
      <c r="H577" t="s">
        <v>46</v>
      </c>
      <c r="I577" t="s">
        <v>10</v>
      </c>
      <c r="J577" t="s">
        <v>7</v>
      </c>
      <c r="K577" t="s">
        <v>28</v>
      </c>
      <c r="L577" t="s">
        <v>44</v>
      </c>
      <c r="M577" t="s">
        <v>20</v>
      </c>
      <c r="N577">
        <v>26</v>
      </c>
      <c r="O577">
        <v>23</v>
      </c>
      <c r="P577">
        <v>22268.170000000006</v>
      </c>
      <c r="Q577">
        <v>0</v>
      </c>
    </row>
    <row r="578" spans="7:17" x14ac:dyDescent="0.25">
      <c r="G578" t="str">
        <f t="shared" ref="G578:G641" si="9">IF(G$1="Overall","Overall",IF(G$1=L578,L578,""))</f>
        <v/>
      </c>
      <c r="H578" t="s">
        <v>46</v>
      </c>
      <c r="I578" t="s">
        <v>10</v>
      </c>
      <c r="J578" t="s">
        <v>7</v>
      </c>
      <c r="K578" t="s">
        <v>29</v>
      </c>
      <c r="L578" t="s">
        <v>42</v>
      </c>
      <c r="M578" t="s">
        <v>19</v>
      </c>
      <c r="N578">
        <v>159</v>
      </c>
      <c r="O578">
        <v>64</v>
      </c>
      <c r="P578">
        <v>66875.229999999981</v>
      </c>
      <c r="Q578">
        <v>66549.12999999999</v>
      </c>
    </row>
    <row r="579" spans="7:17" x14ac:dyDescent="0.25">
      <c r="G579" t="str">
        <f t="shared" si="9"/>
        <v/>
      </c>
      <c r="H579" t="s">
        <v>46</v>
      </c>
      <c r="I579" t="s">
        <v>10</v>
      </c>
      <c r="J579" t="s">
        <v>7</v>
      </c>
      <c r="K579" t="s">
        <v>29</v>
      </c>
      <c r="L579" t="s">
        <v>42</v>
      </c>
      <c r="M579" t="s">
        <v>20</v>
      </c>
      <c r="N579">
        <v>87</v>
      </c>
      <c r="O579">
        <v>37</v>
      </c>
      <c r="P579">
        <v>23345.49</v>
      </c>
      <c r="Q579">
        <v>0</v>
      </c>
    </row>
    <row r="580" spans="7:17" x14ac:dyDescent="0.25">
      <c r="G580" t="str">
        <f t="shared" si="9"/>
        <v/>
      </c>
      <c r="H580" t="s">
        <v>46</v>
      </c>
      <c r="I580" t="s">
        <v>10</v>
      </c>
      <c r="J580" t="s">
        <v>7</v>
      </c>
      <c r="K580" t="s">
        <v>29</v>
      </c>
      <c r="L580" t="s">
        <v>43</v>
      </c>
      <c r="M580" t="s">
        <v>19</v>
      </c>
      <c r="N580">
        <v>17</v>
      </c>
      <c r="O580">
        <v>13</v>
      </c>
      <c r="P580">
        <v>12716.67</v>
      </c>
      <c r="Q580">
        <v>11900.640000000001</v>
      </c>
    </row>
    <row r="581" spans="7:17" x14ac:dyDescent="0.25">
      <c r="G581" t="str">
        <f t="shared" si="9"/>
        <v/>
      </c>
      <c r="H581" t="s">
        <v>46</v>
      </c>
      <c r="I581" t="s">
        <v>10</v>
      </c>
      <c r="J581" t="s">
        <v>7</v>
      </c>
      <c r="K581" t="s">
        <v>29</v>
      </c>
      <c r="L581" t="s">
        <v>43</v>
      </c>
      <c r="M581" t="s">
        <v>20</v>
      </c>
      <c r="N581">
        <v>24</v>
      </c>
      <c r="O581">
        <v>13</v>
      </c>
      <c r="P581">
        <v>16684.41</v>
      </c>
      <c r="Q581">
        <v>0</v>
      </c>
    </row>
    <row r="582" spans="7:17" x14ac:dyDescent="0.25">
      <c r="G582" t="str">
        <f t="shared" si="9"/>
        <v/>
      </c>
      <c r="H582" t="s">
        <v>46</v>
      </c>
      <c r="I582" t="s">
        <v>10</v>
      </c>
      <c r="J582" t="s">
        <v>7</v>
      </c>
      <c r="K582" t="s">
        <v>29</v>
      </c>
      <c r="L582" t="s">
        <v>44</v>
      </c>
      <c r="M582" t="s">
        <v>19</v>
      </c>
      <c r="N582">
        <v>3</v>
      </c>
      <c r="O582">
        <v>3</v>
      </c>
      <c r="P582">
        <v>3313.25</v>
      </c>
      <c r="Q582">
        <v>2483</v>
      </c>
    </row>
    <row r="583" spans="7:17" x14ac:dyDescent="0.25">
      <c r="G583" t="str">
        <f t="shared" si="9"/>
        <v/>
      </c>
      <c r="H583" t="s">
        <v>46</v>
      </c>
      <c r="I583" t="s">
        <v>10</v>
      </c>
      <c r="J583" t="s">
        <v>7</v>
      </c>
      <c r="K583" t="s">
        <v>29</v>
      </c>
      <c r="L583" t="s">
        <v>44</v>
      </c>
      <c r="M583" t="s">
        <v>20</v>
      </c>
      <c r="N583">
        <v>17</v>
      </c>
      <c r="O583">
        <v>11</v>
      </c>
      <c r="P583">
        <v>13256.400000000001</v>
      </c>
      <c r="Q583">
        <v>0</v>
      </c>
    </row>
    <row r="584" spans="7:17" x14ac:dyDescent="0.25">
      <c r="G584" t="str">
        <f t="shared" si="9"/>
        <v/>
      </c>
      <c r="H584" t="s">
        <v>46</v>
      </c>
      <c r="I584" t="s">
        <v>10</v>
      </c>
      <c r="J584" t="s">
        <v>7</v>
      </c>
      <c r="K584" t="s">
        <v>29</v>
      </c>
      <c r="L584" t="s">
        <v>39</v>
      </c>
      <c r="M584" t="s">
        <v>20</v>
      </c>
      <c r="N584">
        <v>9</v>
      </c>
      <c r="O584">
        <v>9</v>
      </c>
      <c r="P584">
        <v>6210.19</v>
      </c>
      <c r="Q584">
        <v>0</v>
      </c>
    </row>
    <row r="585" spans="7:17" x14ac:dyDescent="0.25">
      <c r="G585" t="str">
        <f t="shared" si="9"/>
        <v/>
      </c>
      <c r="H585" t="s">
        <v>46</v>
      </c>
      <c r="I585" t="s">
        <v>10</v>
      </c>
      <c r="J585" t="s">
        <v>7</v>
      </c>
      <c r="K585" t="s">
        <v>29</v>
      </c>
      <c r="L585" t="s">
        <v>40</v>
      </c>
      <c r="M585" t="s">
        <v>20</v>
      </c>
      <c r="N585">
        <v>8</v>
      </c>
      <c r="O585">
        <v>3</v>
      </c>
      <c r="P585">
        <v>6106.25</v>
      </c>
      <c r="Q585">
        <v>0</v>
      </c>
    </row>
    <row r="586" spans="7:17" x14ac:dyDescent="0.25">
      <c r="G586" t="str">
        <f t="shared" si="9"/>
        <v/>
      </c>
      <c r="H586" t="s">
        <v>46</v>
      </c>
      <c r="I586" t="s">
        <v>10</v>
      </c>
      <c r="J586" t="s">
        <v>7</v>
      </c>
      <c r="K586" t="s">
        <v>29</v>
      </c>
      <c r="L586" t="s">
        <v>41</v>
      </c>
      <c r="M586" t="s">
        <v>20</v>
      </c>
      <c r="N586">
        <v>10</v>
      </c>
      <c r="O586">
        <v>5</v>
      </c>
      <c r="P586">
        <v>8393.18</v>
      </c>
      <c r="Q586">
        <v>0</v>
      </c>
    </row>
    <row r="587" spans="7:17" x14ac:dyDescent="0.25">
      <c r="G587" t="str">
        <f t="shared" si="9"/>
        <v/>
      </c>
      <c r="H587" t="s">
        <v>46</v>
      </c>
      <c r="I587" t="s">
        <v>10</v>
      </c>
      <c r="J587" t="s">
        <v>7</v>
      </c>
      <c r="K587" t="s">
        <v>29</v>
      </c>
      <c r="L587" t="s">
        <v>45</v>
      </c>
      <c r="M587" t="s">
        <v>19</v>
      </c>
      <c r="N587">
        <v>2</v>
      </c>
      <c r="O587">
        <v>0</v>
      </c>
      <c r="P587">
        <v>624.64</v>
      </c>
      <c r="Q587">
        <v>624.64</v>
      </c>
    </row>
    <row r="588" spans="7:17" x14ac:dyDescent="0.25">
      <c r="G588" t="str">
        <f t="shared" si="9"/>
        <v/>
      </c>
      <c r="H588" t="s">
        <v>46</v>
      </c>
      <c r="I588" t="s">
        <v>10</v>
      </c>
      <c r="J588" t="s">
        <v>7</v>
      </c>
      <c r="K588" t="s">
        <v>29</v>
      </c>
      <c r="L588" t="s">
        <v>45</v>
      </c>
      <c r="M588" t="s">
        <v>20</v>
      </c>
      <c r="N588">
        <v>92</v>
      </c>
      <c r="O588">
        <v>48</v>
      </c>
      <c r="P588">
        <v>77000.05</v>
      </c>
      <c r="Q588">
        <v>0</v>
      </c>
    </row>
    <row r="589" spans="7:17" x14ac:dyDescent="0.25">
      <c r="G589" t="str">
        <f t="shared" si="9"/>
        <v/>
      </c>
      <c r="H589" t="s">
        <v>46</v>
      </c>
      <c r="I589" t="s">
        <v>10</v>
      </c>
      <c r="J589" t="s">
        <v>7</v>
      </c>
      <c r="K589" t="s">
        <v>30</v>
      </c>
      <c r="L589" t="s">
        <v>42</v>
      </c>
      <c r="M589" t="s">
        <v>19</v>
      </c>
      <c r="N589">
        <v>14</v>
      </c>
      <c r="O589">
        <v>10</v>
      </c>
      <c r="P589">
        <v>7549.1799999999985</v>
      </c>
      <c r="Q589">
        <v>7454.829999999999</v>
      </c>
    </row>
    <row r="590" spans="7:17" x14ac:dyDescent="0.25">
      <c r="G590" t="str">
        <f t="shared" si="9"/>
        <v/>
      </c>
      <c r="H590" t="s">
        <v>46</v>
      </c>
      <c r="I590" t="s">
        <v>10</v>
      </c>
      <c r="J590" t="s">
        <v>7</v>
      </c>
      <c r="K590" t="s">
        <v>30</v>
      </c>
      <c r="L590" t="s">
        <v>42</v>
      </c>
      <c r="M590" t="s">
        <v>20</v>
      </c>
      <c r="N590">
        <v>17</v>
      </c>
      <c r="O590">
        <v>3</v>
      </c>
      <c r="P590">
        <v>4212.1600000000008</v>
      </c>
      <c r="Q590">
        <v>0</v>
      </c>
    </row>
    <row r="591" spans="7:17" x14ac:dyDescent="0.25">
      <c r="G591" t="str">
        <f t="shared" si="9"/>
        <v/>
      </c>
      <c r="H591" t="s">
        <v>46</v>
      </c>
      <c r="I591" t="s">
        <v>10</v>
      </c>
      <c r="J591" t="s">
        <v>7</v>
      </c>
      <c r="K591" t="s">
        <v>30</v>
      </c>
      <c r="L591" t="s">
        <v>43</v>
      </c>
      <c r="M591" t="s">
        <v>19</v>
      </c>
      <c r="N591">
        <v>1</v>
      </c>
      <c r="O591">
        <v>1</v>
      </c>
      <c r="P591">
        <v>676.96</v>
      </c>
      <c r="Q591">
        <v>675</v>
      </c>
    </row>
    <row r="592" spans="7:17" x14ac:dyDescent="0.25">
      <c r="G592" t="str">
        <f t="shared" si="9"/>
        <v/>
      </c>
      <c r="H592" t="s">
        <v>46</v>
      </c>
      <c r="I592" t="s">
        <v>10</v>
      </c>
      <c r="J592" t="s">
        <v>7</v>
      </c>
      <c r="K592" t="s">
        <v>30</v>
      </c>
      <c r="L592" t="s">
        <v>43</v>
      </c>
      <c r="M592" t="s">
        <v>20</v>
      </c>
      <c r="N592">
        <v>5</v>
      </c>
      <c r="O592">
        <v>2</v>
      </c>
      <c r="P592">
        <v>3284.85</v>
      </c>
      <c r="Q592">
        <v>0</v>
      </c>
    </row>
    <row r="593" spans="7:17" x14ac:dyDescent="0.25">
      <c r="G593" t="str">
        <f t="shared" si="9"/>
        <v/>
      </c>
      <c r="H593" t="s">
        <v>46</v>
      </c>
      <c r="I593" t="s">
        <v>10</v>
      </c>
      <c r="J593" t="s">
        <v>7</v>
      </c>
      <c r="K593" t="s">
        <v>30</v>
      </c>
      <c r="L593" t="s">
        <v>44</v>
      </c>
      <c r="M593" t="s">
        <v>19</v>
      </c>
      <c r="N593">
        <v>2</v>
      </c>
      <c r="O593">
        <v>2</v>
      </c>
      <c r="P593">
        <v>1324.15</v>
      </c>
      <c r="Q593">
        <v>925.97</v>
      </c>
    </row>
    <row r="594" spans="7:17" x14ac:dyDescent="0.25">
      <c r="G594" t="str">
        <f t="shared" si="9"/>
        <v/>
      </c>
      <c r="H594" t="s">
        <v>46</v>
      </c>
      <c r="I594" t="s">
        <v>10</v>
      </c>
      <c r="J594" t="s">
        <v>7</v>
      </c>
      <c r="K594" t="s">
        <v>30</v>
      </c>
      <c r="L594" t="s">
        <v>44</v>
      </c>
      <c r="M594" t="s">
        <v>20</v>
      </c>
      <c r="N594">
        <v>2</v>
      </c>
      <c r="O594">
        <v>2</v>
      </c>
      <c r="P594">
        <v>2059.56</v>
      </c>
      <c r="Q594">
        <v>0</v>
      </c>
    </row>
    <row r="595" spans="7:17" x14ac:dyDescent="0.25">
      <c r="G595" t="str">
        <f t="shared" si="9"/>
        <v/>
      </c>
      <c r="H595" t="s">
        <v>46</v>
      </c>
      <c r="I595" t="s">
        <v>10</v>
      </c>
      <c r="J595" t="s">
        <v>7</v>
      </c>
      <c r="K595" t="s">
        <v>30</v>
      </c>
      <c r="L595" t="s">
        <v>39</v>
      </c>
      <c r="M595" t="s">
        <v>20</v>
      </c>
      <c r="N595">
        <v>2</v>
      </c>
      <c r="O595">
        <v>2</v>
      </c>
      <c r="P595">
        <v>1196.46</v>
      </c>
      <c r="Q595">
        <v>0</v>
      </c>
    </row>
    <row r="596" spans="7:17" x14ac:dyDescent="0.25">
      <c r="G596" t="str">
        <f t="shared" si="9"/>
        <v/>
      </c>
      <c r="H596" t="s">
        <v>46</v>
      </c>
      <c r="I596" t="s">
        <v>10</v>
      </c>
      <c r="J596" t="s">
        <v>7</v>
      </c>
      <c r="K596" t="s">
        <v>30</v>
      </c>
      <c r="L596" t="s">
        <v>41</v>
      </c>
      <c r="M596" t="s">
        <v>20</v>
      </c>
      <c r="N596">
        <v>3</v>
      </c>
      <c r="O596">
        <v>2</v>
      </c>
      <c r="P596">
        <v>1891.06</v>
      </c>
      <c r="Q596">
        <v>0</v>
      </c>
    </row>
    <row r="597" spans="7:17" x14ac:dyDescent="0.25">
      <c r="G597" t="str">
        <f t="shared" si="9"/>
        <v/>
      </c>
      <c r="H597" t="s">
        <v>46</v>
      </c>
      <c r="I597" t="s">
        <v>10</v>
      </c>
      <c r="J597" t="s">
        <v>7</v>
      </c>
      <c r="K597" t="s">
        <v>30</v>
      </c>
      <c r="L597" t="s">
        <v>45</v>
      </c>
      <c r="M597" t="s">
        <v>20</v>
      </c>
      <c r="N597">
        <v>20</v>
      </c>
      <c r="O597">
        <v>6</v>
      </c>
      <c r="P597">
        <v>10403.26</v>
      </c>
      <c r="Q597">
        <v>0</v>
      </c>
    </row>
    <row r="598" spans="7:17" x14ac:dyDescent="0.25">
      <c r="G598" t="str">
        <f t="shared" si="9"/>
        <v/>
      </c>
      <c r="H598" t="s">
        <v>46</v>
      </c>
      <c r="I598" t="s">
        <v>10</v>
      </c>
      <c r="J598" t="s">
        <v>7</v>
      </c>
      <c r="K598" t="s">
        <v>32</v>
      </c>
      <c r="L598" t="s">
        <v>42</v>
      </c>
      <c r="M598" t="s">
        <v>19</v>
      </c>
      <c r="N598">
        <v>21</v>
      </c>
      <c r="O598">
        <v>5</v>
      </c>
      <c r="P598">
        <v>10626.890000000001</v>
      </c>
      <c r="Q598">
        <v>10599.17</v>
      </c>
    </row>
    <row r="599" spans="7:17" x14ac:dyDescent="0.25">
      <c r="G599" t="str">
        <f t="shared" si="9"/>
        <v/>
      </c>
      <c r="H599" t="s">
        <v>46</v>
      </c>
      <c r="I599" t="s">
        <v>10</v>
      </c>
      <c r="J599" t="s">
        <v>7</v>
      </c>
      <c r="K599" t="s">
        <v>32</v>
      </c>
      <c r="L599" t="s">
        <v>42</v>
      </c>
      <c r="M599" t="s">
        <v>20</v>
      </c>
      <c r="N599">
        <v>22</v>
      </c>
      <c r="O599">
        <v>1</v>
      </c>
      <c r="P599">
        <v>5659.2300000000005</v>
      </c>
      <c r="Q599">
        <v>0</v>
      </c>
    </row>
    <row r="600" spans="7:17" x14ac:dyDescent="0.25">
      <c r="G600" t="str">
        <f t="shared" si="9"/>
        <v/>
      </c>
      <c r="H600" t="s">
        <v>46</v>
      </c>
      <c r="I600" t="s">
        <v>10</v>
      </c>
      <c r="J600" t="s">
        <v>7</v>
      </c>
      <c r="K600" t="s">
        <v>32</v>
      </c>
      <c r="L600" t="s">
        <v>43</v>
      </c>
      <c r="M600" t="s">
        <v>19</v>
      </c>
      <c r="N600">
        <v>6</v>
      </c>
      <c r="O600">
        <v>1</v>
      </c>
      <c r="P600">
        <v>3788.86</v>
      </c>
      <c r="Q600">
        <v>2880.49</v>
      </c>
    </row>
    <row r="601" spans="7:17" x14ac:dyDescent="0.25">
      <c r="G601" t="str">
        <f t="shared" si="9"/>
        <v/>
      </c>
      <c r="H601" t="s">
        <v>46</v>
      </c>
      <c r="I601" t="s">
        <v>10</v>
      </c>
      <c r="J601" t="s">
        <v>7</v>
      </c>
      <c r="K601" t="s">
        <v>32</v>
      </c>
      <c r="L601" t="s">
        <v>43</v>
      </c>
      <c r="M601" t="s">
        <v>20</v>
      </c>
      <c r="N601">
        <v>6</v>
      </c>
      <c r="O601">
        <v>3</v>
      </c>
      <c r="P601">
        <v>4460.3100000000004</v>
      </c>
      <c r="Q601">
        <v>0</v>
      </c>
    </row>
    <row r="602" spans="7:17" x14ac:dyDescent="0.25">
      <c r="G602" t="str">
        <f t="shared" si="9"/>
        <v/>
      </c>
      <c r="H602" t="s">
        <v>46</v>
      </c>
      <c r="I602" t="s">
        <v>10</v>
      </c>
      <c r="J602" t="s">
        <v>7</v>
      </c>
      <c r="K602" t="s">
        <v>32</v>
      </c>
      <c r="L602" t="s">
        <v>44</v>
      </c>
      <c r="M602" t="s">
        <v>20</v>
      </c>
      <c r="N602">
        <v>9</v>
      </c>
      <c r="O602">
        <v>2</v>
      </c>
      <c r="P602">
        <v>7296.5700000000006</v>
      </c>
      <c r="Q602">
        <v>0</v>
      </c>
    </row>
    <row r="603" spans="7:17" x14ac:dyDescent="0.25">
      <c r="G603" t="str">
        <f t="shared" si="9"/>
        <v/>
      </c>
      <c r="H603" t="s">
        <v>46</v>
      </c>
      <c r="I603" t="s">
        <v>10</v>
      </c>
      <c r="J603" t="s">
        <v>7</v>
      </c>
      <c r="K603" t="s">
        <v>32</v>
      </c>
      <c r="L603" t="s">
        <v>39</v>
      </c>
      <c r="M603" t="s">
        <v>20</v>
      </c>
      <c r="N603">
        <v>1</v>
      </c>
      <c r="O603">
        <v>0</v>
      </c>
      <c r="P603">
        <v>1158.94</v>
      </c>
      <c r="Q603">
        <v>0</v>
      </c>
    </row>
    <row r="604" spans="7:17" x14ac:dyDescent="0.25">
      <c r="G604" t="str">
        <f t="shared" si="9"/>
        <v/>
      </c>
      <c r="H604" t="s">
        <v>46</v>
      </c>
      <c r="I604" t="s">
        <v>10</v>
      </c>
      <c r="J604" t="s">
        <v>7</v>
      </c>
      <c r="K604" t="s">
        <v>32</v>
      </c>
      <c r="L604" t="s">
        <v>40</v>
      </c>
      <c r="M604" t="s">
        <v>20</v>
      </c>
      <c r="N604">
        <v>2</v>
      </c>
      <c r="O604">
        <v>0</v>
      </c>
      <c r="P604">
        <v>3816.13</v>
      </c>
      <c r="Q604">
        <v>0</v>
      </c>
    </row>
    <row r="605" spans="7:17" x14ac:dyDescent="0.25">
      <c r="G605" t="str">
        <f t="shared" si="9"/>
        <v/>
      </c>
      <c r="H605" t="s">
        <v>46</v>
      </c>
      <c r="I605" t="s">
        <v>10</v>
      </c>
      <c r="J605" t="s">
        <v>7</v>
      </c>
      <c r="K605" t="s">
        <v>32</v>
      </c>
      <c r="L605" t="s">
        <v>41</v>
      </c>
      <c r="M605" t="s">
        <v>20</v>
      </c>
      <c r="N605">
        <v>1</v>
      </c>
      <c r="O605">
        <v>0</v>
      </c>
      <c r="P605">
        <v>249.73</v>
      </c>
      <c r="Q605">
        <v>0</v>
      </c>
    </row>
    <row r="606" spans="7:17" x14ac:dyDescent="0.25">
      <c r="G606" t="str">
        <f t="shared" si="9"/>
        <v/>
      </c>
      <c r="H606" t="s">
        <v>46</v>
      </c>
      <c r="I606" t="s">
        <v>10</v>
      </c>
      <c r="J606" t="s">
        <v>7</v>
      </c>
      <c r="K606" t="s">
        <v>32</v>
      </c>
      <c r="L606" t="s">
        <v>45</v>
      </c>
      <c r="M606" t="s">
        <v>20</v>
      </c>
      <c r="N606">
        <v>20</v>
      </c>
      <c r="O606">
        <v>5</v>
      </c>
      <c r="P606">
        <v>13572.779999999999</v>
      </c>
      <c r="Q606">
        <v>0</v>
      </c>
    </row>
    <row r="607" spans="7:17" x14ac:dyDescent="0.25">
      <c r="G607" t="str">
        <f t="shared" si="9"/>
        <v/>
      </c>
      <c r="H607" t="s">
        <v>46</v>
      </c>
      <c r="I607" t="s">
        <v>10</v>
      </c>
      <c r="J607" t="s">
        <v>7</v>
      </c>
      <c r="K607" t="s">
        <v>33</v>
      </c>
      <c r="L607" t="s">
        <v>42</v>
      </c>
      <c r="M607" t="s">
        <v>19</v>
      </c>
      <c r="N607">
        <v>141</v>
      </c>
      <c r="O607">
        <v>52</v>
      </c>
      <c r="P607">
        <v>61506.81</v>
      </c>
      <c r="Q607">
        <v>60961.78</v>
      </c>
    </row>
    <row r="608" spans="7:17" x14ac:dyDescent="0.25">
      <c r="G608" t="str">
        <f t="shared" si="9"/>
        <v/>
      </c>
      <c r="H608" t="s">
        <v>46</v>
      </c>
      <c r="I608" t="s">
        <v>10</v>
      </c>
      <c r="J608" t="s">
        <v>7</v>
      </c>
      <c r="K608" t="s">
        <v>33</v>
      </c>
      <c r="L608" t="s">
        <v>42</v>
      </c>
      <c r="M608" t="s">
        <v>20</v>
      </c>
      <c r="N608">
        <v>85</v>
      </c>
      <c r="O608">
        <v>27</v>
      </c>
      <c r="P608">
        <v>16106.099999999999</v>
      </c>
      <c r="Q608">
        <v>0</v>
      </c>
    </row>
    <row r="609" spans="7:17" x14ac:dyDescent="0.25">
      <c r="G609" t="str">
        <f t="shared" si="9"/>
        <v/>
      </c>
      <c r="H609" t="s">
        <v>46</v>
      </c>
      <c r="I609" t="s">
        <v>10</v>
      </c>
      <c r="J609" t="s">
        <v>7</v>
      </c>
      <c r="K609" t="s">
        <v>33</v>
      </c>
      <c r="L609" t="s">
        <v>43</v>
      </c>
      <c r="M609" t="s">
        <v>19</v>
      </c>
      <c r="N609">
        <v>13</v>
      </c>
      <c r="O609">
        <v>6</v>
      </c>
      <c r="P609">
        <v>11353.630000000001</v>
      </c>
      <c r="Q609">
        <v>11353.630000000001</v>
      </c>
    </row>
    <row r="610" spans="7:17" x14ac:dyDescent="0.25">
      <c r="G610" t="str">
        <f t="shared" si="9"/>
        <v/>
      </c>
      <c r="H610" t="s">
        <v>46</v>
      </c>
      <c r="I610" t="s">
        <v>10</v>
      </c>
      <c r="J610" t="s">
        <v>7</v>
      </c>
      <c r="K610" t="s">
        <v>33</v>
      </c>
      <c r="L610" t="s">
        <v>43</v>
      </c>
      <c r="M610" t="s">
        <v>20</v>
      </c>
      <c r="N610">
        <v>38</v>
      </c>
      <c r="O610">
        <v>5</v>
      </c>
      <c r="P610">
        <v>21253.27</v>
      </c>
      <c r="Q610">
        <v>0</v>
      </c>
    </row>
    <row r="611" spans="7:17" x14ac:dyDescent="0.25">
      <c r="G611" t="str">
        <f t="shared" si="9"/>
        <v/>
      </c>
      <c r="H611" t="s">
        <v>46</v>
      </c>
      <c r="I611" t="s">
        <v>10</v>
      </c>
      <c r="J611" t="s">
        <v>7</v>
      </c>
      <c r="K611" t="s">
        <v>33</v>
      </c>
      <c r="L611" t="s">
        <v>44</v>
      </c>
      <c r="M611" t="s">
        <v>19</v>
      </c>
      <c r="N611">
        <v>1</v>
      </c>
      <c r="O611">
        <v>1</v>
      </c>
      <c r="P611">
        <v>748.72</v>
      </c>
      <c r="Q611">
        <v>748.72</v>
      </c>
    </row>
    <row r="612" spans="7:17" x14ac:dyDescent="0.25">
      <c r="G612" t="str">
        <f t="shared" si="9"/>
        <v/>
      </c>
      <c r="H612" t="s">
        <v>46</v>
      </c>
      <c r="I612" t="s">
        <v>10</v>
      </c>
      <c r="J612" t="s">
        <v>7</v>
      </c>
      <c r="K612" t="s">
        <v>33</v>
      </c>
      <c r="L612" t="s">
        <v>44</v>
      </c>
      <c r="M612" t="s">
        <v>20</v>
      </c>
      <c r="N612">
        <v>23</v>
      </c>
      <c r="O612">
        <v>11</v>
      </c>
      <c r="P612">
        <v>13597.259999999997</v>
      </c>
      <c r="Q612">
        <v>0</v>
      </c>
    </row>
    <row r="613" spans="7:17" x14ac:dyDescent="0.25">
      <c r="G613" t="str">
        <f t="shared" si="9"/>
        <v/>
      </c>
      <c r="H613" t="s">
        <v>46</v>
      </c>
      <c r="I613" t="s">
        <v>10</v>
      </c>
      <c r="J613" t="s">
        <v>7</v>
      </c>
      <c r="K613" t="s">
        <v>33</v>
      </c>
      <c r="L613" t="s">
        <v>39</v>
      </c>
      <c r="M613" t="s">
        <v>20</v>
      </c>
      <c r="N613">
        <v>20</v>
      </c>
      <c r="O613">
        <v>12</v>
      </c>
      <c r="P613">
        <v>13926.98</v>
      </c>
      <c r="Q613">
        <v>0</v>
      </c>
    </row>
    <row r="614" spans="7:17" x14ac:dyDescent="0.25">
      <c r="G614" t="str">
        <f t="shared" si="9"/>
        <v/>
      </c>
      <c r="H614" t="s">
        <v>46</v>
      </c>
      <c r="I614" t="s">
        <v>10</v>
      </c>
      <c r="J614" t="s">
        <v>7</v>
      </c>
      <c r="K614" t="s">
        <v>33</v>
      </c>
      <c r="L614" t="s">
        <v>40</v>
      </c>
      <c r="M614" t="s">
        <v>20</v>
      </c>
      <c r="N614">
        <v>11</v>
      </c>
      <c r="O614">
        <v>5</v>
      </c>
      <c r="P614">
        <v>8964.0399999999991</v>
      </c>
      <c r="Q614">
        <v>0</v>
      </c>
    </row>
    <row r="615" spans="7:17" x14ac:dyDescent="0.25">
      <c r="G615" t="str">
        <f t="shared" si="9"/>
        <v/>
      </c>
      <c r="H615" t="s">
        <v>46</v>
      </c>
      <c r="I615" t="s">
        <v>10</v>
      </c>
      <c r="J615" t="s">
        <v>7</v>
      </c>
      <c r="K615" t="s">
        <v>33</v>
      </c>
      <c r="L615" t="s">
        <v>41</v>
      </c>
      <c r="M615" t="s">
        <v>20</v>
      </c>
      <c r="N615">
        <v>5</v>
      </c>
      <c r="O615">
        <v>2</v>
      </c>
      <c r="P615">
        <v>2724.87</v>
      </c>
      <c r="Q615">
        <v>0</v>
      </c>
    </row>
    <row r="616" spans="7:17" x14ac:dyDescent="0.25">
      <c r="G616" t="str">
        <f t="shared" si="9"/>
        <v/>
      </c>
      <c r="H616" t="s">
        <v>46</v>
      </c>
      <c r="I616" t="s">
        <v>10</v>
      </c>
      <c r="J616" t="s">
        <v>7</v>
      </c>
      <c r="K616" t="s">
        <v>33</v>
      </c>
      <c r="L616" t="s">
        <v>45</v>
      </c>
      <c r="M616" t="s">
        <v>20</v>
      </c>
      <c r="N616">
        <v>96</v>
      </c>
      <c r="O616">
        <v>45</v>
      </c>
      <c r="P616">
        <v>78759.659999999989</v>
      </c>
      <c r="Q616">
        <v>0</v>
      </c>
    </row>
    <row r="617" spans="7:17" x14ac:dyDescent="0.25">
      <c r="G617" t="str">
        <f t="shared" si="9"/>
        <v/>
      </c>
      <c r="H617" t="s">
        <v>46</v>
      </c>
      <c r="I617" t="s">
        <v>10</v>
      </c>
      <c r="J617" t="s">
        <v>7</v>
      </c>
      <c r="K617" t="s">
        <v>34</v>
      </c>
      <c r="L617" t="s">
        <v>42</v>
      </c>
      <c r="M617" t="s">
        <v>19</v>
      </c>
      <c r="N617">
        <v>95</v>
      </c>
      <c r="O617">
        <v>32</v>
      </c>
      <c r="P617">
        <v>39823.680000000022</v>
      </c>
      <c r="Q617">
        <v>39532.230000000018</v>
      </c>
    </row>
    <row r="618" spans="7:17" x14ac:dyDescent="0.25">
      <c r="G618" t="str">
        <f t="shared" si="9"/>
        <v/>
      </c>
      <c r="H618" t="s">
        <v>46</v>
      </c>
      <c r="I618" t="s">
        <v>10</v>
      </c>
      <c r="J618" t="s">
        <v>7</v>
      </c>
      <c r="K618" t="s">
        <v>34</v>
      </c>
      <c r="L618" t="s">
        <v>42</v>
      </c>
      <c r="M618" t="s">
        <v>20</v>
      </c>
      <c r="N618">
        <v>63</v>
      </c>
      <c r="O618">
        <v>22</v>
      </c>
      <c r="P618">
        <v>16602.959999999995</v>
      </c>
      <c r="Q618">
        <v>0</v>
      </c>
    </row>
    <row r="619" spans="7:17" x14ac:dyDescent="0.25">
      <c r="G619" t="str">
        <f t="shared" si="9"/>
        <v/>
      </c>
      <c r="H619" t="s">
        <v>46</v>
      </c>
      <c r="I619" t="s">
        <v>10</v>
      </c>
      <c r="J619" t="s">
        <v>7</v>
      </c>
      <c r="K619" t="s">
        <v>34</v>
      </c>
      <c r="L619" t="s">
        <v>43</v>
      </c>
      <c r="M619" t="s">
        <v>19</v>
      </c>
      <c r="N619">
        <v>8</v>
      </c>
      <c r="O619">
        <v>7</v>
      </c>
      <c r="P619">
        <v>5390.45</v>
      </c>
      <c r="Q619">
        <v>5387.6699999999992</v>
      </c>
    </row>
    <row r="620" spans="7:17" x14ac:dyDescent="0.25">
      <c r="G620" t="str">
        <f t="shared" si="9"/>
        <v/>
      </c>
      <c r="H620" t="s">
        <v>46</v>
      </c>
      <c r="I620" t="s">
        <v>10</v>
      </c>
      <c r="J620" t="s">
        <v>7</v>
      </c>
      <c r="K620" t="s">
        <v>34</v>
      </c>
      <c r="L620" t="s">
        <v>43</v>
      </c>
      <c r="M620" t="s">
        <v>20</v>
      </c>
      <c r="N620">
        <v>18</v>
      </c>
      <c r="O620">
        <v>10</v>
      </c>
      <c r="P620">
        <v>12900.52</v>
      </c>
      <c r="Q620">
        <v>0</v>
      </c>
    </row>
    <row r="621" spans="7:17" x14ac:dyDescent="0.25">
      <c r="G621" t="str">
        <f t="shared" si="9"/>
        <v/>
      </c>
      <c r="H621" t="s">
        <v>46</v>
      </c>
      <c r="I621" t="s">
        <v>10</v>
      </c>
      <c r="J621" t="s">
        <v>7</v>
      </c>
      <c r="K621" t="s">
        <v>34</v>
      </c>
      <c r="L621" t="s">
        <v>44</v>
      </c>
      <c r="M621" t="s">
        <v>19</v>
      </c>
      <c r="N621">
        <v>11</v>
      </c>
      <c r="O621">
        <v>5</v>
      </c>
      <c r="P621">
        <v>12637.369999999999</v>
      </c>
      <c r="Q621">
        <v>9190.7199999999993</v>
      </c>
    </row>
    <row r="622" spans="7:17" x14ac:dyDescent="0.25">
      <c r="G622" t="str">
        <f t="shared" si="9"/>
        <v/>
      </c>
      <c r="H622" t="s">
        <v>46</v>
      </c>
      <c r="I622" t="s">
        <v>10</v>
      </c>
      <c r="J622" t="s">
        <v>7</v>
      </c>
      <c r="K622" t="s">
        <v>34</v>
      </c>
      <c r="L622" t="s">
        <v>44</v>
      </c>
      <c r="M622" t="s">
        <v>20</v>
      </c>
      <c r="N622">
        <v>20</v>
      </c>
      <c r="O622">
        <v>7</v>
      </c>
      <c r="P622">
        <v>21444.070000000007</v>
      </c>
      <c r="Q622">
        <v>0</v>
      </c>
    </row>
    <row r="623" spans="7:17" x14ac:dyDescent="0.25">
      <c r="G623" t="str">
        <f t="shared" si="9"/>
        <v/>
      </c>
      <c r="H623" t="s">
        <v>46</v>
      </c>
      <c r="I623" t="s">
        <v>10</v>
      </c>
      <c r="J623" t="s">
        <v>7</v>
      </c>
      <c r="K623" t="s">
        <v>34</v>
      </c>
      <c r="L623" t="s">
        <v>39</v>
      </c>
      <c r="M623" t="s">
        <v>19</v>
      </c>
      <c r="N623">
        <v>3</v>
      </c>
      <c r="O623">
        <v>1</v>
      </c>
      <c r="P623">
        <v>1498.79</v>
      </c>
      <c r="Q623">
        <v>854.9</v>
      </c>
    </row>
    <row r="624" spans="7:17" x14ac:dyDescent="0.25">
      <c r="G624" t="str">
        <f t="shared" si="9"/>
        <v/>
      </c>
      <c r="H624" t="s">
        <v>46</v>
      </c>
      <c r="I624" t="s">
        <v>10</v>
      </c>
      <c r="J624" t="s">
        <v>7</v>
      </c>
      <c r="K624" t="s">
        <v>34</v>
      </c>
      <c r="L624" t="s">
        <v>39</v>
      </c>
      <c r="M624" t="s">
        <v>20</v>
      </c>
      <c r="N624">
        <v>3</v>
      </c>
      <c r="O624">
        <v>2</v>
      </c>
      <c r="P624">
        <v>3200.12</v>
      </c>
      <c r="Q624">
        <v>0</v>
      </c>
    </row>
    <row r="625" spans="7:17" x14ac:dyDescent="0.25">
      <c r="G625" t="str">
        <f t="shared" si="9"/>
        <v/>
      </c>
      <c r="H625" t="s">
        <v>46</v>
      </c>
      <c r="I625" t="s">
        <v>10</v>
      </c>
      <c r="J625" t="s">
        <v>7</v>
      </c>
      <c r="K625" t="s">
        <v>34</v>
      </c>
      <c r="L625" t="s">
        <v>40</v>
      </c>
      <c r="M625" t="s">
        <v>20</v>
      </c>
      <c r="N625">
        <v>3</v>
      </c>
      <c r="O625">
        <v>1</v>
      </c>
      <c r="P625">
        <v>2194.31</v>
      </c>
      <c r="Q625">
        <v>0</v>
      </c>
    </row>
    <row r="626" spans="7:17" x14ac:dyDescent="0.25">
      <c r="G626" t="str">
        <f t="shared" si="9"/>
        <v/>
      </c>
      <c r="H626" t="s">
        <v>46</v>
      </c>
      <c r="I626" t="s">
        <v>10</v>
      </c>
      <c r="J626" t="s">
        <v>7</v>
      </c>
      <c r="K626" t="s">
        <v>34</v>
      </c>
      <c r="L626" t="s">
        <v>41</v>
      </c>
      <c r="M626" t="s">
        <v>20</v>
      </c>
      <c r="N626">
        <v>1</v>
      </c>
      <c r="O626">
        <v>0</v>
      </c>
      <c r="P626">
        <v>1215.72</v>
      </c>
      <c r="Q626">
        <v>0</v>
      </c>
    </row>
    <row r="627" spans="7:17" x14ac:dyDescent="0.25">
      <c r="G627" t="str">
        <f t="shared" si="9"/>
        <v/>
      </c>
      <c r="H627" t="s">
        <v>46</v>
      </c>
      <c r="I627" t="s">
        <v>10</v>
      </c>
      <c r="J627" t="s">
        <v>7</v>
      </c>
      <c r="K627" t="s">
        <v>34</v>
      </c>
      <c r="L627" t="s">
        <v>45</v>
      </c>
      <c r="M627" t="s">
        <v>19</v>
      </c>
      <c r="N627">
        <v>7</v>
      </c>
      <c r="O627">
        <v>1</v>
      </c>
      <c r="P627">
        <v>3291.2200000000003</v>
      </c>
      <c r="Q627">
        <v>3291.2200000000003</v>
      </c>
    </row>
    <row r="628" spans="7:17" x14ac:dyDescent="0.25">
      <c r="G628" t="str">
        <f t="shared" si="9"/>
        <v/>
      </c>
      <c r="H628" t="s">
        <v>46</v>
      </c>
      <c r="I628" t="s">
        <v>10</v>
      </c>
      <c r="J628" t="s">
        <v>7</v>
      </c>
      <c r="K628" t="s">
        <v>34</v>
      </c>
      <c r="L628" t="s">
        <v>45</v>
      </c>
      <c r="M628" t="s">
        <v>20</v>
      </c>
      <c r="N628">
        <v>40</v>
      </c>
      <c r="O628">
        <v>27</v>
      </c>
      <c r="P628">
        <v>21885.919999999995</v>
      </c>
      <c r="Q628">
        <v>0</v>
      </c>
    </row>
    <row r="629" spans="7:17" x14ac:dyDescent="0.25">
      <c r="G629" t="str">
        <f t="shared" si="9"/>
        <v/>
      </c>
      <c r="H629" t="s">
        <v>46</v>
      </c>
      <c r="I629" t="s">
        <v>10</v>
      </c>
      <c r="J629" t="s">
        <v>7</v>
      </c>
      <c r="K629" t="s">
        <v>35</v>
      </c>
      <c r="L629" t="s">
        <v>42</v>
      </c>
      <c r="M629" t="s">
        <v>19</v>
      </c>
      <c r="N629">
        <v>224</v>
      </c>
      <c r="O629">
        <v>82</v>
      </c>
      <c r="P629">
        <v>99812.370000000054</v>
      </c>
      <c r="Q629">
        <v>98369.110000000044</v>
      </c>
    </row>
    <row r="630" spans="7:17" x14ac:dyDescent="0.25">
      <c r="G630" t="str">
        <f t="shared" si="9"/>
        <v/>
      </c>
      <c r="H630" t="s">
        <v>46</v>
      </c>
      <c r="I630" t="s">
        <v>10</v>
      </c>
      <c r="J630" t="s">
        <v>7</v>
      </c>
      <c r="K630" t="s">
        <v>35</v>
      </c>
      <c r="L630" t="s">
        <v>42</v>
      </c>
      <c r="M630" t="s">
        <v>20</v>
      </c>
      <c r="N630">
        <v>78</v>
      </c>
      <c r="O630">
        <v>41</v>
      </c>
      <c r="P630">
        <v>19775.109999999997</v>
      </c>
      <c r="Q630">
        <v>0</v>
      </c>
    </row>
    <row r="631" spans="7:17" x14ac:dyDescent="0.25">
      <c r="G631" t="str">
        <f t="shared" si="9"/>
        <v/>
      </c>
      <c r="H631" t="s">
        <v>46</v>
      </c>
      <c r="I631" t="s">
        <v>10</v>
      </c>
      <c r="J631" t="s">
        <v>7</v>
      </c>
      <c r="K631" t="s">
        <v>35</v>
      </c>
      <c r="L631" t="s">
        <v>43</v>
      </c>
      <c r="M631" t="s">
        <v>19</v>
      </c>
      <c r="N631">
        <v>31</v>
      </c>
      <c r="O631">
        <v>15</v>
      </c>
      <c r="P631">
        <v>23702.19</v>
      </c>
      <c r="Q631">
        <v>20643.32</v>
      </c>
    </row>
    <row r="632" spans="7:17" x14ac:dyDescent="0.25">
      <c r="G632" t="str">
        <f t="shared" si="9"/>
        <v/>
      </c>
      <c r="H632" t="s">
        <v>46</v>
      </c>
      <c r="I632" t="s">
        <v>10</v>
      </c>
      <c r="J632" t="s">
        <v>7</v>
      </c>
      <c r="K632" t="s">
        <v>35</v>
      </c>
      <c r="L632" t="s">
        <v>43</v>
      </c>
      <c r="M632" t="s">
        <v>20</v>
      </c>
      <c r="N632">
        <v>27</v>
      </c>
      <c r="O632">
        <v>14</v>
      </c>
      <c r="P632">
        <v>16555.29</v>
      </c>
      <c r="Q632">
        <v>0</v>
      </c>
    </row>
    <row r="633" spans="7:17" x14ac:dyDescent="0.25">
      <c r="G633" t="str">
        <f t="shared" si="9"/>
        <v/>
      </c>
      <c r="H633" t="s">
        <v>46</v>
      </c>
      <c r="I633" t="s">
        <v>10</v>
      </c>
      <c r="J633" t="s">
        <v>7</v>
      </c>
      <c r="K633" t="s">
        <v>35</v>
      </c>
      <c r="L633" t="s">
        <v>44</v>
      </c>
      <c r="M633" t="s">
        <v>19</v>
      </c>
      <c r="N633">
        <v>6</v>
      </c>
      <c r="O633">
        <v>5</v>
      </c>
      <c r="P633">
        <v>5671.7199999999993</v>
      </c>
      <c r="Q633">
        <v>4110.83</v>
      </c>
    </row>
    <row r="634" spans="7:17" x14ac:dyDescent="0.25">
      <c r="G634" t="str">
        <f t="shared" si="9"/>
        <v/>
      </c>
      <c r="H634" t="s">
        <v>46</v>
      </c>
      <c r="I634" t="s">
        <v>10</v>
      </c>
      <c r="J634" t="s">
        <v>7</v>
      </c>
      <c r="K634" t="s">
        <v>35</v>
      </c>
      <c r="L634" t="s">
        <v>44</v>
      </c>
      <c r="M634" t="s">
        <v>20</v>
      </c>
      <c r="N634">
        <v>15</v>
      </c>
      <c r="O634">
        <v>12</v>
      </c>
      <c r="P634">
        <v>12507.400000000003</v>
      </c>
      <c r="Q634">
        <v>0</v>
      </c>
    </row>
    <row r="635" spans="7:17" x14ac:dyDescent="0.25">
      <c r="G635" t="str">
        <f t="shared" si="9"/>
        <v/>
      </c>
      <c r="H635" t="s">
        <v>46</v>
      </c>
      <c r="I635" t="s">
        <v>10</v>
      </c>
      <c r="J635" t="s">
        <v>7</v>
      </c>
      <c r="K635" t="s">
        <v>36</v>
      </c>
      <c r="L635" t="s">
        <v>42</v>
      </c>
      <c r="M635" t="s">
        <v>19</v>
      </c>
      <c r="N635">
        <v>169</v>
      </c>
      <c r="O635">
        <v>66</v>
      </c>
      <c r="P635">
        <v>79914.23</v>
      </c>
      <c r="Q635">
        <v>77489.999999999985</v>
      </c>
    </row>
    <row r="636" spans="7:17" x14ac:dyDescent="0.25">
      <c r="G636" t="str">
        <f t="shared" si="9"/>
        <v/>
      </c>
      <c r="H636" t="s">
        <v>46</v>
      </c>
      <c r="I636" t="s">
        <v>10</v>
      </c>
      <c r="J636" t="s">
        <v>7</v>
      </c>
      <c r="K636" t="s">
        <v>36</v>
      </c>
      <c r="L636" t="s">
        <v>42</v>
      </c>
      <c r="M636" t="s">
        <v>20</v>
      </c>
      <c r="N636">
        <v>82</v>
      </c>
      <c r="O636">
        <v>26</v>
      </c>
      <c r="P636">
        <v>22332.369999999995</v>
      </c>
      <c r="Q636">
        <v>0</v>
      </c>
    </row>
    <row r="637" spans="7:17" x14ac:dyDescent="0.25">
      <c r="G637" t="str">
        <f t="shared" si="9"/>
        <v/>
      </c>
      <c r="H637" t="s">
        <v>46</v>
      </c>
      <c r="I637" t="s">
        <v>10</v>
      </c>
      <c r="J637" t="s">
        <v>7</v>
      </c>
      <c r="K637" t="s">
        <v>36</v>
      </c>
      <c r="L637" t="s">
        <v>43</v>
      </c>
      <c r="M637" t="s">
        <v>19</v>
      </c>
      <c r="N637">
        <v>13</v>
      </c>
      <c r="O637">
        <v>8</v>
      </c>
      <c r="P637">
        <v>11165.950000000003</v>
      </c>
      <c r="Q637">
        <v>9720.2599999999984</v>
      </c>
    </row>
    <row r="638" spans="7:17" x14ac:dyDescent="0.25">
      <c r="G638" t="str">
        <f t="shared" si="9"/>
        <v/>
      </c>
      <c r="H638" t="s">
        <v>46</v>
      </c>
      <c r="I638" t="s">
        <v>10</v>
      </c>
      <c r="J638" t="s">
        <v>7</v>
      </c>
      <c r="K638" t="s">
        <v>36</v>
      </c>
      <c r="L638" t="s">
        <v>43</v>
      </c>
      <c r="M638" t="s">
        <v>20</v>
      </c>
      <c r="N638">
        <v>31</v>
      </c>
      <c r="O638">
        <v>13</v>
      </c>
      <c r="P638">
        <v>19254.18</v>
      </c>
      <c r="Q638">
        <v>0</v>
      </c>
    </row>
    <row r="639" spans="7:17" x14ac:dyDescent="0.25">
      <c r="G639" t="str">
        <f t="shared" si="9"/>
        <v/>
      </c>
      <c r="H639" t="s">
        <v>46</v>
      </c>
      <c r="I639" t="s">
        <v>10</v>
      </c>
      <c r="J639" t="s">
        <v>7</v>
      </c>
      <c r="K639" t="s">
        <v>36</v>
      </c>
      <c r="L639" t="s">
        <v>44</v>
      </c>
      <c r="M639" t="s">
        <v>19</v>
      </c>
      <c r="N639">
        <v>56</v>
      </c>
      <c r="O639">
        <v>7</v>
      </c>
      <c r="P639">
        <v>44614.179999999971</v>
      </c>
      <c r="Q639">
        <v>40961.749999999985</v>
      </c>
    </row>
    <row r="640" spans="7:17" x14ac:dyDescent="0.25">
      <c r="G640" t="str">
        <f t="shared" si="9"/>
        <v/>
      </c>
      <c r="H640" t="s">
        <v>46</v>
      </c>
      <c r="I640" t="s">
        <v>10</v>
      </c>
      <c r="J640" t="s">
        <v>7</v>
      </c>
      <c r="K640" t="s">
        <v>36</v>
      </c>
      <c r="L640" t="s">
        <v>44</v>
      </c>
      <c r="M640" t="s">
        <v>20</v>
      </c>
      <c r="N640">
        <v>32</v>
      </c>
      <c r="O640">
        <v>21</v>
      </c>
      <c r="P640">
        <v>28227.03</v>
      </c>
      <c r="Q640">
        <v>0</v>
      </c>
    </row>
    <row r="641" spans="7:17" x14ac:dyDescent="0.25">
      <c r="G641" t="str">
        <f t="shared" si="9"/>
        <v/>
      </c>
      <c r="H641" t="s">
        <v>46</v>
      </c>
      <c r="I641" t="s">
        <v>10</v>
      </c>
      <c r="J641" t="s">
        <v>7</v>
      </c>
      <c r="K641" t="s">
        <v>36</v>
      </c>
      <c r="L641" t="s">
        <v>39</v>
      </c>
      <c r="M641" t="s">
        <v>19</v>
      </c>
      <c r="N641">
        <v>9</v>
      </c>
      <c r="O641">
        <v>2</v>
      </c>
      <c r="P641">
        <v>5609.45</v>
      </c>
      <c r="Q641">
        <v>4957.53</v>
      </c>
    </row>
    <row r="642" spans="7:17" x14ac:dyDescent="0.25">
      <c r="G642" t="str">
        <f t="shared" ref="G642:G705" si="10">IF(G$1="Overall","Overall",IF(G$1=L642,L642,""))</f>
        <v/>
      </c>
      <c r="H642" t="s">
        <v>46</v>
      </c>
      <c r="I642" t="s">
        <v>10</v>
      </c>
      <c r="J642" t="s">
        <v>7</v>
      </c>
      <c r="K642" t="s">
        <v>36</v>
      </c>
      <c r="L642" t="s">
        <v>39</v>
      </c>
      <c r="M642" t="s">
        <v>20</v>
      </c>
      <c r="N642">
        <v>12</v>
      </c>
      <c r="O642">
        <v>9</v>
      </c>
      <c r="P642">
        <v>8677.19</v>
      </c>
      <c r="Q642">
        <v>0</v>
      </c>
    </row>
    <row r="643" spans="7:17" x14ac:dyDescent="0.25">
      <c r="G643" t="str">
        <f t="shared" si="10"/>
        <v/>
      </c>
      <c r="H643" t="s">
        <v>46</v>
      </c>
      <c r="I643" t="s">
        <v>10</v>
      </c>
      <c r="J643" t="s">
        <v>7</v>
      </c>
      <c r="K643" t="s">
        <v>36</v>
      </c>
      <c r="L643" t="s">
        <v>40</v>
      </c>
      <c r="M643" t="s">
        <v>19</v>
      </c>
      <c r="N643">
        <v>4</v>
      </c>
      <c r="O643">
        <v>0</v>
      </c>
      <c r="P643">
        <v>5057.93</v>
      </c>
      <c r="Q643">
        <v>3597.69</v>
      </c>
    </row>
    <row r="644" spans="7:17" x14ac:dyDescent="0.25">
      <c r="G644" t="str">
        <f t="shared" si="10"/>
        <v/>
      </c>
      <c r="H644" t="s">
        <v>46</v>
      </c>
      <c r="I644" t="s">
        <v>10</v>
      </c>
      <c r="J644" t="s">
        <v>7</v>
      </c>
      <c r="K644" t="s">
        <v>36</v>
      </c>
      <c r="L644" t="s">
        <v>40</v>
      </c>
      <c r="M644" t="s">
        <v>20</v>
      </c>
      <c r="N644">
        <v>6</v>
      </c>
      <c r="O644">
        <v>3</v>
      </c>
      <c r="P644">
        <v>1956.67</v>
      </c>
      <c r="Q644">
        <v>0</v>
      </c>
    </row>
    <row r="645" spans="7:17" x14ac:dyDescent="0.25">
      <c r="G645" t="str">
        <f t="shared" si="10"/>
        <v/>
      </c>
      <c r="H645" t="s">
        <v>46</v>
      </c>
      <c r="I645" t="s">
        <v>10</v>
      </c>
      <c r="J645" t="s">
        <v>7</v>
      </c>
      <c r="K645" t="s">
        <v>36</v>
      </c>
      <c r="L645" t="s">
        <v>41</v>
      </c>
      <c r="M645" t="s">
        <v>19</v>
      </c>
      <c r="N645">
        <v>3</v>
      </c>
      <c r="O645">
        <v>1</v>
      </c>
      <c r="P645">
        <v>2238.98</v>
      </c>
      <c r="Q645">
        <v>1944.57</v>
      </c>
    </row>
    <row r="646" spans="7:17" x14ac:dyDescent="0.25">
      <c r="G646" t="str">
        <f t="shared" si="10"/>
        <v/>
      </c>
      <c r="H646" t="s">
        <v>46</v>
      </c>
      <c r="I646" t="s">
        <v>10</v>
      </c>
      <c r="J646" t="s">
        <v>7</v>
      </c>
      <c r="K646" t="s">
        <v>36</v>
      </c>
      <c r="L646" t="s">
        <v>41</v>
      </c>
      <c r="M646" t="s">
        <v>20</v>
      </c>
      <c r="N646">
        <v>2</v>
      </c>
      <c r="O646">
        <v>2</v>
      </c>
      <c r="P646">
        <v>2386.81</v>
      </c>
      <c r="Q646">
        <v>0</v>
      </c>
    </row>
    <row r="647" spans="7:17" x14ac:dyDescent="0.25">
      <c r="G647" t="str">
        <f t="shared" si="10"/>
        <v/>
      </c>
      <c r="H647" t="s">
        <v>46</v>
      </c>
      <c r="I647" t="s">
        <v>10</v>
      </c>
      <c r="J647" t="s">
        <v>7</v>
      </c>
      <c r="K647" t="s">
        <v>36</v>
      </c>
      <c r="L647" t="s">
        <v>45</v>
      </c>
      <c r="M647" t="s">
        <v>19</v>
      </c>
      <c r="N647">
        <v>8</v>
      </c>
      <c r="O647">
        <v>5</v>
      </c>
      <c r="P647">
        <v>7631.8099999999995</v>
      </c>
      <c r="Q647">
        <v>7631.8099999999995</v>
      </c>
    </row>
    <row r="648" spans="7:17" x14ac:dyDescent="0.25">
      <c r="G648" t="str">
        <f t="shared" si="10"/>
        <v/>
      </c>
      <c r="H648" t="s">
        <v>46</v>
      </c>
      <c r="I648" t="s">
        <v>10</v>
      </c>
      <c r="J648" t="s">
        <v>7</v>
      </c>
      <c r="K648" t="s">
        <v>36</v>
      </c>
      <c r="L648" t="s">
        <v>45</v>
      </c>
      <c r="M648" t="s">
        <v>20</v>
      </c>
      <c r="N648">
        <v>52</v>
      </c>
      <c r="O648">
        <v>21</v>
      </c>
      <c r="P648">
        <v>33764.32</v>
      </c>
      <c r="Q648">
        <v>0</v>
      </c>
    </row>
    <row r="649" spans="7:17" x14ac:dyDescent="0.25">
      <c r="G649" t="str">
        <f t="shared" si="10"/>
        <v/>
      </c>
      <c r="H649" t="s">
        <v>46</v>
      </c>
      <c r="I649" t="s">
        <v>10</v>
      </c>
      <c r="J649" t="s">
        <v>7</v>
      </c>
      <c r="K649" t="s">
        <v>37</v>
      </c>
      <c r="L649" t="s">
        <v>42</v>
      </c>
      <c r="M649" t="s">
        <v>19</v>
      </c>
      <c r="N649">
        <v>248</v>
      </c>
      <c r="O649">
        <v>86</v>
      </c>
      <c r="P649">
        <v>102687.43</v>
      </c>
      <c r="Q649">
        <v>95814.34</v>
      </c>
    </row>
    <row r="650" spans="7:17" x14ac:dyDescent="0.25">
      <c r="G650" t="str">
        <f t="shared" si="10"/>
        <v/>
      </c>
      <c r="H650" t="s">
        <v>46</v>
      </c>
      <c r="I650" t="s">
        <v>10</v>
      </c>
      <c r="J650" t="s">
        <v>7</v>
      </c>
      <c r="K650" t="s">
        <v>37</v>
      </c>
      <c r="L650" t="s">
        <v>42</v>
      </c>
      <c r="M650" t="s">
        <v>20</v>
      </c>
      <c r="N650">
        <v>152</v>
      </c>
      <c r="O650">
        <v>72</v>
      </c>
      <c r="P650">
        <v>45664.94999999999</v>
      </c>
      <c r="Q650">
        <v>0</v>
      </c>
    </row>
    <row r="651" spans="7:17" x14ac:dyDescent="0.25">
      <c r="G651" t="str">
        <f t="shared" si="10"/>
        <v/>
      </c>
      <c r="H651" t="s">
        <v>46</v>
      </c>
      <c r="I651" t="s">
        <v>10</v>
      </c>
      <c r="J651" t="s">
        <v>7</v>
      </c>
      <c r="K651" t="s">
        <v>37</v>
      </c>
      <c r="L651" t="s">
        <v>43</v>
      </c>
      <c r="M651" t="s">
        <v>19</v>
      </c>
      <c r="N651">
        <v>29</v>
      </c>
      <c r="O651">
        <v>17</v>
      </c>
      <c r="P651">
        <v>26040.229999999996</v>
      </c>
      <c r="Q651">
        <v>19447.839999999997</v>
      </c>
    </row>
    <row r="652" spans="7:17" x14ac:dyDescent="0.25">
      <c r="G652" t="str">
        <f t="shared" si="10"/>
        <v/>
      </c>
      <c r="H652" t="s">
        <v>46</v>
      </c>
      <c r="I652" t="s">
        <v>10</v>
      </c>
      <c r="J652" t="s">
        <v>7</v>
      </c>
      <c r="K652" t="s">
        <v>37</v>
      </c>
      <c r="L652" t="s">
        <v>43</v>
      </c>
      <c r="M652" t="s">
        <v>20</v>
      </c>
      <c r="N652">
        <v>26</v>
      </c>
      <c r="O652">
        <v>13</v>
      </c>
      <c r="P652">
        <v>17125.510000000002</v>
      </c>
      <c r="Q652">
        <v>0</v>
      </c>
    </row>
    <row r="653" spans="7:17" x14ac:dyDescent="0.25">
      <c r="G653" t="str">
        <f t="shared" si="10"/>
        <v/>
      </c>
      <c r="H653" t="s">
        <v>46</v>
      </c>
      <c r="I653" t="s">
        <v>10</v>
      </c>
      <c r="J653" t="s">
        <v>7</v>
      </c>
      <c r="K653" t="s">
        <v>37</v>
      </c>
      <c r="L653" t="s">
        <v>44</v>
      </c>
      <c r="M653" t="s">
        <v>19</v>
      </c>
      <c r="N653">
        <v>4</v>
      </c>
      <c r="O653">
        <v>3</v>
      </c>
      <c r="P653">
        <v>6605.64</v>
      </c>
      <c r="Q653">
        <v>5790.27</v>
      </c>
    </row>
    <row r="654" spans="7:17" x14ac:dyDescent="0.25">
      <c r="G654" t="str">
        <f t="shared" si="10"/>
        <v/>
      </c>
      <c r="H654" t="s">
        <v>46</v>
      </c>
      <c r="I654" t="s">
        <v>10</v>
      </c>
      <c r="J654" t="s">
        <v>7</v>
      </c>
      <c r="K654" t="s">
        <v>37</v>
      </c>
      <c r="L654" t="s">
        <v>44</v>
      </c>
      <c r="M654" t="s">
        <v>20</v>
      </c>
      <c r="N654">
        <v>39</v>
      </c>
      <c r="O654">
        <v>19</v>
      </c>
      <c r="P654">
        <v>26088.109999999997</v>
      </c>
      <c r="Q654">
        <v>0</v>
      </c>
    </row>
    <row r="655" spans="7:17" x14ac:dyDescent="0.25">
      <c r="G655" t="str">
        <f t="shared" si="10"/>
        <v/>
      </c>
      <c r="H655" t="s">
        <v>46</v>
      </c>
      <c r="I655" t="s">
        <v>10</v>
      </c>
      <c r="J655" t="s">
        <v>7</v>
      </c>
      <c r="K655" t="s">
        <v>37</v>
      </c>
      <c r="L655" t="s">
        <v>39</v>
      </c>
      <c r="M655" t="s">
        <v>19</v>
      </c>
      <c r="N655">
        <v>3</v>
      </c>
      <c r="O655">
        <v>3</v>
      </c>
      <c r="P655">
        <v>1718.3</v>
      </c>
      <c r="Q655">
        <v>1718.3000000000002</v>
      </c>
    </row>
    <row r="656" spans="7:17" x14ac:dyDescent="0.25">
      <c r="G656" t="str">
        <f t="shared" si="10"/>
        <v/>
      </c>
      <c r="H656" t="s">
        <v>46</v>
      </c>
      <c r="I656" t="s">
        <v>10</v>
      </c>
      <c r="J656" t="s">
        <v>7</v>
      </c>
      <c r="K656" t="s">
        <v>37</v>
      </c>
      <c r="L656" t="s">
        <v>39</v>
      </c>
      <c r="M656" t="s">
        <v>20</v>
      </c>
      <c r="N656">
        <v>15</v>
      </c>
      <c r="O656">
        <v>11</v>
      </c>
      <c r="P656">
        <v>12726.54</v>
      </c>
      <c r="Q656">
        <v>0</v>
      </c>
    </row>
    <row r="657" spans="7:17" x14ac:dyDescent="0.25">
      <c r="G657" t="str">
        <f t="shared" si="10"/>
        <v/>
      </c>
      <c r="H657" t="s">
        <v>46</v>
      </c>
      <c r="I657" t="s">
        <v>10</v>
      </c>
      <c r="J657" t="s">
        <v>7</v>
      </c>
      <c r="K657" t="s">
        <v>37</v>
      </c>
      <c r="L657" t="s">
        <v>40</v>
      </c>
      <c r="M657" t="s">
        <v>20</v>
      </c>
      <c r="N657">
        <v>3</v>
      </c>
      <c r="O657">
        <v>2</v>
      </c>
      <c r="P657">
        <v>2144.02</v>
      </c>
      <c r="Q657">
        <v>0</v>
      </c>
    </row>
    <row r="658" spans="7:17" x14ac:dyDescent="0.25">
      <c r="G658" t="str">
        <f t="shared" si="10"/>
        <v/>
      </c>
      <c r="H658" t="s">
        <v>46</v>
      </c>
      <c r="I658" t="s">
        <v>10</v>
      </c>
      <c r="J658" t="s">
        <v>7</v>
      </c>
      <c r="K658" t="s">
        <v>37</v>
      </c>
      <c r="L658" t="s">
        <v>41</v>
      </c>
      <c r="M658" t="s">
        <v>20</v>
      </c>
      <c r="N658">
        <v>12</v>
      </c>
      <c r="O658">
        <v>4</v>
      </c>
      <c r="P658">
        <v>5672.3300000000008</v>
      </c>
      <c r="Q658">
        <v>0</v>
      </c>
    </row>
    <row r="659" spans="7:17" x14ac:dyDescent="0.25">
      <c r="G659" t="str">
        <f t="shared" si="10"/>
        <v/>
      </c>
      <c r="H659" t="s">
        <v>46</v>
      </c>
      <c r="I659" t="s">
        <v>10</v>
      </c>
      <c r="J659" t="s">
        <v>7</v>
      </c>
      <c r="K659" t="s">
        <v>37</v>
      </c>
      <c r="L659" t="s">
        <v>45</v>
      </c>
      <c r="M659" t="s">
        <v>19</v>
      </c>
      <c r="N659">
        <v>1</v>
      </c>
      <c r="O659">
        <v>1</v>
      </c>
      <c r="P659">
        <v>343.96</v>
      </c>
      <c r="Q659">
        <v>343.96</v>
      </c>
    </row>
    <row r="660" spans="7:17" x14ac:dyDescent="0.25">
      <c r="G660" t="str">
        <f t="shared" si="10"/>
        <v/>
      </c>
      <c r="H660" t="s">
        <v>46</v>
      </c>
      <c r="I660" t="s">
        <v>10</v>
      </c>
      <c r="J660" t="s">
        <v>7</v>
      </c>
      <c r="K660" t="s">
        <v>37</v>
      </c>
      <c r="L660" t="s">
        <v>45</v>
      </c>
      <c r="M660" t="s">
        <v>20</v>
      </c>
      <c r="N660">
        <v>126</v>
      </c>
      <c r="O660">
        <v>50</v>
      </c>
      <c r="P660">
        <v>82008.73</v>
      </c>
      <c r="Q660">
        <v>0</v>
      </c>
    </row>
    <row r="661" spans="7:17" x14ac:dyDescent="0.25">
      <c r="G661" t="str">
        <f t="shared" si="10"/>
        <v/>
      </c>
      <c r="H661" t="s">
        <v>46</v>
      </c>
      <c r="I661" t="s">
        <v>10</v>
      </c>
      <c r="J661" t="s">
        <v>7</v>
      </c>
      <c r="K661" t="s">
        <v>38</v>
      </c>
      <c r="L661" t="s">
        <v>42</v>
      </c>
      <c r="M661" t="s">
        <v>19</v>
      </c>
      <c r="N661">
        <v>113</v>
      </c>
      <c r="O661">
        <v>39</v>
      </c>
      <c r="P661">
        <v>55060.489999999983</v>
      </c>
      <c r="Q661">
        <v>54143.869999999988</v>
      </c>
    </row>
    <row r="662" spans="7:17" x14ac:dyDescent="0.25">
      <c r="G662" t="str">
        <f t="shared" si="10"/>
        <v/>
      </c>
      <c r="H662" t="s">
        <v>46</v>
      </c>
      <c r="I662" t="s">
        <v>10</v>
      </c>
      <c r="J662" t="s">
        <v>7</v>
      </c>
      <c r="K662" t="s">
        <v>38</v>
      </c>
      <c r="L662" t="s">
        <v>42</v>
      </c>
      <c r="M662" t="s">
        <v>20</v>
      </c>
      <c r="N662">
        <v>84</v>
      </c>
      <c r="O662">
        <v>27</v>
      </c>
      <c r="P662">
        <v>21682.019999999997</v>
      </c>
      <c r="Q662">
        <v>0</v>
      </c>
    </row>
    <row r="663" spans="7:17" x14ac:dyDescent="0.25">
      <c r="G663" t="str">
        <f t="shared" si="10"/>
        <v/>
      </c>
      <c r="H663" t="s">
        <v>46</v>
      </c>
      <c r="I663" t="s">
        <v>10</v>
      </c>
      <c r="J663" t="s">
        <v>7</v>
      </c>
      <c r="K663" t="s">
        <v>38</v>
      </c>
      <c r="L663" t="s">
        <v>43</v>
      </c>
      <c r="M663" t="s">
        <v>19</v>
      </c>
      <c r="N663">
        <v>11</v>
      </c>
      <c r="O663">
        <v>6</v>
      </c>
      <c r="P663">
        <v>6775.43</v>
      </c>
      <c r="Q663">
        <v>6775.43</v>
      </c>
    </row>
    <row r="664" spans="7:17" x14ac:dyDescent="0.25">
      <c r="G664" t="str">
        <f t="shared" si="10"/>
        <v/>
      </c>
      <c r="H664" t="s">
        <v>46</v>
      </c>
      <c r="I664" t="s">
        <v>10</v>
      </c>
      <c r="J664" t="s">
        <v>7</v>
      </c>
      <c r="K664" t="s">
        <v>38</v>
      </c>
      <c r="L664" t="s">
        <v>43</v>
      </c>
      <c r="M664" t="s">
        <v>20</v>
      </c>
      <c r="N664">
        <v>25</v>
      </c>
      <c r="O664">
        <v>6</v>
      </c>
      <c r="P664">
        <v>18894.500000000004</v>
      </c>
      <c r="Q664">
        <v>0</v>
      </c>
    </row>
    <row r="665" spans="7:17" x14ac:dyDescent="0.25">
      <c r="G665" t="str">
        <f t="shared" si="10"/>
        <v/>
      </c>
      <c r="H665" t="s">
        <v>46</v>
      </c>
      <c r="I665" t="s">
        <v>10</v>
      </c>
      <c r="J665" t="s">
        <v>7</v>
      </c>
      <c r="K665" t="s">
        <v>38</v>
      </c>
      <c r="L665" t="s">
        <v>44</v>
      </c>
      <c r="M665" t="s">
        <v>19</v>
      </c>
      <c r="N665">
        <v>2</v>
      </c>
      <c r="O665">
        <v>1</v>
      </c>
      <c r="P665">
        <v>2152.9299999999998</v>
      </c>
      <c r="Q665">
        <v>2152.12</v>
      </c>
    </row>
    <row r="666" spans="7:17" x14ac:dyDescent="0.25">
      <c r="G666" t="str">
        <f t="shared" si="10"/>
        <v/>
      </c>
      <c r="H666" t="s">
        <v>46</v>
      </c>
      <c r="I666" t="s">
        <v>10</v>
      </c>
      <c r="J666" t="s">
        <v>7</v>
      </c>
      <c r="K666" t="s">
        <v>38</v>
      </c>
      <c r="L666" t="s">
        <v>44</v>
      </c>
      <c r="M666" t="s">
        <v>20</v>
      </c>
      <c r="N666">
        <v>31</v>
      </c>
      <c r="O666">
        <v>18</v>
      </c>
      <c r="P666">
        <v>25978.379999999994</v>
      </c>
      <c r="Q666">
        <v>0</v>
      </c>
    </row>
    <row r="667" spans="7:17" x14ac:dyDescent="0.25">
      <c r="G667" t="str">
        <f t="shared" si="10"/>
        <v/>
      </c>
      <c r="H667" t="s">
        <v>46</v>
      </c>
      <c r="I667" t="s">
        <v>10</v>
      </c>
      <c r="J667" t="s">
        <v>7</v>
      </c>
      <c r="K667" t="s">
        <v>38</v>
      </c>
      <c r="L667" t="s">
        <v>39</v>
      </c>
      <c r="M667" t="s">
        <v>19</v>
      </c>
      <c r="N667">
        <v>1</v>
      </c>
      <c r="O667">
        <v>1</v>
      </c>
      <c r="P667">
        <v>1582.02</v>
      </c>
      <c r="Q667">
        <v>233.03</v>
      </c>
    </row>
    <row r="668" spans="7:17" x14ac:dyDescent="0.25">
      <c r="G668" t="str">
        <f t="shared" si="10"/>
        <v/>
      </c>
      <c r="H668" t="s">
        <v>46</v>
      </c>
      <c r="I668" t="s">
        <v>10</v>
      </c>
      <c r="J668" t="s">
        <v>7</v>
      </c>
      <c r="K668" t="s">
        <v>38</v>
      </c>
      <c r="L668" t="s">
        <v>39</v>
      </c>
      <c r="M668" t="s">
        <v>20</v>
      </c>
      <c r="N668">
        <v>18</v>
      </c>
      <c r="O668">
        <v>13</v>
      </c>
      <c r="P668">
        <v>17091.009999999998</v>
      </c>
      <c r="Q668">
        <v>0</v>
      </c>
    </row>
    <row r="669" spans="7:17" x14ac:dyDescent="0.25">
      <c r="G669" t="str">
        <f t="shared" si="10"/>
        <v/>
      </c>
      <c r="H669" t="s">
        <v>46</v>
      </c>
      <c r="I669" t="s">
        <v>10</v>
      </c>
      <c r="J669" t="s">
        <v>7</v>
      </c>
      <c r="K669" t="s">
        <v>38</v>
      </c>
      <c r="L669" t="s">
        <v>40</v>
      </c>
      <c r="M669" t="s">
        <v>20</v>
      </c>
      <c r="N669">
        <v>9</v>
      </c>
      <c r="O669">
        <v>3</v>
      </c>
      <c r="P669">
        <v>9325.07</v>
      </c>
      <c r="Q669">
        <v>0</v>
      </c>
    </row>
    <row r="670" spans="7:17" x14ac:dyDescent="0.25">
      <c r="G670" t="str">
        <f t="shared" si="10"/>
        <v/>
      </c>
      <c r="H670" t="s">
        <v>46</v>
      </c>
      <c r="I670" t="s">
        <v>10</v>
      </c>
      <c r="J670" t="s">
        <v>7</v>
      </c>
      <c r="K670" t="s">
        <v>38</v>
      </c>
      <c r="L670" t="s">
        <v>41</v>
      </c>
      <c r="M670" t="s">
        <v>20</v>
      </c>
      <c r="N670">
        <v>4</v>
      </c>
      <c r="O670">
        <v>3</v>
      </c>
      <c r="P670">
        <v>3471.7900000000004</v>
      </c>
      <c r="Q670">
        <v>0</v>
      </c>
    </row>
    <row r="671" spans="7:17" x14ac:dyDescent="0.25">
      <c r="G671" t="str">
        <f t="shared" si="10"/>
        <v/>
      </c>
      <c r="H671" t="s">
        <v>46</v>
      </c>
      <c r="I671" t="s">
        <v>10</v>
      </c>
      <c r="J671" t="s">
        <v>7</v>
      </c>
      <c r="K671" t="s">
        <v>38</v>
      </c>
      <c r="L671" t="s">
        <v>45</v>
      </c>
      <c r="M671" t="s">
        <v>19</v>
      </c>
      <c r="N671">
        <v>2</v>
      </c>
      <c r="O671">
        <v>2</v>
      </c>
      <c r="P671">
        <v>2470.44</v>
      </c>
      <c r="Q671">
        <v>2417.27</v>
      </c>
    </row>
    <row r="672" spans="7:17" x14ac:dyDescent="0.25">
      <c r="G672" t="str">
        <f t="shared" si="10"/>
        <v/>
      </c>
      <c r="H672" t="s">
        <v>46</v>
      </c>
      <c r="I672" t="s">
        <v>10</v>
      </c>
      <c r="J672" t="s">
        <v>7</v>
      </c>
      <c r="K672" t="s">
        <v>38</v>
      </c>
      <c r="L672" t="s">
        <v>45</v>
      </c>
      <c r="M672" t="s">
        <v>20</v>
      </c>
      <c r="N672">
        <v>97</v>
      </c>
      <c r="O672">
        <v>29</v>
      </c>
      <c r="P672">
        <v>89376.430000000022</v>
      </c>
      <c r="Q672">
        <v>0</v>
      </c>
    </row>
    <row r="673" spans="7:17" x14ac:dyDescent="0.25">
      <c r="G673" t="str">
        <f t="shared" si="10"/>
        <v/>
      </c>
      <c r="H673" t="s">
        <v>46</v>
      </c>
      <c r="I673" t="s">
        <v>10</v>
      </c>
      <c r="J673" t="s">
        <v>4</v>
      </c>
      <c r="K673" t="s">
        <v>23</v>
      </c>
      <c r="L673" t="s">
        <v>42</v>
      </c>
      <c r="M673" t="s">
        <v>19</v>
      </c>
      <c r="N673">
        <v>393</v>
      </c>
      <c r="O673">
        <v>115</v>
      </c>
      <c r="P673">
        <v>203961.92000000036</v>
      </c>
      <c r="Q673">
        <v>199809.05000000028</v>
      </c>
    </row>
    <row r="674" spans="7:17" x14ac:dyDescent="0.25">
      <c r="G674" t="str">
        <f t="shared" si="10"/>
        <v/>
      </c>
      <c r="H674" t="s">
        <v>46</v>
      </c>
      <c r="I674" t="s">
        <v>10</v>
      </c>
      <c r="J674" t="s">
        <v>4</v>
      </c>
      <c r="K674" t="s">
        <v>23</v>
      </c>
      <c r="L674" t="s">
        <v>42</v>
      </c>
      <c r="M674" t="s">
        <v>20</v>
      </c>
      <c r="N674">
        <v>175</v>
      </c>
      <c r="O674">
        <v>58</v>
      </c>
      <c r="P674">
        <v>131168.04</v>
      </c>
      <c r="Q674">
        <v>0</v>
      </c>
    </row>
    <row r="675" spans="7:17" x14ac:dyDescent="0.25">
      <c r="G675" t="str">
        <f t="shared" si="10"/>
        <v/>
      </c>
      <c r="H675" t="s">
        <v>46</v>
      </c>
      <c r="I675" t="s">
        <v>10</v>
      </c>
      <c r="J675" t="s">
        <v>4</v>
      </c>
      <c r="K675" t="s">
        <v>23</v>
      </c>
      <c r="L675" t="s">
        <v>43</v>
      </c>
      <c r="M675" t="s">
        <v>19</v>
      </c>
      <c r="N675">
        <v>46</v>
      </c>
      <c r="O675">
        <v>27</v>
      </c>
      <c r="P675">
        <v>37450.54</v>
      </c>
      <c r="Q675">
        <v>30638.039999999994</v>
      </c>
    </row>
    <row r="676" spans="7:17" x14ac:dyDescent="0.25">
      <c r="G676" t="str">
        <f t="shared" si="10"/>
        <v/>
      </c>
      <c r="H676" t="s">
        <v>46</v>
      </c>
      <c r="I676" t="s">
        <v>10</v>
      </c>
      <c r="J676" t="s">
        <v>4</v>
      </c>
      <c r="K676" t="s">
        <v>23</v>
      </c>
      <c r="L676" t="s">
        <v>43</v>
      </c>
      <c r="M676" t="s">
        <v>20</v>
      </c>
      <c r="N676">
        <v>62</v>
      </c>
      <c r="O676">
        <v>32</v>
      </c>
      <c r="P676">
        <v>51750.859999999986</v>
      </c>
      <c r="Q676">
        <v>0</v>
      </c>
    </row>
    <row r="677" spans="7:17" x14ac:dyDescent="0.25">
      <c r="G677" t="str">
        <f t="shared" si="10"/>
        <v/>
      </c>
      <c r="H677" t="s">
        <v>46</v>
      </c>
      <c r="I677" t="s">
        <v>10</v>
      </c>
      <c r="J677" t="s">
        <v>4</v>
      </c>
      <c r="K677" t="s">
        <v>23</v>
      </c>
      <c r="L677" t="s">
        <v>44</v>
      </c>
      <c r="M677" t="s">
        <v>19</v>
      </c>
      <c r="N677">
        <v>53</v>
      </c>
      <c r="O677">
        <v>35</v>
      </c>
      <c r="P677">
        <v>54692.630000000005</v>
      </c>
      <c r="Q677">
        <v>27108.639999999996</v>
      </c>
    </row>
    <row r="678" spans="7:17" x14ac:dyDescent="0.25">
      <c r="G678" t="str">
        <f t="shared" si="10"/>
        <v/>
      </c>
      <c r="H678" t="s">
        <v>46</v>
      </c>
      <c r="I678" t="s">
        <v>10</v>
      </c>
      <c r="J678" t="s">
        <v>4</v>
      </c>
      <c r="K678" t="s">
        <v>23</v>
      </c>
      <c r="L678" t="s">
        <v>44</v>
      </c>
      <c r="M678" t="s">
        <v>20</v>
      </c>
      <c r="N678">
        <v>34</v>
      </c>
      <c r="O678">
        <v>16</v>
      </c>
      <c r="P678">
        <v>32115.07</v>
      </c>
      <c r="Q678">
        <v>0</v>
      </c>
    </row>
    <row r="679" spans="7:17" x14ac:dyDescent="0.25">
      <c r="G679" t="str">
        <f t="shared" si="10"/>
        <v/>
      </c>
      <c r="H679" t="s">
        <v>46</v>
      </c>
      <c r="I679" t="s">
        <v>10</v>
      </c>
      <c r="J679" t="s">
        <v>4</v>
      </c>
      <c r="K679" t="s">
        <v>23</v>
      </c>
      <c r="L679" t="s">
        <v>39</v>
      </c>
      <c r="M679" t="s">
        <v>19</v>
      </c>
      <c r="N679">
        <v>8</v>
      </c>
      <c r="O679">
        <v>5</v>
      </c>
      <c r="P679">
        <v>7732.9800000000014</v>
      </c>
      <c r="Q679">
        <v>4979.6499999999996</v>
      </c>
    </row>
    <row r="680" spans="7:17" x14ac:dyDescent="0.25">
      <c r="G680" t="str">
        <f t="shared" si="10"/>
        <v/>
      </c>
      <c r="H680" t="s">
        <v>46</v>
      </c>
      <c r="I680" t="s">
        <v>10</v>
      </c>
      <c r="J680" t="s">
        <v>4</v>
      </c>
      <c r="K680" t="s">
        <v>23</v>
      </c>
      <c r="L680" t="s">
        <v>39</v>
      </c>
      <c r="M680" t="s">
        <v>20</v>
      </c>
      <c r="N680">
        <v>33</v>
      </c>
      <c r="O680">
        <v>16</v>
      </c>
      <c r="P680">
        <v>30770.890000000007</v>
      </c>
      <c r="Q680">
        <v>0</v>
      </c>
    </row>
    <row r="681" spans="7:17" x14ac:dyDescent="0.25">
      <c r="G681" t="str">
        <f t="shared" si="10"/>
        <v/>
      </c>
      <c r="H681" t="s">
        <v>46</v>
      </c>
      <c r="I681" t="s">
        <v>10</v>
      </c>
      <c r="J681" t="s">
        <v>4</v>
      </c>
      <c r="K681" t="s">
        <v>23</v>
      </c>
      <c r="L681" t="s">
        <v>40</v>
      </c>
      <c r="M681" t="s">
        <v>19</v>
      </c>
      <c r="N681">
        <v>1</v>
      </c>
      <c r="O681">
        <v>1</v>
      </c>
      <c r="P681">
        <v>612.34</v>
      </c>
      <c r="Q681">
        <v>59</v>
      </c>
    </row>
    <row r="682" spans="7:17" x14ac:dyDescent="0.25">
      <c r="G682" t="str">
        <f t="shared" si="10"/>
        <v/>
      </c>
      <c r="H682" t="s">
        <v>46</v>
      </c>
      <c r="I682" t="s">
        <v>10</v>
      </c>
      <c r="J682" t="s">
        <v>4</v>
      </c>
      <c r="K682" t="s">
        <v>23</v>
      </c>
      <c r="L682" t="s">
        <v>40</v>
      </c>
      <c r="M682" t="s">
        <v>20</v>
      </c>
      <c r="N682">
        <v>21</v>
      </c>
      <c r="O682">
        <v>5</v>
      </c>
      <c r="P682">
        <v>22060.69</v>
      </c>
      <c r="Q682">
        <v>0</v>
      </c>
    </row>
    <row r="683" spans="7:17" x14ac:dyDescent="0.25">
      <c r="G683" t="str">
        <f t="shared" si="10"/>
        <v/>
      </c>
      <c r="H683" t="s">
        <v>46</v>
      </c>
      <c r="I683" t="s">
        <v>10</v>
      </c>
      <c r="J683" t="s">
        <v>4</v>
      </c>
      <c r="K683" t="s">
        <v>23</v>
      </c>
      <c r="L683" t="s">
        <v>41</v>
      </c>
      <c r="M683" t="s">
        <v>19</v>
      </c>
      <c r="N683">
        <v>9</v>
      </c>
      <c r="O683">
        <v>2</v>
      </c>
      <c r="P683">
        <v>4226.76</v>
      </c>
      <c r="Q683">
        <v>3036.91</v>
      </c>
    </row>
    <row r="684" spans="7:17" x14ac:dyDescent="0.25">
      <c r="G684" t="str">
        <f t="shared" si="10"/>
        <v/>
      </c>
      <c r="H684" t="s">
        <v>46</v>
      </c>
      <c r="I684" t="s">
        <v>10</v>
      </c>
      <c r="J684" t="s">
        <v>4</v>
      </c>
      <c r="K684" t="s">
        <v>23</v>
      </c>
      <c r="L684" t="s">
        <v>41</v>
      </c>
      <c r="M684" t="s">
        <v>20</v>
      </c>
      <c r="N684">
        <v>22</v>
      </c>
      <c r="O684">
        <v>8</v>
      </c>
      <c r="P684">
        <v>19872.189999999999</v>
      </c>
      <c r="Q684">
        <v>0</v>
      </c>
    </row>
    <row r="685" spans="7:17" x14ac:dyDescent="0.25">
      <c r="G685" t="str">
        <f t="shared" si="10"/>
        <v/>
      </c>
      <c r="H685" t="s">
        <v>46</v>
      </c>
      <c r="I685" t="s">
        <v>10</v>
      </c>
      <c r="J685" t="s">
        <v>4</v>
      </c>
      <c r="K685" t="s">
        <v>23</v>
      </c>
      <c r="L685" t="s">
        <v>45</v>
      </c>
      <c r="M685" t="s">
        <v>19</v>
      </c>
      <c r="N685">
        <v>1</v>
      </c>
      <c r="O685">
        <v>1</v>
      </c>
      <c r="P685">
        <v>824.24</v>
      </c>
      <c r="Q685">
        <v>29.5</v>
      </c>
    </row>
    <row r="686" spans="7:17" x14ac:dyDescent="0.25">
      <c r="G686" t="str">
        <f t="shared" si="10"/>
        <v/>
      </c>
      <c r="H686" t="s">
        <v>46</v>
      </c>
      <c r="I686" t="s">
        <v>10</v>
      </c>
      <c r="J686" t="s">
        <v>4</v>
      </c>
      <c r="K686" t="s">
        <v>23</v>
      </c>
      <c r="L686" t="s">
        <v>45</v>
      </c>
      <c r="M686" t="s">
        <v>20</v>
      </c>
      <c r="N686">
        <v>215</v>
      </c>
      <c r="O686">
        <v>79</v>
      </c>
      <c r="P686">
        <v>208584.84999999992</v>
      </c>
      <c r="Q686">
        <v>0</v>
      </c>
    </row>
    <row r="687" spans="7:17" x14ac:dyDescent="0.25">
      <c r="G687" t="str">
        <f t="shared" si="10"/>
        <v/>
      </c>
      <c r="H687" t="s">
        <v>46</v>
      </c>
      <c r="I687" t="s">
        <v>10</v>
      </c>
      <c r="J687" t="s">
        <v>4</v>
      </c>
      <c r="K687" t="s">
        <v>24</v>
      </c>
      <c r="L687" t="s">
        <v>42</v>
      </c>
      <c r="M687" t="s">
        <v>19</v>
      </c>
      <c r="N687">
        <v>99</v>
      </c>
      <c r="O687">
        <v>30</v>
      </c>
      <c r="P687">
        <v>52612.15</v>
      </c>
      <c r="Q687">
        <v>51552.87</v>
      </c>
    </row>
    <row r="688" spans="7:17" x14ac:dyDescent="0.25">
      <c r="G688" t="str">
        <f t="shared" si="10"/>
        <v/>
      </c>
      <c r="H688" t="s">
        <v>46</v>
      </c>
      <c r="I688" t="s">
        <v>10</v>
      </c>
      <c r="J688" t="s">
        <v>4</v>
      </c>
      <c r="K688" t="s">
        <v>24</v>
      </c>
      <c r="L688" t="s">
        <v>42</v>
      </c>
      <c r="M688" t="s">
        <v>20</v>
      </c>
      <c r="N688">
        <v>47</v>
      </c>
      <c r="O688">
        <v>12</v>
      </c>
      <c r="P688">
        <v>13045.199999999997</v>
      </c>
      <c r="Q688">
        <v>0</v>
      </c>
    </row>
    <row r="689" spans="7:17" x14ac:dyDescent="0.25">
      <c r="G689" t="str">
        <f t="shared" si="10"/>
        <v/>
      </c>
      <c r="H689" t="s">
        <v>46</v>
      </c>
      <c r="I689" t="s">
        <v>10</v>
      </c>
      <c r="J689" t="s">
        <v>4</v>
      </c>
      <c r="K689" t="s">
        <v>24</v>
      </c>
      <c r="L689" t="s">
        <v>43</v>
      </c>
      <c r="M689" t="s">
        <v>19</v>
      </c>
      <c r="N689">
        <v>10</v>
      </c>
      <c r="O689">
        <v>3</v>
      </c>
      <c r="P689">
        <v>7910.2</v>
      </c>
      <c r="Q689">
        <v>6393.81</v>
      </c>
    </row>
    <row r="690" spans="7:17" x14ac:dyDescent="0.25">
      <c r="G690" t="str">
        <f t="shared" si="10"/>
        <v/>
      </c>
      <c r="H690" t="s">
        <v>46</v>
      </c>
      <c r="I690" t="s">
        <v>10</v>
      </c>
      <c r="J690" t="s">
        <v>4</v>
      </c>
      <c r="K690" t="s">
        <v>24</v>
      </c>
      <c r="L690" t="s">
        <v>43</v>
      </c>
      <c r="M690" t="s">
        <v>20</v>
      </c>
      <c r="N690">
        <v>20</v>
      </c>
      <c r="O690">
        <v>10</v>
      </c>
      <c r="P690">
        <v>24487.469999999998</v>
      </c>
      <c r="Q690">
        <v>0</v>
      </c>
    </row>
    <row r="691" spans="7:17" x14ac:dyDescent="0.25">
      <c r="G691" t="str">
        <f t="shared" si="10"/>
        <v/>
      </c>
      <c r="H691" t="s">
        <v>46</v>
      </c>
      <c r="I691" t="s">
        <v>10</v>
      </c>
      <c r="J691" t="s">
        <v>4</v>
      </c>
      <c r="K691" t="s">
        <v>24</v>
      </c>
      <c r="L691" t="s">
        <v>44</v>
      </c>
      <c r="M691" t="s">
        <v>19</v>
      </c>
      <c r="N691">
        <v>12</v>
      </c>
      <c r="O691">
        <v>7</v>
      </c>
      <c r="P691">
        <v>13872.16</v>
      </c>
      <c r="Q691">
        <v>10874.13</v>
      </c>
    </row>
    <row r="692" spans="7:17" x14ac:dyDescent="0.25">
      <c r="G692" t="str">
        <f t="shared" si="10"/>
        <v/>
      </c>
      <c r="H692" t="s">
        <v>46</v>
      </c>
      <c r="I692" t="s">
        <v>10</v>
      </c>
      <c r="J692" t="s">
        <v>4</v>
      </c>
      <c r="K692" t="s">
        <v>24</v>
      </c>
      <c r="L692" t="s">
        <v>44</v>
      </c>
      <c r="M692" t="s">
        <v>20</v>
      </c>
      <c r="N692">
        <v>6</v>
      </c>
      <c r="O692">
        <v>3</v>
      </c>
      <c r="P692">
        <v>7270.7200000000012</v>
      </c>
      <c r="Q692">
        <v>0</v>
      </c>
    </row>
    <row r="693" spans="7:17" x14ac:dyDescent="0.25">
      <c r="G693" t="str">
        <f t="shared" si="10"/>
        <v/>
      </c>
      <c r="H693" t="s">
        <v>46</v>
      </c>
      <c r="I693" t="s">
        <v>10</v>
      </c>
      <c r="J693" t="s">
        <v>4</v>
      </c>
      <c r="K693" t="s">
        <v>24</v>
      </c>
      <c r="L693" t="s">
        <v>39</v>
      </c>
      <c r="M693" t="s">
        <v>19</v>
      </c>
      <c r="N693">
        <v>1</v>
      </c>
      <c r="O693">
        <v>1</v>
      </c>
      <c r="P693">
        <v>979.25</v>
      </c>
      <c r="Q693">
        <v>979.25</v>
      </c>
    </row>
    <row r="694" spans="7:17" x14ac:dyDescent="0.25">
      <c r="G694" t="str">
        <f t="shared" si="10"/>
        <v/>
      </c>
      <c r="H694" t="s">
        <v>46</v>
      </c>
      <c r="I694" t="s">
        <v>10</v>
      </c>
      <c r="J694" t="s">
        <v>4</v>
      </c>
      <c r="K694" t="s">
        <v>24</v>
      </c>
      <c r="L694" t="s">
        <v>39</v>
      </c>
      <c r="M694" t="s">
        <v>20</v>
      </c>
      <c r="N694">
        <v>8</v>
      </c>
      <c r="O694">
        <v>5</v>
      </c>
      <c r="P694">
        <v>8518.2099999999991</v>
      </c>
      <c r="Q694">
        <v>0</v>
      </c>
    </row>
    <row r="695" spans="7:17" x14ac:dyDescent="0.25">
      <c r="G695" t="str">
        <f t="shared" si="10"/>
        <v/>
      </c>
      <c r="H695" t="s">
        <v>46</v>
      </c>
      <c r="I695" t="s">
        <v>10</v>
      </c>
      <c r="J695" t="s">
        <v>4</v>
      </c>
      <c r="K695" t="s">
        <v>24</v>
      </c>
      <c r="L695" t="s">
        <v>40</v>
      </c>
      <c r="M695" t="s">
        <v>20</v>
      </c>
      <c r="N695">
        <v>5</v>
      </c>
      <c r="O695">
        <v>2</v>
      </c>
      <c r="P695">
        <v>5548.3899999999994</v>
      </c>
      <c r="Q695">
        <v>0</v>
      </c>
    </row>
    <row r="696" spans="7:17" x14ac:dyDescent="0.25">
      <c r="G696" t="str">
        <f t="shared" si="10"/>
        <v/>
      </c>
      <c r="H696" t="s">
        <v>46</v>
      </c>
      <c r="I696" t="s">
        <v>10</v>
      </c>
      <c r="J696" t="s">
        <v>4</v>
      </c>
      <c r="K696" t="s">
        <v>24</v>
      </c>
      <c r="L696" t="s">
        <v>41</v>
      </c>
      <c r="M696" t="s">
        <v>19</v>
      </c>
      <c r="N696">
        <v>1</v>
      </c>
      <c r="O696">
        <v>0</v>
      </c>
      <c r="P696">
        <v>558.14</v>
      </c>
      <c r="Q696">
        <v>29.5</v>
      </c>
    </row>
    <row r="697" spans="7:17" x14ac:dyDescent="0.25">
      <c r="G697" t="str">
        <f t="shared" si="10"/>
        <v/>
      </c>
      <c r="H697" t="s">
        <v>46</v>
      </c>
      <c r="I697" t="s">
        <v>10</v>
      </c>
      <c r="J697" t="s">
        <v>4</v>
      </c>
      <c r="K697" t="s">
        <v>24</v>
      </c>
      <c r="L697" t="s">
        <v>41</v>
      </c>
      <c r="M697" t="s">
        <v>20</v>
      </c>
      <c r="N697">
        <v>8</v>
      </c>
      <c r="O697">
        <v>1</v>
      </c>
      <c r="P697">
        <v>7249.9299999999994</v>
      </c>
      <c r="Q697">
        <v>0</v>
      </c>
    </row>
    <row r="698" spans="7:17" x14ac:dyDescent="0.25">
      <c r="G698" t="str">
        <f t="shared" si="10"/>
        <v/>
      </c>
      <c r="H698" t="s">
        <v>46</v>
      </c>
      <c r="I698" t="s">
        <v>10</v>
      </c>
      <c r="J698" t="s">
        <v>4</v>
      </c>
      <c r="K698" t="s">
        <v>24</v>
      </c>
      <c r="L698" t="s">
        <v>45</v>
      </c>
      <c r="M698" t="s">
        <v>19</v>
      </c>
      <c r="N698">
        <v>1</v>
      </c>
      <c r="O698">
        <v>0</v>
      </c>
      <c r="P698">
        <v>1801.05</v>
      </c>
      <c r="Q698">
        <v>1801.05</v>
      </c>
    </row>
    <row r="699" spans="7:17" x14ac:dyDescent="0.25">
      <c r="G699" t="str">
        <f t="shared" si="10"/>
        <v/>
      </c>
      <c r="H699" t="s">
        <v>46</v>
      </c>
      <c r="I699" t="s">
        <v>10</v>
      </c>
      <c r="J699" t="s">
        <v>4</v>
      </c>
      <c r="K699" t="s">
        <v>24</v>
      </c>
      <c r="L699" t="s">
        <v>45</v>
      </c>
      <c r="M699" t="s">
        <v>20</v>
      </c>
      <c r="N699">
        <v>57</v>
      </c>
      <c r="O699">
        <v>20</v>
      </c>
      <c r="P699">
        <v>84243.88</v>
      </c>
      <c r="Q699">
        <v>0</v>
      </c>
    </row>
    <row r="700" spans="7:17" x14ac:dyDescent="0.25">
      <c r="G700" t="str">
        <f t="shared" si="10"/>
        <v/>
      </c>
      <c r="H700" t="s">
        <v>46</v>
      </c>
      <c r="I700" t="s">
        <v>10</v>
      </c>
      <c r="J700" t="s">
        <v>4</v>
      </c>
      <c r="K700" t="s">
        <v>25</v>
      </c>
      <c r="L700" t="s">
        <v>42</v>
      </c>
      <c r="M700" t="s">
        <v>19</v>
      </c>
      <c r="N700">
        <v>390</v>
      </c>
      <c r="O700">
        <v>152</v>
      </c>
      <c r="P700">
        <v>221982.20000000004</v>
      </c>
      <c r="Q700">
        <v>217200.36000000007</v>
      </c>
    </row>
    <row r="701" spans="7:17" x14ac:dyDescent="0.25">
      <c r="G701" t="str">
        <f t="shared" si="10"/>
        <v/>
      </c>
      <c r="H701" t="s">
        <v>46</v>
      </c>
      <c r="I701" t="s">
        <v>10</v>
      </c>
      <c r="J701" t="s">
        <v>4</v>
      </c>
      <c r="K701" t="s">
        <v>25</v>
      </c>
      <c r="L701" t="s">
        <v>42</v>
      </c>
      <c r="M701" t="s">
        <v>20</v>
      </c>
      <c r="N701">
        <v>398</v>
      </c>
      <c r="O701">
        <v>59</v>
      </c>
      <c r="P701">
        <v>122735.78999999969</v>
      </c>
      <c r="Q701">
        <v>0</v>
      </c>
    </row>
    <row r="702" spans="7:17" x14ac:dyDescent="0.25">
      <c r="G702" t="str">
        <f t="shared" si="10"/>
        <v/>
      </c>
      <c r="H702" t="s">
        <v>46</v>
      </c>
      <c r="I702" t="s">
        <v>10</v>
      </c>
      <c r="J702" t="s">
        <v>4</v>
      </c>
      <c r="K702" t="s">
        <v>25</v>
      </c>
      <c r="L702" t="s">
        <v>43</v>
      </c>
      <c r="M702" t="s">
        <v>19</v>
      </c>
      <c r="N702">
        <v>74</v>
      </c>
      <c r="O702">
        <v>31</v>
      </c>
      <c r="P702">
        <v>61042.049999999981</v>
      </c>
      <c r="Q702">
        <v>54441.819999999978</v>
      </c>
    </row>
    <row r="703" spans="7:17" x14ac:dyDescent="0.25">
      <c r="G703" t="str">
        <f t="shared" si="10"/>
        <v/>
      </c>
      <c r="H703" t="s">
        <v>46</v>
      </c>
      <c r="I703" t="s">
        <v>10</v>
      </c>
      <c r="J703" t="s">
        <v>4</v>
      </c>
      <c r="K703" t="s">
        <v>25</v>
      </c>
      <c r="L703" t="s">
        <v>43</v>
      </c>
      <c r="M703" t="s">
        <v>20</v>
      </c>
      <c r="N703">
        <v>52</v>
      </c>
      <c r="O703">
        <v>23</v>
      </c>
      <c r="P703">
        <v>45682.51999999999</v>
      </c>
      <c r="Q703">
        <v>0</v>
      </c>
    </row>
    <row r="704" spans="7:17" x14ac:dyDescent="0.25">
      <c r="G704" t="str">
        <f t="shared" si="10"/>
        <v/>
      </c>
      <c r="H704" t="s">
        <v>46</v>
      </c>
      <c r="I704" t="s">
        <v>10</v>
      </c>
      <c r="J704" t="s">
        <v>4</v>
      </c>
      <c r="K704" t="s">
        <v>25</v>
      </c>
      <c r="L704" t="s">
        <v>44</v>
      </c>
      <c r="M704" t="s">
        <v>19</v>
      </c>
      <c r="N704">
        <v>65</v>
      </c>
      <c r="O704">
        <v>26</v>
      </c>
      <c r="P704">
        <v>69437.470000000016</v>
      </c>
      <c r="Q704">
        <v>39513.68</v>
      </c>
    </row>
    <row r="705" spans="7:17" x14ac:dyDescent="0.25">
      <c r="G705" t="str">
        <f t="shared" si="10"/>
        <v/>
      </c>
      <c r="H705" t="s">
        <v>46</v>
      </c>
      <c r="I705" t="s">
        <v>10</v>
      </c>
      <c r="J705" t="s">
        <v>4</v>
      </c>
      <c r="K705" t="s">
        <v>25</v>
      </c>
      <c r="L705" t="s">
        <v>44</v>
      </c>
      <c r="M705" t="s">
        <v>20</v>
      </c>
      <c r="N705">
        <v>26</v>
      </c>
      <c r="O705">
        <v>11</v>
      </c>
      <c r="P705">
        <v>15753.949999999993</v>
      </c>
      <c r="Q705">
        <v>0</v>
      </c>
    </row>
    <row r="706" spans="7:17" x14ac:dyDescent="0.25">
      <c r="G706" t="str">
        <f t="shared" ref="G706:G769" si="11">IF(G$1="Overall","Overall",IF(G$1=L706,L706,""))</f>
        <v/>
      </c>
      <c r="H706" t="s">
        <v>46</v>
      </c>
      <c r="I706" t="s">
        <v>10</v>
      </c>
      <c r="J706" t="s">
        <v>4</v>
      </c>
      <c r="K706" t="s">
        <v>25</v>
      </c>
      <c r="L706" t="s">
        <v>39</v>
      </c>
      <c r="M706" t="s">
        <v>19</v>
      </c>
      <c r="N706">
        <v>6</v>
      </c>
      <c r="O706">
        <v>5</v>
      </c>
      <c r="P706">
        <v>5751.9699999999993</v>
      </c>
      <c r="Q706">
        <v>5576.5299999999988</v>
      </c>
    </row>
    <row r="707" spans="7:17" x14ac:dyDescent="0.25">
      <c r="G707" t="str">
        <f t="shared" si="11"/>
        <v/>
      </c>
      <c r="H707" t="s">
        <v>46</v>
      </c>
      <c r="I707" t="s">
        <v>10</v>
      </c>
      <c r="J707" t="s">
        <v>4</v>
      </c>
      <c r="K707" t="s">
        <v>25</v>
      </c>
      <c r="L707" t="s">
        <v>39</v>
      </c>
      <c r="M707" t="s">
        <v>20</v>
      </c>
      <c r="N707">
        <v>35</v>
      </c>
      <c r="O707">
        <v>25</v>
      </c>
      <c r="P707">
        <v>33650.32</v>
      </c>
      <c r="Q707">
        <v>0</v>
      </c>
    </row>
    <row r="708" spans="7:17" x14ac:dyDescent="0.25">
      <c r="G708" t="str">
        <f t="shared" si="11"/>
        <v/>
      </c>
      <c r="H708" t="s">
        <v>46</v>
      </c>
      <c r="I708" t="s">
        <v>10</v>
      </c>
      <c r="J708" t="s">
        <v>4</v>
      </c>
      <c r="K708" t="s">
        <v>25</v>
      </c>
      <c r="L708" t="s">
        <v>40</v>
      </c>
      <c r="M708" t="s">
        <v>19</v>
      </c>
      <c r="N708">
        <v>1</v>
      </c>
      <c r="O708">
        <v>0</v>
      </c>
      <c r="P708">
        <v>499.54</v>
      </c>
      <c r="Q708">
        <v>59</v>
      </c>
    </row>
    <row r="709" spans="7:17" x14ac:dyDescent="0.25">
      <c r="G709" t="str">
        <f t="shared" si="11"/>
        <v/>
      </c>
      <c r="H709" t="s">
        <v>46</v>
      </c>
      <c r="I709" t="s">
        <v>10</v>
      </c>
      <c r="J709" t="s">
        <v>4</v>
      </c>
      <c r="K709" t="s">
        <v>25</v>
      </c>
      <c r="L709" t="s">
        <v>40</v>
      </c>
      <c r="M709" t="s">
        <v>20</v>
      </c>
      <c r="N709">
        <v>28</v>
      </c>
      <c r="O709">
        <v>14</v>
      </c>
      <c r="P709">
        <v>30386.15</v>
      </c>
      <c r="Q709">
        <v>0</v>
      </c>
    </row>
    <row r="710" spans="7:17" x14ac:dyDescent="0.25">
      <c r="G710" t="str">
        <f t="shared" si="11"/>
        <v/>
      </c>
      <c r="H710" t="s">
        <v>46</v>
      </c>
      <c r="I710" t="s">
        <v>10</v>
      </c>
      <c r="J710" t="s">
        <v>4</v>
      </c>
      <c r="K710" t="s">
        <v>25</v>
      </c>
      <c r="L710" t="s">
        <v>41</v>
      </c>
      <c r="M710" t="s">
        <v>19</v>
      </c>
      <c r="N710">
        <v>1</v>
      </c>
      <c r="O710">
        <v>0</v>
      </c>
      <c r="P710">
        <v>1348.18</v>
      </c>
      <c r="Q710">
        <v>1348.18</v>
      </c>
    </row>
    <row r="711" spans="7:17" x14ac:dyDescent="0.25">
      <c r="G711" t="str">
        <f t="shared" si="11"/>
        <v/>
      </c>
      <c r="H711" t="s">
        <v>46</v>
      </c>
      <c r="I711" t="s">
        <v>10</v>
      </c>
      <c r="J711" t="s">
        <v>4</v>
      </c>
      <c r="K711" t="s">
        <v>25</v>
      </c>
      <c r="L711" t="s">
        <v>41</v>
      </c>
      <c r="M711" t="s">
        <v>20</v>
      </c>
      <c r="N711">
        <v>14</v>
      </c>
      <c r="O711">
        <v>5</v>
      </c>
      <c r="P711">
        <v>11484.210000000001</v>
      </c>
      <c r="Q711">
        <v>0</v>
      </c>
    </row>
    <row r="712" spans="7:17" x14ac:dyDescent="0.25">
      <c r="G712" t="str">
        <f t="shared" si="11"/>
        <v/>
      </c>
      <c r="H712" t="s">
        <v>46</v>
      </c>
      <c r="I712" t="s">
        <v>10</v>
      </c>
      <c r="J712" t="s">
        <v>4</v>
      </c>
      <c r="K712" t="s">
        <v>25</v>
      </c>
      <c r="L712" t="s">
        <v>45</v>
      </c>
      <c r="M712" t="s">
        <v>19</v>
      </c>
      <c r="N712">
        <v>2</v>
      </c>
      <c r="O712">
        <v>1</v>
      </c>
      <c r="P712">
        <v>3632.66</v>
      </c>
      <c r="Q712">
        <v>88.5</v>
      </c>
    </row>
    <row r="713" spans="7:17" x14ac:dyDescent="0.25">
      <c r="G713" t="str">
        <f t="shared" si="11"/>
        <v/>
      </c>
      <c r="H713" t="s">
        <v>46</v>
      </c>
      <c r="I713" t="s">
        <v>10</v>
      </c>
      <c r="J713" t="s">
        <v>4</v>
      </c>
      <c r="K713" t="s">
        <v>25</v>
      </c>
      <c r="L713" t="s">
        <v>45</v>
      </c>
      <c r="M713" t="s">
        <v>20</v>
      </c>
      <c r="N713">
        <v>179</v>
      </c>
      <c r="O713">
        <v>79</v>
      </c>
      <c r="P713">
        <v>257472.83999999997</v>
      </c>
      <c r="Q713">
        <v>0</v>
      </c>
    </row>
    <row r="714" spans="7:17" x14ac:dyDescent="0.25">
      <c r="G714" t="str">
        <f t="shared" si="11"/>
        <v/>
      </c>
      <c r="H714" t="s">
        <v>46</v>
      </c>
      <c r="I714" t="s">
        <v>10</v>
      </c>
      <c r="J714" t="s">
        <v>4</v>
      </c>
      <c r="K714" t="s">
        <v>26</v>
      </c>
      <c r="L714" t="s">
        <v>42</v>
      </c>
      <c r="M714" t="s">
        <v>19</v>
      </c>
      <c r="N714">
        <v>534</v>
      </c>
      <c r="O714">
        <v>215</v>
      </c>
      <c r="P714">
        <v>268029.85000000027</v>
      </c>
      <c r="Q714">
        <v>265775.07000000018</v>
      </c>
    </row>
    <row r="715" spans="7:17" x14ac:dyDescent="0.25">
      <c r="G715" t="str">
        <f t="shared" si="11"/>
        <v/>
      </c>
      <c r="H715" t="s">
        <v>46</v>
      </c>
      <c r="I715" t="s">
        <v>10</v>
      </c>
      <c r="J715" t="s">
        <v>4</v>
      </c>
      <c r="K715" t="s">
        <v>26</v>
      </c>
      <c r="L715" t="s">
        <v>42</v>
      </c>
      <c r="M715" t="s">
        <v>20</v>
      </c>
      <c r="N715">
        <v>283</v>
      </c>
      <c r="O715">
        <v>140</v>
      </c>
      <c r="P715">
        <v>68480.929999999949</v>
      </c>
      <c r="Q715">
        <v>0</v>
      </c>
    </row>
    <row r="716" spans="7:17" x14ac:dyDescent="0.25">
      <c r="G716" t="str">
        <f t="shared" si="11"/>
        <v/>
      </c>
      <c r="H716" t="s">
        <v>46</v>
      </c>
      <c r="I716" t="s">
        <v>10</v>
      </c>
      <c r="J716" t="s">
        <v>4</v>
      </c>
      <c r="K716" t="s">
        <v>26</v>
      </c>
      <c r="L716" t="s">
        <v>43</v>
      </c>
      <c r="M716" t="s">
        <v>19</v>
      </c>
      <c r="N716">
        <v>67</v>
      </c>
      <c r="O716">
        <v>45</v>
      </c>
      <c r="P716">
        <v>51306.950000000004</v>
      </c>
      <c r="Q716">
        <v>47423.48000000001</v>
      </c>
    </row>
    <row r="717" spans="7:17" x14ac:dyDescent="0.25">
      <c r="G717" t="str">
        <f t="shared" si="11"/>
        <v/>
      </c>
      <c r="H717" t="s">
        <v>46</v>
      </c>
      <c r="I717" t="s">
        <v>10</v>
      </c>
      <c r="J717" t="s">
        <v>4</v>
      </c>
      <c r="K717" t="s">
        <v>26</v>
      </c>
      <c r="L717" t="s">
        <v>43</v>
      </c>
      <c r="M717" t="s">
        <v>20</v>
      </c>
      <c r="N717">
        <v>98</v>
      </c>
      <c r="O717">
        <v>42</v>
      </c>
      <c r="P717">
        <v>62591.909999999989</v>
      </c>
      <c r="Q717">
        <v>0</v>
      </c>
    </row>
    <row r="718" spans="7:17" x14ac:dyDescent="0.25">
      <c r="G718" t="str">
        <f t="shared" si="11"/>
        <v/>
      </c>
      <c r="H718" t="s">
        <v>46</v>
      </c>
      <c r="I718" t="s">
        <v>10</v>
      </c>
      <c r="J718" t="s">
        <v>4</v>
      </c>
      <c r="K718" t="s">
        <v>26</v>
      </c>
      <c r="L718" t="s">
        <v>44</v>
      </c>
      <c r="M718" t="s">
        <v>19</v>
      </c>
      <c r="N718">
        <v>33</v>
      </c>
      <c r="O718">
        <v>19</v>
      </c>
      <c r="P718">
        <v>32875.89</v>
      </c>
      <c r="Q718">
        <v>12649.63</v>
      </c>
    </row>
    <row r="719" spans="7:17" x14ac:dyDescent="0.25">
      <c r="G719" t="str">
        <f t="shared" si="11"/>
        <v/>
      </c>
      <c r="H719" t="s">
        <v>46</v>
      </c>
      <c r="I719" t="s">
        <v>10</v>
      </c>
      <c r="J719" t="s">
        <v>4</v>
      </c>
      <c r="K719" t="s">
        <v>26</v>
      </c>
      <c r="L719" t="s">
        <v>44</v>
      </c>
      <c r="M719" t="s">
        <v>20</v>
      </c>
      <c r="N719">
        <v>92</v>
      </c>
      <c r="O719">
        <v>56</v>
      </c>
      <c r="P719">
        <v>82872.47000000003</v>
      </c>
      <c r="Q719">
        <v>0</v>
      </c>
    </row>
    <row r="720" spans="7:17" x14ac:dyDescent="0.25">
      <c r="G720" t="str">
        <f t="shared" si="11"/>
        <v/>
      </c>
      <c r="H720" t="s">
        <v>46</v>
      </c>
      <c r="I720" t="s">
        <v>10</v>
      </c>
      <c r="J720" t="s">
        <v>4</v>
      </c>
      <c r="K720" t="s">
        <v>26</v>
      </c>
      <c r="L720" t="s">
        <v>39</v>
      </c>
      <c r="M720" t="s">
        <v>19</v>
      </c>
      <c r="N720">
        <v>4</v>
      </c>
      <c r="O720">
        <v>4</v>
      </c>
      <c r="P720">
        <v>3854.0299999999997</v>
      </c>
      <c r="Q720">
        <v>1096.5</v>
      </c>
    </row>
    <row r="721" spans="7:17" x14ac:dyDescent="0.25">
      <c r="G721" t="str">
        <f t="shared" si="11"/>
        <v/>
      </c>
      <c r="H721" t="s">
        <v>46</v>
      </c>
      <c r="I721" t="s">
        <v>10</v>
      </c>
      <c r="J721" t="s">
        <v>4</v>
      </c>
      <c r="K721" t="s">
        <v>26</v>
      </c>
      <c r="L721" t="s">
        <v>39</v>
      </c>
      <c r="M721" t="s">
        <v>20</v>
      </c>
      <c r="N721">
        <v>45</v>
      </c>
      <c r="O721">
        <v>26</v>
      </c>
      <c r="P721">
        <v>32329.999999999993</v>
      </c>
      <c r="Q721">
        <v>0</v>
      </c>
    </row>
    <row r="722" spans="7:17" x14ac:dyDescent="0.25">
      <c r="G722" t="str">
        <f t="shared" si="11"/>
        <v/>
      </c>
      <c r="H722" t="s">
        <v>46</v>
      </c>
      <c r="I722" t="s">
        <v>10</v>
      </c>
      <c r="J722" t="s">
        <v>4</v>
      </c>
      <c r="K722" t="s">
        <v>26</v>
      </c>
      <c r="L722" t="s">
        <v>40</v>
      </c>
      <c r="M722" t="s">
        <v>19</v>
      </c>
      <c r="N722">
        <v>2</v>
      </c>
      <c r="O722">
        <v>2</v>
      </c>
      <c r="P722">
        <v>3472.55</v>
      </c>
      <c r="Q722">
        <v>1725.9099999999999</v>
      </c>
    </row>
    <row r="723" spans="7:17" x14ac:dyDescent="0.25">
      <c r="G723" t="str">
        <f t="shared" si="11"/>
        <v/>
      </c>
      <c r="H723" t="s">
        <v>46</v>
      </c>
      <c r="I723" t="s">
        <v>10</v>
      </c>
      <c r="J723" t="s">
        <v>4</v>
      </c>
      <c r="K723" t="s">
        <v>26</v>
      </c>
      <c r="L723" t="s">
        <v>40</v>
      </c>
      <c r="M723" t="s">
        <v>20</v>
      </c>
      <c r="N723">
        <v>29</v>
      </c>
      <c r="O723">
        <v>10</v>
      </c>
      <c r="P723">
        <v>22452.449999999997</v>
      </c>
      <c r="Q723">
        <v>0</v>
      </c>
    </row>
    <row r="724" spans="7:17" x14ac:dyDescent="0.25">
      <c r="G724" t="str">
        <f t="shared" si="11"/>
        <v/>
      </c>
      <c r="H724" t="s">
        <v>46</v>
      </c>
      <c r="I724" t="s">
        <v>10</v>
      </c>
      <c r="J724" t="s">
        <v>4</v>
      </c>
      <c r="K724" t="s">
        <v>26</v>
      </c>
      <c r="L724" t="s">
        <v>41</v>
      </c>
      <c r="M724" t="s">
        <v>19</v>
      </c>
      <c r="N724">
        <v>3</v>
      </c>
      <c r="O724">
        <v>1</v>
      </c>
      <c r="P724">
        <v>2107.5700000000002</v>
      </c>
      <c r="Q724">
        <v>1261.0900000000001</v>
      </c>
    </row>
    <row r="725" spans="7:17" x14ac:dyDescent="0.25">
      <c r="G725" t="str">
        <f t="shared" si="11"/>
        <v/>
      </c>
      <c r="H725" t="s">
        <v>46</v>
      </c>
      <c r="I725" t="s">
        <v>10</v>
      </c>
      <c r="J725" t="s">
        <v>4</v>
      </c>
      <c r="K725" t="s">
        <v>26</v>
      </c>
      <c r="L725" t="s">
        <v>41</v>
      </c>
      <c r="M725" t="s">
        <v>20</v>
      </c>
      <c r="N725">
        <v>27</v>
      </c>
      <c r="O725">
        <v>18</v>
      </c>
      <c r="P725">
        <v>27038.38</v>
      </c>
      <c r="Q725">
        <v>0</v>
      </c>
    </row>
    <row r="726" spans="7:17" x14ac:dyDescent="0.25">
      <c r="G726" t="str">
        <f t="shared" si="11"/>
        <v/>
      </c>
      <c r="H726" t="s">
        <v>46</v>
      </c>
      <c r="I726" t="s">
        <v>10</v>
      </c>
      <c r="J726" t="s">
        <v>4</v>
      </c>
      <c r="K726" t="s">
        <v>27</v>
      </c>
      <c r="L726" t="s">
        <v>42</v>
      </c>
      <c r="M726" t="s">
        <v>19</v>
      </c>
      <c r="N726">
        <v>108</v>
      </c>
      <c r="O726">
        <v>33</v>
      </c>
      <c r="P726">
        <v>44129.530000000021</v>
      </c>
      <c r="Q726">
        <v>44055.400000000016</v>
      </c>
    </row>
    <row r="727" spans="7:17" x14ac:dyDescent="0.25">
      <c r="G727" t="str">
        <f t="shared" si="11"/>
        <v/>
      </c>
      <c r="H727" t="s">
        <v>46</v>
      </c>
      <c r="I727" t="s">
        <v>10</v>
      </c>
      <c r="J727" t="s">
        <v>4</v>
      </c>
      <c r="K727" t="s">
        <v>27</v>
      </c>
      <c r="L727" t="s">
        <v>42</v>
      </c>
      <c r="M727" t="s">
        <v>20</v>
      </c>
      <c r="N727">
        <v>69</v>
      </c>
      <c r="O727">
        <v>9</v>
      </c>
      <c r="P727">
        <v>20856.940000000002</v>
      </c>
      <c r="Q727">
        <v>0</v>
      </c>
    </row>
    <row r="728" spans="7:17" x14ac:dyDescent="0.25">
      <c r="G728" t="str">
        <f t="shared" si="11"/>
        <v/>
      </c>
      <c r="H728" t="s">
        <v>46</v>
      </c>
      <c r="I728" t="s">
        <v>10</v>
      </c>
      <c r="J728" t="s">
        <v>4</v>
      </c>
      <c r="K728" t="s">
        <v>27</v>
      </c>
      <c r="L728" t="s">
        <v>43</v>
      </c>
      <c r="M728" t="s">
        <v>19</v>
      </c>
      <c r="N728">
        <v>7</v>
      </c>
      <c r="O728">
        <v>4</v>
      </c>
      <c r="P728">
        <v>4329.7700000000004</v>
      </c>
      <c r="Q728">
        <v>4328.1900000000005</v>
      </c>
    </row>
    <row r="729" spans="7:17" x14ac:dyDescent="0.25">
      <c r="G729" t="str">
        <f t="shared" si="11"/>
        <v/>
      </c>
      <c r="H729" t="s">
        <v>46</v>
      </c>
      <c r="I729" t="s">
        <v>10</v>
      </c>
      <c r="J729" t="s">
        <v>4</v>
      </c>
      <c r="K729" t="s">
        <v>27</v>
      </c>
      <c r="L729" t="s">
        <v>43</v>
      </c>
      <c r="M729" t="s">
        <v>20</v>
      </c>
      <c r="N729">
        <v>9</v>
      </c>
      <c r="O729">
        <v>6</v>
      </c>
      <c r="P729">
        <v>5685.63</v>
      </c>
      <c r="Q729">
        <v>0</v>
      </c>
    </row>
    <row r="730" spans="7:17" x14ac:dyDescent="0.25">
      <c r="G730" t="str">
        <f t="shared" si="11"/>
        <v/>
      </c>
      <c r="H730" t="s">
        <v>46</v>
      </c>
      <c r="I730" t="s">
        <v>10</v>
      </c>
      <c r="J730" t="s">
        <v>4</v>
      </c>
      <c r="K730" t="s">
        <v>27</v>
      </c>
      <c r="L730" t="s">
        <v>44</v>
      </c>
      <c r="M730" t="s">
        <v>19</v>
      </c>
      <c r="N730">
        <v>5</v>
      </c>
      <c r="O730">
        <v>3</v>
      </c>
      <c r="P730">
        <v>4108.9800000000005</v>
      </c>
      <c r="Q730">
        <v>4108.9800000000005</v>
      </c>
    </row>
    <row r="731" spans="7:17" x14ac:dyDescent="0.25">
      <c r="G731" t="str">
        <f t="shared" si="11"/>
        <v/>
      </c>
      <c r="H731" t="s">
        <v>46</v>
      </c>
      <c r="I731" t="s">
        <v>10</v>
      </c>
      <c r="J731" t="s">
        <v>4</v>
      </c>
      <c r="K731" t="s">
        <v>27</v>
      </c>
      <c r="L731" t="s">
        <v>44</v>
      </c>
      <c r="M731" t="s">
        <v>20</v>
      </c>
      <c r="N731">
        <v>8</v>
      </c>
      <c r="O731">
        <v>7</v>
      </c>
      <c r="P731">
        <v>10627.73</v>
      </c>
      <c r="Q731">
        <v>0</v>
      </c>
    </row>
    <row r="732" spans="7:17" x14ac:dyDescent="0.25">
      <c r="G732" t="str">
        <f t="shared" si="11"/>
        <v/>
      </c>
      <c r="H732" t="s">
        <v>46</v>
      </c>
      <c r="I732" t="s">
        <v>10</v>
      </c>
      <c r="J732" t="s">
        <v>4</v>
      </c>
      <c r="K732" t="s">
        <v>27</v>
      </c>
      <c r="L732" t="s">
        <v>39</v>
      </c>
      <c r="M732" t="s">
        <v>19</v>
      </c>
      <c r="N732">
        <v>1</v>
      </c>
      <c r="O732">
        <v>1</v>
      </c>
      <c r="P732">
        <v>2431.84</v>
      </c>
      <c r="Q732">
        <v>2431.84</v>
      </c>
    </row>
    <row r="733" spans="7:17" x14ac:dyDescent="0.25">
      <c r="G733" t="str">
        <f t="shared" si="11"/>
        <v/>
      </c>
      <c r="H733" t="s">
        <v>46</v>
      </c>
      <c r="I733" t="s">
        <v>10</v>
      </c>
      <c r="J733" t="s">
        <v>4</v>
      </c>
      <c r="K733" t="s">
        <v>27</v>
      </c>
      <c r="L733" t="s">
        <v>39</v>
      </c>
      <c r="M733" t="s">
        <v>20</v>
      </c>
      <c r="N733">
        <v>4</v>
      </c>
      <c r="O733">
        <v>1</v>
      </c>
      <c r="P733">
        <v>1952.8200000000002</v>
      </c>
      <c r="Q733">
        <v>0</v>
      </c>
    </row>
    <row r="734" spans="7:17" x14ac:dyDescent="0.25">
      <c r="G734" t="str">
        <f t="shared" si="11"/>
        <v/>
      </c>
      <c r="H734" t="s">
        <v>46</v>
      </c>
      <c r="I734" t="s">
        <v>10</v>
      </c>
      <c r="J734" t="s">
        <v>4</v>
      </c>
      <c r="K734" t="s">
        <v>27</v>
      </c>
      <c r="L734" t="s">
        <v>40</v>
      </c>
      <c r="M734" t="s">
        <v>20</v>
      </c>
      <c r="N734">
        <v>5</v>
      </c>
      <c r="O734">
        <v>2</v>
      </c>
      <c r="P734">
        <v>1994.75</v>
      </c>
      <c r="Q734">
        <v>0</v>
      </c>
    </row>
    <row r="735" spans="7:17" x14ac:dyDescent="0.25">
      <c r="G735" t="str">
        <f t="shared" si="11"/>
        <v/>
      </c>
      <c r="H735" t="s">
        <v>46</v>
      </c>
      <c r="I735" t="s">
        <v>10</v>
      </c>
      <c r="J735" t="s">
        <v>4</v>
      </c>
      <c r="K735" t="s">
        <v>27</v>
      </c>
      <c r="L735" t="s">
        <v>41</v>
      </c>
      <c r="M735" t="s">
        <v>20</v>
      </c>
      <c r="N735">
        <v>1</v>
      </c>
      <c r="O735">
        <v>1</v>
      </c>
      <c r="P735">
        <v>431.02</v>
      </c>
      <c r="Q735">
        <v>0</v>
      </c>
    </row>
    <row r="736" spans="7:17" x14ac:dyDescent="0.25">
      <c r="G736" t="str">
        <f t="shared" si="11"/>
        <v/>
      </c>
      <c r="H736" t="s">
        <v>46</v>
      </c>
      <c r="I736" t="s">
        <v>10</v>
      </c>
      <c r="J736" t="s">
        <v>4</v>
      </c>
      <c r="K736" t="s">
        <v>27</v>
      </c>
      <c r="L736" t="s">
        <v>45</v>
      </c>
      <c r="M736" t="s">
        <v>19</v>
      </c>
      <c r="N736">
        <v>1</v>
      </c>
      <c r="O736">
        <v>1</v>
      </c>
      <c r="P736">
        <v>380.59</v>
      </c>
      <c r="Q736">
        <v>380.59</v>
      </c>
    </row>
    <row r="737" spans="7:17" x14ac:dyDescent="0.25">
      <c r="G737" t="str">
        <f t="shared" si="11"/>
        <v/>
      </c>
      <c r="H737" t="s">
        <v>46</v>
      </c>
      <c r="I737" t="s">
        <v>10</v>
      </c>
      <c r="J737" t="s">
        <v>4</v>
      </c>
      <c r="K737" t="s">
        <v>27</v>
      </c>
      <c r="L737" t="s">
        <v>45</v>
      </c>
      <c r="M737" t="s">
        <v>20</v>
      </c>
      <c r="N737">
        <v>20</v>
      </c>
      <c r="O737">
        <v>15</v>
      </c>
      <c r="P737">
        <v>16723.91</v>
      </c>
      <c r="Q737">
        <v>0</v>
      </c>
    </row>
    <row r="738" spans="7:17" x14ac:dyDescent="0.25">
      <c r="G738" t="str">
        <f t="shared" si="11"/>
        <v/>
      </c>
      <c r="H738" t="s">
        <v>46</v>
      </c>
      <c r="I738" t="s">
        <v>10</v>
      </c>
      <c r="J738" t="s">
        <v>4</v>
      </c>
      <c r="K738" t="s">
        <v>28</v>
      </c>
      <c r="L738" t="s">
        <v>42</v>
      </c>
      <c r="M738" t="s">
        <v>19</v>
      </c>
      <c r="N738">
        <v>363</v>
      </c>
      <c r="O738">
        <v>132</v>
      </c>
      <c r="P738">
        <v>175448.63000000006</v>
      </c>
      <c r="Q738">
        <v>171762.71000000008</v>
      </c>
    </row>
    <row r="739" spans="7:17" x14ac:dyDescent="0.25">
      <c r="G739" t="str">
        <f t="shared" si="11"/>
        <v/>
      </c>
      <c r="H739" t="s">
        <v>46</v>
      </c>
      <c r="I739" t="s">
        <v>10</v>
      </c>
      <c r="J739" t="s">
        <v>4</v>
      </c>
      <c r="K739" t="s">
        <v>28</v>
      </c>
      <c r="L739" t="s">
        <v>42</v>
      </c>
      <c r="M739" t="s">
        <v>20</v>
      </c>
      <c r="N739">
        <v>192</v>
      </c>
      <c r="O739">
        <v>89</v>
      </c>
      <c r="P739">
        <v>51776.49000000002</v>
      </c>
      <c r="Q739">
        <v>0</v>
      </c>
    </row>
    <row r="740" spans="7:17" x14ac:dyDescent="0.25">
      <c r="G740" t="str">
        <f t="shared" si="11"/>
        <v/>
      </c>
      <c r="H740" t="s">
        <v>46</v>
      </c>
      <c r="I740" t="s">
        <v>10</v>
      </c>
      <c r="J740" t="s">
        <v>4</v>
      </c>
      <c r="K740" t="s">
        <v>28</v>
      </c>
      <c r="L740" t="s">
        <v>43</v>
      </c>
      <c r="M740" t="s">
        <v>19</v>
      </c>
      <c r="N740">
        <v>34</v>
      </c>
      <c r="O740">
        <v>20</v>
      </c>
      <c r="P740">
        <v>26074.28</v>
      </c>
      <c r="Q740">
        <v>24411.990000000005</v>
      </c>
    </row>
    <row r="741" spans="7:17" x14ac:dyDescent="0.25">
      <c r="G741" t="str">
        <f t="shared" si="11"/>
        <v/>
      </c>
      <c r="H741" t="s">
        <v>46</v>
      </c>
      <c r="I741" t="s">
        <v>10</v>
      </c>
      <c r="J741" t="s">
        <v>4</v>
      </c>
      <c r="K741" t="s">
        <v>28</v>
      </c>
      <c r="L741" t="s">
        <v>43</v>
      </c>
      <c r="M741" t="s">
        <v>20</v>
      </c>
      <c r="N741">
        <v>83</v>
      </c>
      <c r="O741">
        <v>45</v>
      </c>
      <c r="P741">
        <v>50050.740000000005</v>
      </c>
      <c r="Q741">
        <v>0</v>
      </c>
    </row>
    <row r="742" spans="7:17" x14ac:dyDescent="0.25">
      <c r="G742" t="str">
        <f t="shared" si="11"/>
        <v/>
      </c>
      <c r="H742" t="s">
        <v>46</v>
      </c>
      <c r="I742" t="s">
        <v>10</v>
      </c>
      <c r="J742" t="s">
        <v>4</v>
      </c>
      <c r="K742" t="s">
        <v>28</v>
      </c>
      <c r="L742" t="s">
        <v>44</v>
      </c>
      <c r="M742" t="s">
        <v>19</v>
      </c>
      <c r="N742">
        <v>20</v>
      </c>
      <c r="O742">
        <v>15</v>
      </c>
      <c r="P742">
        <v>85213.33</v>
      </c>
      <c r="Q742">
        <v>28394.459999999995</v>
      </c>
    </row>
    <row r="743" spans="7:17" x14ac:dyDescent="0.25">
      <c r="G743" t="str">
        <f t="shared" si="11"/>
        <v/>
      </c>
      <c r="H743" t="s">
        <v>46</v>
      </c>
      <c r="I743" t="s">
        <v>10</v>
      </c>
      <c r="J743" t="s">
        <v>4</v>
      </c>
      <c r="K743" t="s">
        <v>28</v>
      </c>
      <c r="L743" t="s">
        <v>44</v>
      </c>
      <c r="M743" t="s">
        <v>20</v>
      </c>
      <c r="N743">
        <v>37</v>
      </c>
      <c r="O743">
        <v>26</v>
      </c>
      <c r="P743">
        <v>25657.460000000003</v>
      </c>
      <c r="Q743">
        <v>0</v>
      </c>
    </row>
    <row r="744" spans="7:17" x14ac:dyDescent="0.25">
      <c r="G744" t="str">
        <f t="shared" si="11"/>
        <v/>
      </c>
      <c r="H744" t="s">
        <v>46</v>
      </c>
      <c r="I744" t="s">
        <v>10</v>
      </c>
      <c r="J744" t="s">
        <v>4</v>
      </c>
      <c r="K744" t="s">
        <v>29</v>
      </c>
      <c r="L744" t="s">
        <v>42</v>
      </c>
      <c r="M744" t="s">
        <v>19</v>
      </c>
      <c r="N744">
        <v>235</v>
      </c>
      <c r="O744">
        <v>80</v>
      </c>
      <c r="P744">
        <v>111145.93000000007</v>
      </c>
      <c r="Q744">
        <v>110223.84000000004</v>
      </c>
    </row>
    <row r="745" spans="7:17" x14ac:dyDescent="0.25">
      <c r="G745" t="str">
        <f t="shared" si="11"/>
        <v/>
      </c>
      <c r="H745" t="s">
        <v>46</v>
      </c>
      <c r="I745" t="s">
        <v>10</v>
      </c>
      <c r="J745" t="s">
        <v>4</v>
      </c>
      <c r="K745" t="s">
        <v>29</v>
      </c>
      <c r="L745" t="s">
        <v>42</v>
      </c>
      <c r="M745" t="s">
        <v>20</v>
      </c>
      <c r="N745">
        <v>139</v>
      </c>
      <c r="O745">
        <v>53</v>
      </c>
      <c r="P745">
        <v>33815.869999999988</v>
      </c>
      <c r="Q745">
        <v>0</v>
      </c>
    </row>
    <row r="746" spans="7:17" x14ac:dyDescent="0.25">
      <c r="G746" t="str">
        <f t="shared" si="11"/>
        <v/>
      </c>
      <c r="H746" t="s">
        <v>46</v>
      </c>
      <c r="I746" t="s">
        <v>10</v>
      </c>
      <c r="J746" t="s">
        <v>4</v>
      </c>
      <c r="K746" t="s">
        <v>29</v>
      </c>
      <c r="L746" t="s">
        <v>43</v>
      </c>
      <c r="M746" t="s">
        <v>19</v>
      </c>
      <c r="N746">
        <v>33</v>
      </c>
      <c r="O746">
        <v>21</v>
      </c>
      <c r="P746">
        <v>23163.19</v>
      </c>
      <c r="Q746">
        <v>22415.199999999997</v>
      </c>
    </row>
    <row r="747" spans="7:17" x14ac:dyDescent="0.25">
      <c r="G747" t="str">
        <f t="shared" si="11"/>
        <v/>
      </c>
      <c r="H747" t="s">
        <v>46</v>
      </c>
      <c r="I747" t="s">
        <v>10</v>
      </c>
      <c r="J747" t="s">
        <v>4</v>
      </c>
      <c r="K747" t="s">
        <v>29</v>
      </c>
      <c r="L747" t="s">
        <v>43</v>
      </c>
      <c r="M747" t="s">
        <v>20</v>
      </c>
      <c r="N747">
        <v>65</v>
      </c>
      <c r="O747">
        <v>25</v>
      </c>
      <c r="P747">
        <v>43213.89</v>
      </c>
      <c r="Q747">
        <v>0</v>
      </c>
    </row>
    <row r="748" spans="7:17" x14ac:dyDescent="0.25">
      <c r="G748" t="str">
        <f t="shared" si="11"/>
        <v/>
      </c>
      <c r="H748" t="s">
        <v>46</v>
      </c>
      <c r="I748" t="s">
        <v>10</v>
      </c>
      <c r="J748" t="s">
        <v>4</v>
      </c>
      <c r="K748" t="s">
        <v>29</v>
      </c>
      <c r="L748" t="s">
        <v>44</v>
      </c>
      <c r="M748" t="s">
        <v>19</v>
      </c>
      <c r="N748">
        <v>4</v>
      </c>
      <c r="O748">
        <v>3</v>
      </c>
      <c r="P748">
        <v>4589.6899999999996</v>
      </c>
      <c r="Q748">
        <v>4589.3599999999997</v>
      </c>
    </row>
    <row r="749" spans="7:17" x14ac:dyDescent="0.25">
      <c r="G749" t="str">
        <f t="shared" si="11"/>
        <v/>
      </c>
      <c r="H749" t="s">
        <v>46</v>
      </c>
      <c r="I749" t="s">
        <v>10</v>
      </c>
      <c r="J749" t="s">
        <v>4</v>
      </c>
      <c r="K749" t="s">
        <v>29</v>
      </c>
      <c r="L749" t="s">
        <v>44</v>
      </c>
      <c r="M749" t="s">
        <v>20</v>
      </c>
      <c r="N749">
        <v>40</v>
      </c>
      <c r="O749">
        <v>21</v>
      </c>
      <c r="P749">
        <v>23547.270000000011</v>
      </c>
      <c r="Q749">
        <v>0</v>
      </c>
    </row>
    <row r="750" spans="7:17" x14ac:dyDescent="0.25">
      <c r="G750" t="str">
        <f t="shared" si="11"/>
        <v/>
      </c>
      <c r="H750" t="s">
        <v>46</v>
      </c>
      <c r="I750" t="s">
        <v>10</v>
      </c>
      <c r="J750" t="s">
        <v>4</v>
      </c>
      <c r="K750" t="s">
        <v>29</v>
      </c>
      <c r="L750" t="s">
        <v>39</v>
      </c>
      <c r="M750" t="s">
        <v>19</v>
      </c>
      <c r="N750">
        <v>1</v>
      </c>
      <c r="O750">
        <v>0</v>
      </c>
      <c r="P750">
        <v>706.19</v>
      </c>
      <c r="Q750">
        <v>706</v>
      </c>
    </row>
    <row r="751" spans="7:17" x14ac:dyDescent="0.25">
      <c r="G751" t="str">
        <f t="shared" si="11"/>
        <v/>
      </c>
      <c r="H751" t="s">
        <v>46</v>
      </c>
      <c r="I751" t="s">
        <v>10</v>
      </c>
      <c r="J751" t="s">
        <v>4</v>
      </c>
      <c r="K751" t="s">
        <v>29</v>
      </c>
      <c r="L751" t="s">
        <v>39</v>
      </c>
      <c r="M751" t="s">
        <v>20</v>
      </c>
      <c r="N751">
        <v>18</v>
      </c>
      <c r="O751">
        <v>17</v>
      </c>
      <c r="P751">
        <v>11682.07</v>
      </c>
      <c r="Q751">
        <v>0</v>
      </c>
    </row>
    <row r="752" spans="7:17" x14ac:dyDescent="0.25">
      <c r="G752" t="str">
        <f t="shared" si="11"/>
        <v/>
      </c>
      <c r="H752" t="s">
        <v>46</v>
      </c>
      <c r="I752" t="s">
        <v>10</v>
      </c>
      <c r="J752" t="s">
        <v>4</v>
      </c>
      <c r="K752" t="s">
        <v>29</v>
      </c>
      <c r="L752" t="s">
        <v>40</v>
      </c>
      <c r="M752" t="s">
        <v>19</v>
      </c>
      <c r="N752">
        <v>2</v>
      </c>
      <c r="O752">
        <v>0</v>
      </c>
      <c r="P752">
        <v>1931.76</v>
      </c>
      <c r="Q752">
        <v>1931.72</v>
      </c>
    </row>
    <row r="753" spans="7:17" x14ac:dyDescent="0.25">
      <c r="G753" t="str">
        <f t="shared" si="11"/>
        <v/>
      </c>
      <c r="H753" t="s">
        <v>46</v>
      </c>
      <c r="I753" t="s">
        <v>10</v>
      </c>
      <c r="J753" t="s">
        <v>4</v>
      </c>
      <c r="K753" t="s">
        <v>29</v>
      </c>
      <c r="L753" t="s">
        <v>40</v>
      </c>
      <c r="M753" t="s">
        <v>20</v>
      </c>
      <c r="N753">
        <v>29</v>
      </c>
      <c r="O753">
        <v>10</v>
      </c>
      <c r="P753">
        <v>18356.419999999995</v>
      </c>
      <c r="Q753">
        <v>0</v>
      </c>
    </row>
    <row r="754" spans="7:17" x14ac:dyDescent="0.25">
      <c r="G754" t="str">
        <f t="shared" si="11"/>
        <v/>
      </c>
      <c r="H754" t="s">
        <v>46</v>
      </c>
      <c r="I754" t="s">
        <v>10</v>
      </c>
      <c r="J754" t="s">
        <v>4</v>
      </c>
      <c r="K754" t="s">
        <v>29</v>
      </c>
      <c r="L754" t="s">
        <v>41</v>
      </c>
      <c r="M754" t="s">
        <v>20</v>
      </c>
      <c r="N754">
        <v>18</v>
      </c>
      <c r="O754">
        <v>9</v>
      </c>
      <c r="P754">
        <v>10184.200000000001</v>
      </c>
      <c r="Q754">
        <v>0</v>
      </c>
    </row>
    <row r="755" spans="7:17" x14ac:dyDescent="0.25">
      <c r="G755" t="str">
        <f t="shared" si="11"/>
        <v/>
      </c>
      <c r="H755" t="s">
        <v>46</v>
      </c>
      <c r="I755" t="s">
        <v>10</v>
      </c>
      <c r="J755" t="s">
        <v>4</v>
      </c>
      <c r="K755" t="s">
        <v>29</v>
      </c>
      <c r="L755" t="s">
        <v>45</v>
      </c>
      <c r="M755" t="s">
        <v>19</v>
      </c>
      <c r="N755">
        <v>2</v>
      </c>
      <c r="O755">
        <v>0</v>
      </c>
      <c r="P755">
        <v>8842.26</v>
      </c>
      <c r="Q755">
        <v>3031.87</v>
      </c>
    </row>
    <row r="756" spans="7:17" x14ac:dyDescent="0.25">
      <c r="G756" t="str">
        <f t="shared" si="11"/>
        <v/>
      </c>
      <c r="H756" t="s">
        <v>46</v>
      </c>
      <c r="I756" t="s">
        <v>10</v>
      </c>
      <c r="J756" t="s">
        <v>4</v>
      </c>
      <c r="K756" t="s">
        <v>29</v>
      </c>
      <c r="L756" t="s">
        <v>45</v>
      </c>
      <c r="M756" t="s">
        <v>20</v>
      </c>
      <c r="N756">
        <v>142</v>
      </c>
      <c r="O756">
        <v>60</v>
      </c>
      <c r="P756">
        <v>141214.02999999994</v>
      </c>
      <c r="Q756">
        <v>0</v>
      </c>
    </row>
    <row r="757" spans="7:17" x14ac:dyDescent="0.25">
      <c r="G757" t="str">
        <f t="shared" si="11"/>
        <v/>
      </c>
      <c r="H757" t="s">
        <v>46</v>
      </c>
      <c r="I757" t="s">
        <v>10</v>
      </c>
      <c r="J757" t="s">
        <v>4</v>
      </c>
      <c r="K757" t="s">
        <v>30</v>
      </c>
      <c r="L757" t="s">
        <v>42</v>
      </c>
      <c r="M757" t="s">
        <v>19</v>
      </c>
      <c r="N757">
        <v>18</v>
      </c>
      <c r="O757">
        <v>5</v>
      </c>
      <c r="P757">
        <v>11493.519999999999</v>
      </c>
      <c r="Q757">
        <v>11493.519999999999</v>
      </c>
    </row>
    <row r="758" spans="7:17" x14ac:dyDescent="0.25">
      <c r="G758" t="str">
        <f t="shared" si="11"/>
        <v/>
      </c>
      <c r="H758" t="s">
        <v>46</v>
      </c>
      <c r="I758" t="s">
        <v>10</v>
      </c>
      <c r="J758" t="s">
        <v>4</v>
      </c>
      <c r="K758" t="s">
        <v>30</v>
      </c>
      <c r="L758" t="s">
        <v>42</v>
      </c>
      <c r="M758" t="s">
        <v>20</v>
      </c>
      <c r="N758">
        <v>6</v>
      </c>
      <c r="O758">
        <v>1</v>
      </c>
      <c r="P758">
        <v>1502.79</v>
      </c>
      <c r="Q758">
        <v>0</v>
      </c>
    </row>
    <row r="759" spans="7:17" x14ac:dyDescent="0.25">
      <c r="G759" t="str">
        <f t="shared" si="11"/>
        <v/>
      </c>
      <c r="H759" t="s">
        <v>46</v>
      </c>
      <c r="I759" t="s">
        <v>10</v>
      </c>
      <c r="J759" t="s">
        <v>4</v>
      </c>
      <c r="K759" t="s">
        <v>30</v>
      </c>
      <c r="L759" t="s">
        <v>43</v>
      </c>
      <c r="M759" t="s">
        <v>19</v>
      </c>
      <c r="N759">
        <v>2</v>
      </c>
      <c r="O759">
        <v>1</v>
      </c>
      <c r="P759">
        <v>1246.81</v>
      </c>
      <c r="Q759">
        <v>1206.46</v>
      </c>
    </row>
    <row r="760" spans="7:17" x14ac:dyDescent="0.25">
      <c r="G760" t="str">
        <f t="shared" si="11"/>
        <v/>
      </c>
      <c r="H760" t="s">
        <v>46</v>
      </c>
      <c r="I760" t="s">
        <v>10</v>
      </c>
      <c r="J760" t="s">
        <v>4</v>
      </c>
      <c r="K760" t="s">
        <v>30</v>
      </c>
      <c r="L760" t="s">
        <v>43</v>
      </c>
      <c r="M760" t="s">
        <v>20</v>
      </c>
      <c r="N760">
        <v>10</v>
      </c>
      <c r="O760">
        <v>4</v>
      </c>
      <c r="P760">
        <v>8158.31</v>
      </c>
      <c r="Q760">
        <v>0</v>
      </c>
    </row>
    <row r="761" spans="7:17" x14ac:dyDescent="0.25">
      <c r="G761" t="str">
        <f t="shared" si="11"/>
        <v/>
      </c>
      <c r="H761" t="s">
        <v>46</v>
      </c>
      <c r="I761" t="s">
        <v>10</v>
      </c>
      <c r="J761" t="s">
        <v>4</v>
      </c>
      <c r="K761" t="s">
        <v>30</v>
      </c>
      <c r="L761" t="s">
        <v>44</v>
      </c>
      <c r="M761" t="s">
        <v>19</v>
      </c>
      <c r="N761">
        <v>1</v>
      </c>
      <c r="O761">
        <v>1</v>
      </c>
      <c r="P761">
        <v>1014.2</v>
      </c>
      <c r="Q761">
        <v>1014.2</v>
      </c>
    </row>
    <row r="762" spans="7:17" x14ac:dyDescent="0.25">
      <c r="G762" t="str">
        <f t="shared" si="11"/>
        <v/>
      </c>
      <c r="H762" t="s">
        <v>46</v>
      </c>
      <c r="I762" t="s">
        <v>10</v>
      </c>
      <c r="J762" t="s">
        <v>4</v>
      </c>
      <c r="K762" t="s">
        <v>30</v>
      </c>
      <c r="L762" t="s">
        <v>44</v>
      </c>
      <c r="M762" t="s">
        <v>20</v>
      </c>
      <c r="N762">
        <v>1</v>
      </c>
      <c r="O762">
        <v>1</v>
      </c>
      <c r="P762">
        <v>1062.18</v>
      </c>
      <c r="Q762">
        <v>0</v>
      </c>
    </row>
    <row r="763" spans="7:17" x14ac:dyDescent="0.25">
      <c r="G763" t="str">
        <f t="shared" si="11"/>
        <v/>
      </c>
      <c r="H763" t="s">
        <v>46</v>
      </c>
      <c r="I763" t="s">
        <v>10</v>
      </c>
      <c r="J763" t="s">
        <v>4</v>
      </c>
      <c r="K763" t="s">
        <v>30</v>
      </c>
      <c r="L763" t="s">
        <v>39</v>
      </c>
      <c r="M763" t="s">
        <v>20</v>
      </c>
      <c r="N763">
        <v>3</v>
      </c>
      <c r="O763">
        <v>2</v>
      </c>
      <c r="P763">
        <v>2508.7399999999998</v>
      </c>
      <c r="Q763">
        <v>0</v>
      </c>
    </row>
    <row r="764" spans="7:17" x14ac:dyDescent="0.25">
      <c r="G764" t="str">
        <f t="shared" si="11"/>
        <v/>
      </c>
      <c r="H764" t="s">
        <v>46</v>
      </c>
      <c r="I764" t="s">
        <v>10</v>
      </c>
      <c r="J764" t="s">
        <v>4</v>
      </c>
      <c r="K764" t="s">
        <v>30</v>
      </c>
      <c r="L764" t="s">
        <v>41</v>
      </c>
      <c r="M764" t="s">
        <v>20</v>
      </c>
      <c r="N764">
        <v>1</v>
      </c>
      <c r="O764">
        <v>1</v>
      </c>
      <c r="P764">
        <v>628.51</v>
      </c>
      <c r="Q764">
        <v>0</v>
      </c>
    </row>
    <row r="765" spans="7:17" x14ac:dyDescent="0.25">
      <c r="G765" t="str">
        <f t="shared" si="11"/>
        <v/>
      </c>
      <c r="H765" t="s">
        <v>46</v>
      </c>
      <c r="I765" t="s">
        <v>10</v>
      </c>
      <c r="J765" t="s">
        <v>4</v>
      </c>
      <c r="K765" t="s">
        <v>30</v>
      </c>
      <c r="L765" t="s">
        <v>45</v>
      </c>
      <c r="M765" t="s">
        <v>20</v>
      </c>
      <c r="N765">
        <v>16</v>
      </c>
      <c r="O765">
        <v>5</v>
      </c>
      <c r="P765">
        <v>12550.61</v>
      </c>
      <c r="Q765">
        <v>0</v>
      </c>
    </row>
    <row r="766" spans="7:17" x14ac:dyDescent="0.25">
      <c r="G766" t="str">
        <f t="shared" si="11"/>
        <v/>
      </c>
      <c r="H766" t="s">
        <v>46</v>
      </c>
      <c r="I766" t="s">
        <v>10</v>
      </c>
      <c r="J766" t="s">
        <v>4</v>
      </c>
      <c r="K766" t="s">
        <v>32</v>
      </c>
      <c r="L766" t="s">
        <v>42</v>
      </c>
      <c r="M766" t="s">
        <v>19</v>
      </c>
      <c r="N766">
        <v>13</v>
      </c>
      <c r="O766">
        <v>4</v>
      </c>
      <c r="P766">
        <v>5384.88</v>
      </c>
      <c r="Q766">
        <v>5362.93</v>
      </c>
    </row>
    <row r="767" spans="7:17" x14ac:dyDescent="0.25">
      <c r="G767" t="str">
        <f t="shared" si="11"/>
        <v/>
      </c>
      <c r="H767" t="s">
        <v>46</v>
      </c>
      <c r="I767" t="s">
        <v>10</v>
      </c>
      <c r="J767" t="s">
        <v>4</v>
      </c>
      <c r="K767" t="s">
        <v>32</v>
      </c>
      <c r="L767" t="s">
        <v>42</v>
      </c>
      <c r="M767" t="s">
        <v>20</v>
      </c>
      <c r="N767">
        <v>20</v>
      </c>
      <c r="O767">
        <v>5</v>
      </c>
      <c r="P767">
        <v>4995.45</v>
      </c>
      <c r="Q767">
        <v>0</v>
      </c>
    </row>
    <row r="768" spans="7:17" x14ac:dyDescent="0.25">
      <c r="G768" t="str">
        <f t="shared" si="11"/>
        <v/>
      </c>
      <c r="H768" t="s">
        <v>46</v>
      </c>
      <c r="I768" t="s">
        <v>10</v>
      </c>
      <c r="J768" t="s">
        <v>4</v>
      </c>
      <c r="K768" t="s">
        <v>32</v>
      </c>
      <c r="L768" t="s">
        <v>43</v>
      </c>
      <c r="M768" t="s">
        <v>19</v>
      </c>
      <c r="N768">
        <v>3</v>
      </c>
      <c r="O768">
        <v>3</v>
      </c>
      <c r="P768">
        <v>2579.19</v>
      </c>
      <c r="Q768">
        <v>1852.88</v>
      </c>
    </row>
    <row r="769" spans="7:17" x14ac:dyDescent="0.25">
      <c r="G769" t="str">
        <f t="shared" si="11"/>
        <v/>
      </c>
      <c r="H769" t="s">
        <v>46</v>
      </c>
      <c r="I769" t="s">
        <v>10</v>
      </c>
      <c r="J769" t="s">
        <v>4</v>
      </c>
      <c r="K769" t="s">
        <v>32</v>
      </c>
      <c r="L769" t="s">
        <v>43</v>
      </c>
      <c r="M769" t="s">
        <v>20</v>
      </c>
      <c r="N769">
        <v>21</v>
      </c>
      <c r="O769">
        <v>5</v>
      </c>
      <c r="P769">
        <v>14317.2</v>
      </c>
      <c r="Q769">
        <v>0</v>
      </c>
    </row>
    <row r="770" spans="7:17" x14ac:dyDescent="0.25">
      <c r="G770" t="str">
        <f t="shared" ref="G770:G833" si="12">IF(G$1="Overall","Overall",IF(G$1=L770,L770,""))</f>
        <v/>
      </c>
      <c r="H770" t="s">
        <v>46</v>
      </c>
      <c r="I770" t="s">
        <v>10</v>
      </c>
      <c r="J770" t="s">
        <v>4</v>
      </c>
      <c r="K770" t="s">
        <v>32</v>
      </c>
      <c r="L770" t="s">
        <v>44</v>
      </c>
      <c r="M770" t="s">
        <v>20</v>
      </c>
      <c r="N770">
        <v>6</v>
      </c>
      <c r="O770">
        <v>2</v>
      </c>
      <c r="P770">
        <v>5715.6500000000005</v>
      </c>
      <c r="Q770">
        <v>0</v>
      </c>
    </row>
    <row r="771" spans="7:17" x14ac:dyDescent="0.25">
      <c r="G771" t="str">
        <f t="shared" si="12"/>
        <v/>
      </c>
      <c r="H771" t="s">
        <v>46</v>
      </c>
      <c r="I771" t="s">
        <v>10</v>
      </c>
      <c r="J771" t="s">
        <v>4</v>
      </c>
      <c r="K771" t="s">
        <v>32</v>
      </c>
      <c r="L771" t="s">
        <v>39</v>
      </c>
      <c r="M771" t="s">
        <v>20</v>
      </c>
      <c r="N771">
        <v>3</v>
      </c>
      <c r="O771">
        <v>3</v>
      </c>
      <c r="P771">
        <v>3595.53</v>
      </c>
      <c r="Q771">
        <v>0</v>
      </c>
    </row>
    <row r="772" spans="7:17" x14ac:dyDescent="0.25">
      <c r="G772" t="str">
        <f t="shared" si="12"/>
        <v/>
      </c>
      <c r="H772" t="s">
        <v>46</v>
      </c>
      <c r="I772" t="s">
        <v>10</v>
      </c>
      <c r="J772" t="s">
        <v>4</v>
      </c>
      <c r="K772" t="s">
        <v>32</v>
      </c>
      <c r="L772" t="s">
        <v>40</v>
      </c>
      <c r="M772" t="s">
        <v>20</v>
      </c>
      <c r="N772">
        <v>1</v>
      </c>
      <c r="O772">
        <v>1</v>
      </c>
      <c r="P772">
        <v>754.16</v>
      </c>
      <c r="Q772">
        <v>0</v>
      </c>
    </row>
    <row r="773" spans="7:17" x14ac:dyDescent="0.25">
      <c r="G773" t="str">
        <f t="shared" si="12"/>
        <v/>
      </c>
      <c r="H773" t="s">
        <v>46</v>
      </c>
      <c r="I773" t="s">
        <v>10</v>
      </c>
      <c r="J773" t="s">
        <v>4</v>
      </c>
      <c r="K773" t="s">
        <v>32</v>
      </c>
      <c r="L773" t="s">
        <v>45</v>
      </c>
      <c r="M773" t="s">
        <v>20</v>
      </c>
      <c r="N773">
        <v>13</v>
      </c>
      <c r="O773">
        <v>4</v>
      </c>
      <c r="P773">
        <v>13400.38</v>
      </c>
      <c r="Q773">
        <v>0</v>
      </c>
    </row>
    <row r="774" spans="7:17" x14ac:dyDescent="0.25">
      <c r="G774" t="str">
        <f t="shared" si="12"/>
        <v/>
      </c>
      <c r="H774" t="s">
        <v>46</v>
      </c>
      <c r="I774" t="s">
        <v>10</v>
      </c>
      <c r="J774" t="s">
        <v>4</v>
      </c>
      <c r="K774" t="s">
        <v>33</v>
      </c>
      <c r="L774" t="s">
        <v>42</v>
      </c>
      <c r="M774" t="s">
        <v>19</v>
      </c>
      <c r="N774">
        <v>156</v>
      </c>
      <c r="O774">
        <v>58</v>
      </c>
      <c r="P774">
        <v>95152.12999999999</v>
      </c>
      <c r="Q774">
        <v>94126.180000000008</v>
      </c>
    </row>
    <row r="775" spans="7:17" x14ac:dyDescent="0.25">
      <c r="G775" t="str">
        <f t="shared" si="12"/>
        <v/>
      </c>
      <c r="H775" t="s">
        <v>46</v>
      </c>
      <c r="I775" t="s">
        <v>10</v>
      </c>
      <c r="J775" t="s">
        <v>4</v>
      </c>
      <c r="K775" t="s">
        <v>33</v>
      </c>
      <c r="L775" t="s">
        <v>42</v>
      </c>
      <c r="M775" t="s">
        <v>20</v>
      </c>
      <c r="N775">
        <v>100</v>
      </c>
      <c r="O775">
        <v>24</v>
      </c>
      <c r="P775">
        <v>22440.620000000006</v>
      </c>
      <c r="Q775">
        <v>0</v>
      </c>
    </row>
    <row r="776" spans="7:17" x14ac:dyDescent="0.25">
      <c r="G776" t="str">
        <f t="shared" si="12"/>
        <v/>
      </c>
      <c r="H776" t="s">
        <v>46</v>
      </c>
      <c r="I776" t="s">
        <v>10</v>
      </c>
      <c r="J776" t="s">
        <v>4</v>
      </c>
      <c r="K776" t="s">
        <v>33</v>
      </c>
      <c r="L776" t="s">
        <v>43</v>
      </c>
      <c r="M776" t="s">
        <v>19</v>
      </c>
      <c r="N776">
        <v>13</v>
      </c>
      <c r="O776">
        <v>8</v>
      </c>
      <c r="P776">
        <v>8467.2799999999988</v>
      </c>
      <c r="Q776">
        <v>8421.44</v>
      </c>
    </row>
    <row r="777" spans="7:17" x14ac:dyDescent="0.25">
      <c r="G777" t="str">
        <f t="shared" si="12"/>
        <v/>
      </c>
      <c r="H777" t="s">
        <v>46</v>
      </c>
      <c r="I777" t="s">
        <v>10</v>
      </c>
      <c r="J777" t="s">
        <v>4</v>
      </c>
      <c r="K777" t="s">
        <v>33</v>
      </c>
      <c r="L777" t="s">
        <v>43</v>
      </c>
      <c r="M777" t="s">
        <v>20</v>
      </c>
      <c r="N777">
        <v>29</v>
      </c>
      <c r="O777">
        <v>19</v>
      </c>
      <c r="P777">
        <v>18659.62</v>
      </c>
      <c r="Q777">
        <v>0</v>
      </c>
    </row>
    <row r="778" spans="7:17" x14ac:dyDescent="0.25">
      <c r="G778" t="str">
        <f t="shared" si="12"/>
        <v/>
      </c>
      <c r="H778" t="s">
        <v>46</v>
      </c>
      <c r="I778" t="s">
        <v>10</v>
      </c>
      <c r="J778" t="s">
        <v>4</v>
      </c>
      <c r="K778" t="s">
        <v>33</v>
      </c>
      <c r="L778" t="s">
        <v>44</v>
      </c>
      <c r="M778" t="s">
        <v>19</v>
      </c>
      <c r="N778">
        <v>4</v>
      </c>
      <c r="O778">
        <v>3</v>
      </c>
      <c r="P778">
        <v>5447.53</v>
      </c>
      <c r="Q778">
        <v>5248.2</v>
      </c>
    </row>
    <row r="779" spans="7:17" x14ac:dyDescent="0.25">
      <c r="G779" t="str">
        <f t="shared" si="12"/>
        <v/>
      </c>
      <c r="H779" t="s">
        <v>46</v>
      </c>
      <c r="I779" t="s">
        <v>10</v>
      </c>
      <c r="J779" t="s">
        <v>4</v>
      </c>
      <c r="K779" t="s">
        <v>33</v>
      </c>
      <c r="L779" t="s">
        <v>44</v>
      </c>
      <c r="M779" t="s">
        <v>20</v>
      </c>
      <c r="N779">
        <v>6</v>
      </c>
      <c r="O779">
        <v>6</v>
      </c>
      <c r="P779">
        <v>8189.12</v>
      </c>
      <c r="Q779">
        <v>0</v>
      </c>
    </row>
    <row r="780" spans="7:17" x14ac:dyDescent="0.25">
      <c r="G780" t="str">
        <f t="shared" si="12"/>
        <v/>
      </c>
      <c r="H780" t="s">
        <v>46</v>
      </c>
      <c r="I780" t="s">
        <v>10</v>
      </c>
      <c r="J780" t="s">
        <v>4</v>
      </c>
      <c r="K780" t="s">
        <v>33</v>
      </c>
      <c r="L780" t="s">
        <v>39</v>
      </c>
      <c r="M780" t="s">
        <v>20</v>
      </c>
      <c r="N780">
        <v>2</v>
      </c>
      <c r="O780">
        <v>2</v>
      </c>
      <c r="P780">
        <v>1197.98</v>
      </c>
      <c r="Q780">
        <v>0</v>
      </c>
    </row>
    <row r="781" spans="7:17" x14ac:dyDescent="0.25">
      <c r="G781" t="str">
        <f t="shared" si="12"/>
        <v/>
      </c>
      <c r="H781" t="s">
        <v>46</v>
      </c>
      <c r="I781" t="s">
        <v>10</v>
      </c>
      <c r="J781" t="s">
        <v>4</v>
      </c>
      <c r="K781" t="s">
        <v>33</v>
      </c>
      <c r="L781" t="s">
        <v>40</v>
      </c>
      <c r="M781" t="s">
        <v>19</v>
      </c>
      <c r="N781">
        <v>1</v>
      </c>
      <c r="O781">
        <v>1</v>
      </c>
      <c r="P781">
        <v>864.83</v>
      </c>
      <c r="Q781">
        <v>864.83</v>
      </c>
    </row>
    <row r="782" spans="7:17" x14ac:dyDescent="0.25">
      <c r="G782" t="str">
        <f t="shared" si="12"/>
        <v/>
      </c>
      <c r="H782" t="s">
        <v>46</v>
      </c>
      <c r="I782" t="s">
        <v>10</v>
      </c>
      <c r="J782" t="s">
        <v>4</v>
      </c>
      <c r="K782" t="s">
        <v>33</v>
      </c>
      <c r="L782" t="s">
        <v>40</v>
      </c>
      <c r="M782" t="s">
        <v>20</v>
      </c>
      <c r="N782">
        <v>4</v>
      </c>
      <c r="O782">
        <v>2</v>
      </c>
      <c r="P782">
        <v>4473.1900000000005</v>
      </c>
      <c r="Q782">
        <v>0</v>
      </c>
    </row>
    <row r="783" spans="7:17" x14ac:dyDescent="0.25">
      <c r="G783" t="str">
        <f t="shared" si="12"/>
        <v/>
      </c>
      <c r="H783" t="s">
        <v>46</v>
      </c>
      <c r="I783" t="s">
        <v>10</v>
      </c>
      <c r="J783" t="s">
        <v>4</v>
      </c>
      <c r="K783" t="s">
        <v>33</v>
      </c>
      <c r="L783" t="s">
        <v>41</v>
      </c>
      <c r="M783" t="s">
        <v>20</v>
      </c>
      <c r="N783">
        <v>8</v>
      </c>
      <c r="O783">
        <v>3</v>
      </c>
      <c r="P783">
        <v>3539.2599999999998</v>
      </c>
      <c r="Q783">
        <v>0</v>
      </c>
    </row>
    <row r="784" spans="7:17" x14ac:dyDescent="0.25">
      <c r="G784" t="str">
        <f t="shared" si="12"/>
        <v/>
      </c>
      <c r="H784" t="s">
        <v>46</v>
      </c>
      <c r="I784" t="s">
        <v>10</v>
      </c>
      <c r="J784" t="s">
        <v>4</v>
      </c>
      <c r="K784" t="s">
        <v>33</v>
      </c>
      <c r="L784" t="s">
        <v>45</v>
      </c>
      <c r="M784" t="s">
        <v>20</v>
      </c>
      <c r="N784">
        <v>110</v>
      </c>
      <c r="O784">
        <v>49</v>
      </c>
      <c r="P784">
        <v>75227.47</v>
      </c>
      <c r="Q784">
        <v>0</v>
      </c>
    </row>
    <row r="785" spans="7:17" x14ac:dyDescent="0.25">
      <c r="G785" t="str">
        <f t="shared" si="12"/>
        <v/>
      </c>
      <c r="H785" t="s">
        <v>46</v>
      </c>
      <c r="I785" t="s">
        <v>10</v>
      </c>
      <c r="J785" t="s">
        <v>4</v>
      </c>
      <c r="K785" t="s">
        <v>34</v>
      </c>
      <c r="L785" t="s">
        <v>42</v>
      </c>
      <c r="M785" t="s">
        <v>19</v>
      </c>
      <c r="N785">
        <v>121</v>
      </c>
      <c r="O785">
        <v>43</v>
      </c>
      <c r="P785">
        <v>56932.640000000014</v>
      </c>
      <c r="Q785">
        <v>56090.710000000014</v>
      </c>
    </row>
    <row r="786" spans="7:17" x14ac:dyDescent="0.25">
      <c r="G786" t="str">
        <f t="shared" si="12"/>
        <v/>
      </c>
      <c r="H786" t="s">
        <v>46</v>
      </c>
      <c r="I786" t="s">
        <v>10</v>
      </c>
      <c r="J786" t="s">
        <v>4</v>
      </c>
      <c r="K786" t="s">
        <v>34</v>
      </c>
      <c r="L786" t="s">
        <v>42</v>
      </c>
      <c r="M786" t="s">
        <v>20</v>
      </c>
      <c r="N786">
        <v>74</v>
      </c>
      <c r="O786">
        <v>26</v>
      </c>
      <c r="P786">
        <v>17771.859999999997</v>
      </c>
      <c r="Q786">
        <v>0</v>
      </c>
    </row>
    <row r="787" spans="7:17" x14ac:dyDescent="0.25">
      <c r="G787" t="str">
        <f t="shared" si="12"/>
        <v/>
      </c>
      <c r="H787" t="s">
        <v>46</v>
      </c>
      <c r="I787" t="s">
        <v>10</v>
      </c>
      <c r="J787" t="s">
        <v>4</v>
      </c>
      <c r="K787" t="s">
        <v>34</v>
      </c>
      <c r="L787" t="s">
        <v>43</v>
      </c>
      <c r="M787" t="s">
        <v>19</v>
      </c>
      <c r="N787">
        <v>17</v>
      </c>
      <c r="O787">
        <v>9</v>
      </c>
      <c r="P787">
        <v>11664.749999999996</v>
      </c>
      <c r="Q787">
        <v>10131.68</v>
      </c>
    </row>
    <row r="788" spans="7:17" x14ac:dyDescent="0.25">
      <c r="G788" t="str">
        <f t="shared" si="12"/>
        <v/>
      </c>
      <c r="H788" t="s">
        <v>46</v>
      </c>
      <c r="I788" t="s">
        <v>10</v>
      </c>
      <c r="J788" t="s">
        <v>4</v>
      </c>
      <c r="K788" t="s">
        <v>34</v>
      </c>
      <c r="L788" t="s">
        <v>43</v>
      </c>
      <c r="M788" t="s">
        <v>20</v>
      </c>
      <c r="N788">
        <v>28</v>
      </c>
      <c r="O788">
        <v>7</v>
      </c>
      <c r="P788">
        <v>15613.699999999997</v>
      </c>
      <c r="Q788">
        <v>0</v>
      </c>
    </row>
    <row r="789" spans="7:17" x14ac:dyDescent="0.25">
      <c r="G789" t="str">
        <f t="shared" si="12"/>
        <v/>
      </c>
      <c r="H789" t="s">
        <v>46</v>
      </c>
      <c r="I789" t="s">
        <v>10</v>
      </c>
      <c r="J789" t="s">
        <v>4</v>
      </c>
      <c r="K789" t="s">
        <v>34</v>
      </c>
      <c r="L789" t="s">
        <v>44</v>
      </c>
      <c r="M789" t="s">
        <v>19</v>
      </c>
      <c r="N789">
        <v>9</v>
      </c>
      <c r="O789">
        <v>8</v>
      </c>
      <c r="P789">
        <v>11554.910000000002</v>
      </c>
      <c r="Q789">
        <v>8225.0500000000011</v>
      </c>
    </row>
    <row r="790" spans="7:17" x14ac:dyDescent="0.25">
      <c r="G790" t="str">
        <f t="shared" si="12"/>
        <v/>
      </c>
      <c r="H790" t="s">
        <v>46</v>
      </c>
      <c r="I790" t="s">
        <v>10</v>
      </c>
      <c r="J790" t="s">
        <v>4</v>
      </c>
      <c r="K790" t="s">
        <v>34</v>
      </c>
      <c r="L790" t="s">
        <v>44</v>
      </c>
      <c r="M790" t="s">
        <v>20</v>
      </c>
      <c r="N790">
        <v>16</v>
      </c>
      <c r="O790">
        <v>8</v>
      </c>
      <c r="P790">
        <v>10447.309999999998</v>
      </c>
      <c r="Q790">
        <v>0</v>
      </c>
    </row>
    <row r="791" spans="7:17" x14ac:dyDescent="0.25">
      <c r="G791" t="str">
        <f t="shared" si="12"/>
        <v/>
      </c>
      <c r="H791" t="s">
        <v>46</v>
      </c>
      <c r="I791" t="s">
        <v>10</v>
      </c>
      <c r="J791" t="s">
        <v>4</v>
      </c>
      <c r="K791" t="s">
        <v>34</v>
      </c>
      <c r="L791" t="s">
        <v>39</v>
      </c>
      <c r="M791" t="s">
        <v>19</v>
      </c>
      <c r="N791">
        <v>3</v>
      </c>
      <c r="O791">
        <v>1</v>
      </c>
      <c r="P791">
        <v>4226.4800000000005</v>
      </c>
      <c r="Q791">
        <v>2285.15</v>
      </c>
    </row>
    <row r="792" spans="7:17" x14ac:dyDescent="0.25">
      <c r="G792" t="str">
        <f t="shared" si="12"/>
        <v/>
      </c>
      <c r="H792" t="s">
        <v>46</v>
      </c>
      <c r="I792" t="s">
        <v>10</v>
      </c>
      <c r="J792" t="s">
        <v>4</v>
      </c>
      <c r="K792" t="s">
        <v>34</v>
      </c>
      <c r="L792" t="s">
        <v>39</v>
      </c>
      <c r="M792" t="s">
        <v>20</v>
      </c>
      <c r="N792">
        <v>9</v>
      </c>
      <c r="O792">
        <v>7</v>
      </c>
      <c r="P792">
        <v>6620.2399999999989</v>
      </c>
      <c r="Q792">
        <v>0</v>
      </c>
    </row>
    <row r="793" spans="7:17" x14ac:dyDescent="0.25">
      <c r="G793" t="str">
        <f t="shared" si="12"/>
        <v/>
      </c>
      <c r="H793" t="s">
        <v>46</v>
      </c>
      <c r="I793" t="s">
        <v>10</v>
      </c>
      <c r="J793" t="s">
        <v>4</v>
      </c>
      <c r="K793" t="s">
        <v>34</v>
      </c>
      <c r="L793" t="s">
        <v>40</v>
      </c>
      <c r="M793" t="s">
        <v>19</v>
      </c>
      <c r="N793">
        <v>2</v>
      </c>
      <c r="O793">
        <v>2</v>
      </c>
      <c r="P793">
        <v>1681.3200000000002</v>
      </c>
      <c r="Q793">
        <v>1400.5800000000002</v>
      </c>
    </row>
    <row r="794" spans="7:17" x14ac:dyDescent="0.25">
      <c r="G794" t="str">
        <f t="shared" si="12"/>
        <v/>
      </c>
      <c r="H794" t="s">
        <v>46</v>
      </c>
      <c r="I794" t="s">
        <v>10</v>
      </c>
      <c r="J794" t="s">
        <v>4</v>
      </c>
      <c r="K794" t="s">
        <v>34</v>
      </c>
      <c r="L794" t="s">
        <v>40</v>
      </c>
      <c r="M794" t="s">
        <v>20</v>
      </c>
      <c r="N794">
        <v>2</v>
      </c>
      <c r="O794">
        <v>0</v>
      </c>
      <c r="P794">
        <v>2002.79</v>
      </c>
      <c r="Q794">
        <v>0</v>
      </c>
    </row>
    <row r="795" spans="7:17" x14ac:dyDescent="0.25">
      <c r="G795" t="str">
        <f t="shared" si="12"/>
        <v/>
      </c>
      <c r="H795" t="s">
        <v>46</v>
      </c>
      <c r="I795" t="s">
        <v>10</v>
      </c>
      <c r="J795" t="s">
        <v>4</v>
      </c>
      <c r="K795" t="s">
        <v>34</v>
      </c>
      <c r="L795" t="s">
        <v>41</v>
      </c>
      <c r="M795" t="s">
        <v>19</v>
      </c>
      <c r="N795">
        <v>3</v>
      </c>
      <c r="O795">
        <v>0</v>
      </c>
      <c r="P795">
        <v>1921.07</v>
      </c>
      <c r="Q795">
        <v>1723.46</v>
      </c>
    </row>
    <row r="796" spans="7:17" x14ac:dyDescent="0.25">
      <c r="G796" t="str">
        <f t="shared" si="12"/>
        <v/>
      </c>
      <c r="H796" t="s">
        <v>46</v>
      </c>
      <c r="I796" t="s">
        <v>10</v>
      </c>
      <c r="J796" t="s">
        <v>4</v>
      </c>
      <c r="K796" t="s">
        <v>34</v>
      </c>
      <c r="L796" t="s">
        <v>41</v>
      </c>
      <c r="M796" t="s">
        <v>20</v>
      </c>
      <c r="N796">
        <v>8</v>
      </c>
      <c r="O796">
        <v>3</v>
      </c>
      <c r="P796">
        <v>4776.9600000000009</v>
      </c>
      <c r="Q796">
        <v>0</v>
      </c>
    </row>
    <row r="797" spans="7:17" x14ac:dyDescent="0.25">
      <c r="G797" t="str">
        <f t="shared" si="12"/>
        <v/>
      </c>
      <c r="H797" t="s">
        <v>46</v>
      </c>
      <c r="I797" t="s">
        <v>10</v>
      </c>
      <c r="J797" t="s">
        <v>4</v>
      </c>
      <c r="K797" t="s">
        <v>34</v>
      </c>
      <c r="L797" t="s">
        <v>45</v>
      </c>
      <c r="M797" t="s">
        <v>19</v>
      </c>
      <c r="N797">
        <v>3</v>
      </c>
      <c r="O797">
        <v>1</v>
      </c>
      <c r="P797">
        <v>5231.45</v>
      </c>
      <c r="Q797">
        <v>5231.45</v>
      </c>
    </row>
    <row r="798" spans="7:17" x14ac:dyDescent="0.25">
      <c r="G798" t="str">
        <f t="shared" si="12"/>
        <v/>
      </c>
      <c r="H798" t="s">
        <v>46</v>
      </c>
      <c r="I798" t="s">
        <v>10</v>
      </c>
      <c r="J798" t="s">
        <v>4</v>
      </c>
      <c r="K798" t="s">
        <v>34</v>
      </c>
      <c r="L798" t="s">
        <v>45</v>
      </c>
      <c r="M798" t="s">
        <v>20</v>
      </c>
      <c r="N798">
        <v>54</v>
      </c>
      <c r="O798">
        <v>30</v>
      </c>
      <c r="P798">
        <v>31824.680000000008</v>
      </c>
      <c r="Q798">
        <v>0</v>
      </c>
    </row>
    <row r="799" spans="7:17" x14ac:dyDescent="0.25">
      <c r="G799" t="str">
        <f t="shared" si="12"/>
        <v/>
      </c>
      <c r="H799" t="s">
        <v>46</v>
      </c>
      <c r="I799" t="s">
        <v>10</v>
      </c>
      <c r="J799" t="s">
        <v>4</v>
      </c>
      <c r="K799" t="s">
        <v>35</v>
      </c>
      <c r="L799" t="s">
        <v>42</v>
      </c>
      <c r="M799" t="s">
        <v>19</v>
      </c>
      <c r="N799">
        <v>326</v>
      </c>
      <c r="O799">
        <v>135</v>
      </c>
      <c r="P799">
        <v>146685.54999999999</v>
      </c>
      <c r="Q799">
        <v>144395.39000000001</v>
      </c>
    </row>
    <row r="800" spans="7:17" x14ac:dyDescent="0.25">
      <c r="G800" t="str">
        <f t="shared" si="12"/>
        <v/>
      </c>
      <c r="H800" t="s">
        <v>46</v>
      </c>
      <c r="I800" t="s">
        <v>10</v>
      </c>
      <c r="J800" t="s">
        <v>4</v>
      </c>
      <c r="K800" t="s">
        <v>35</v>
      </c>
      <c r="L800" t="s">
        <v>42</v>
      </c>
      <c r="M800" t="s">
        <v>20</v>
      </c>
      <c r="N800">
        <v>145</v>
      </c>
      <c r="O800">
        <v>56</v>
      </c>
      <c r="P800">
        <v>32688.710000000017</v>
      </c>
      <c r="Q800">
        <v>0</v>
      </c>
    </row>
    <row r="801" spans="7:17" x14ac:dyDescent="0.25">
      <c r="G801" t="str">
        <f t="shared" si="12"/>
        <v/>
      </c>
      <c r="H801" t="s">
        <v>46</v>
      </c>
      <c r="I801" t="s">
        <v>10</v>
      </c>
      <c r="J801" t="s">
        <v>4</v>
      </c>
      <c r="K801" t="s">
        <v>35</v>
      </c>
      <c r="L801" t="s">
        <v>43</v>
      </c>
      <c r="M801" t="s">
        <v>19</v>
      </c>
      <c r="N801">
        <v>22</v>
      </c>
      <c r="O801">
        <v>20</v>
      </c>
      <c r="P801">
        <v>17190.740000000002</v>
      </c>
      <c r="Q801">
        <v>15982.240000000002</v>
      </c>
    </row>
    <row r="802" spans="7:17" x14ac:dyDescent="0.25">
      <c r="G802" t="str">
        <f t="shared" si="12"/>
        <v/>
      </c>
      <c r="H802" t="s">
        <v>46</v>
      </c>
      <c r="I802" t="s">
        <v>10</v>
      </c>
      <c r="J802" t="s">
        <v>4</v>
      </c>
      <c r="K802" t="s">
        <v>35</v>
      </c>
      <c r="L802" t="s">
        <v>43</v>
      </c>
      <c r="M802" t="s">
        <v>20</v>
      </c>
      <c r="N802">
        <v>60</v>
      </c>
      <c r="O802">
        <v>33</v>
      </c>
      <c r="P802">
        <v>51415.42</v>
      </c>
      <c r="Q802">
        <v>0</v>
      </c>
    </row>
    <row r="803" spans="7:17" x14ac:dyDescent="0.25">
      <c r="G803" t="str">
        <f t="shared" si="12"/>
        <v/>
      </c>
      <c r="H803" t="s">
        <v>46</v>
      </c>
      <c r="I803" t="s">
        <v>10</v>
      </c>
      <c r="J803" t="s">
        <v>4</v>
      </c>
      <c r="K803" t="s">
        <v>35</v>
      </c>
      <c r="L803" t="s">
        <v>44</v>
      </c>
      <c r="M803" t="s">
        <v>19</v>
      </c>
      <c r="N803">
        <v>10</v>
      </c>
      <c r="O803">
        <v>9</v>
      </c>
      <c r="P803">
        <v>13059.21</v>
      </c>
      <c r="Q803">
        <v>8411.16</v>
      </c>
    </row>
    <row r="804" spans="7:17" x14ac:dyDescent="0.25">
      <c r="G804" t="str">
        <f t="shared" si="12"/>
        <v/>
      </c>
      <c r="H804" t="s">
        <v>46</v>
      </c>
      <c r="I804" t="s">
        <v>10</v>
      </c>
      <c r="J804" t="s">
        <v>4</v>
      </c>
      <c r="K804" t="s">
        <v>35</v>
      </c>
      <c r="L804" t="s">
        <v>44</v>
      </c>
      <c r="M804" t="s">
        <v>20</v>
      </c>
      <c r="N804">
        <v>48</v>
      </c>
      <c r="O804">
        <v>38</v>
      </c>
      <c r="P804">
        <v>45369.200000000004</v>
      </c>
      <c r="Q804">
        <v>0</v>
      </c>
    </row>
    <row r="805" spans="7:17" x14ac:dyDescent="0.25">
      <c r="G805" t="str">
        <f t="shared" si="12"/>
        <v/>
      </c>
      <c r="H805" t="s">
        <v>46</v>
      </c>
      <c r="I805" t="s">
        <v>10</v>
      </c>
      <c r="J805" t="s">
        <v>4</v>
      </c>
      <c r="K805" t="s">
        <v>36</v>
      </c>
      <c r="L805" t="s">
        <v>42</v>
      </c>
      <c r="M805" t="s">
        <v>19</v>
      </c>
      <c r="N805">
        <v>235</v>
      </c>
      <c r="O805">
        <v>111</v>
      </c>
      <c r="P805">
        <v>109237.99000000002</v>
      </c>
      <c r="Q805">
        <v>106311.37999999999</v>
      </c>
    </row>
    <row r="806" spans="7:17" x14ac:dyDescent="0.25">
      <c r="G806" t="str">
        <f t="shared" si="12"/>
        <v/>
      </c>
      <c r="H806" t="s">
        <v>46</v>
      </c>
      <c r="I806" t="s">
        <v>10</v>
      </c>
      <c r="J806" t="s">
        <v>4</v>
      </c>
      <c r="K806" t="s">
        <v>36</v>
      </c>
      <c r="L806" t="s">
        <v>42</v>
      </c>
      <c r="M806" t="s">
        <v>20</v>
      </c>
      <c r="N806">
        <v>149</v>
      </c>
      <c r="O806">
        <v>49</v>
      </c>
      <c r="P806">
        <v>39932.659999999974</v>
      </c>
      <c r="Q806">
        <v>0</v>
      </c>
    </row>
    <row r="807" spans="7:17" x14ac:dyDescent="0.25">
      <c r="G807" t="str">
        <f t="shared" si="12"/>
        <v/>
      </c>
      <c r="H807" t="s">
        <v>46</v>
      </c>
      <c r="I807" t="s">
        <v>10</v>
      </c>
      <c r="J807" t="s">
        <v>4</v>
      </c>
      <c r="K807" t="s">
        <v>36</v>
      </c>
      <c r="L807" t="s">
        <v>43</v>
      </c>
      <c r="M807" t="s">
        <v>19</v>
      </c>
      <c r="N807">
        <v>29</v>
      </c>
      <c r="O807">
        <v>20</v>
      </c>
      <c r="P807">
        <v>22884.730000000003</v>
      </c>
      <c r="Q807">
        <v>20300.050000000003</v>
      </c>
    </row>
    <row r="808" spans="7:17" x14ac:dyDescent="0.25">
      <c r="G808" t="str">
        <f t="shared" si="12"/>
        <v/>
      </c>
      <c r="H808" t="s">
        <v>46</v>
      </c>
      <c r="I808" t="s">
        <v>10</v>
      </c>
      <c r="J808" t="s">
        <v>4</v>
      </c>
      <c r="K808" t="s">
        <v>36</v>
      </c>
      <c r="L808" t="s">
        <v>43</v>
      </c>
      <c r="M808" t="s">
        <v>20</v>
      </c>
      <c r="N808">
        <v>39</v>
      </c>
      <c r="O808">
        <v>19</v>
      </c>
      <c r="P808">
        <v>24772.030000000002</v>
      </c>
      <c r="Q808">
        <v>0</v>
      </c>
    </row>
    <row r="809" spans="7:17" x14ac:dyDescent="0.25">
      <c r="G809" t="str">
        <f t="shared" si="12"/>
        <v/>
      </c>
      <c r="H809" t="s">
        <v>46</v>
      </c>
      <c r="I809" t="s">
        <v>10</v>
      </c>
      <c r="J809" t="s">
        <v>4</v>
      </c>
      <c r="K809" t="s">
        <v>36</v>
      </c>
      <c r="L809" t="s">
        <v>44</v>
      </c>
      <c r="M809" t="s">
        <v>19</v>
      </c>
      <c r="N809">
        <v>11</v>
      </c>
      <c r="O809">
        <v>10</v>
      </c>
      <c r="P809">
        <v>11554.079999999998</v>
      </c>
      <c r="Q809">
        <v>8670.3799999999992</v>
      </c>
    </row>
    <row r="810" spans="7:17" x14ac:dyDescent="0.25">
      <c r="G810" t="str">
        <f t="shared" si="12"/>
        <v/>
      </c>
      <c r="H810" t="s">
        <v>46</v>
      </c>
      <c r="I810" t="s">
        <v>10</v>
      </c>
      <c r="J810" t="s">
        <v>4</v>
      </c>
      <c r="K810" t="s">
        <v>36</v>
      </c>
      <c r="L810" t="s">
        <v>44</v>
      </c>
      <c r="M810" t="s">
        <v>20</v>
      </c>
      <c r="N810">
        <v>47</v>
      </c>
      <c r="O810">
        <v>31</v>
      </c>
      <c r="P810">
        <v>37610.729999999996</v>
      </c>
      <c r="Q810">
        <v>0</v>
      </c>
    </row>
    <row r="811" spans="7:17" x14ac:dyDescent="0.25">
      <c r="G811" t="str">
        <f t="shared" si="12"/>
        <v/>
      </c>
      <c r="H811" t="s">
        <v>46</v>
      </c>
      <c r="I811" t="s">
        <v>10</v>
      </c>
      <c r="J811" t="s">
        <v>4</v>
      </c>
      <c r="K811" t="s">
        <v>36</v>
      </c>
      <c r="L811" t="s">
        <v>39</v>
      </c>
      <c r="M811" t="s">
        <v>19</v>
      </c>
      <c r="N811">
        <v>2</v>
      </c>
      <c r="O811">
        <v>2</v>
      </c>
      <c r="P811">
        <v>1969.23</v>
      </c>
      <c r="Q811">
        <v>1969.23</v>
      </c>
    </row>
    <row r="812" spans="7:17" x14ac:dyDescent="0.25">
      <c r="G812" t="str">
        <f t="shared" si="12"/>
        <v/>
      </c>
      <c r="H812" t="s">
        <v>46</v>
      </c>
      <c r="I812" t="s">
        <v>10</v>
      </c>
      <c r="J812" t="s">
        <v>4</v>
      </c>
      <c r="K812" t="s">
        <v>36</v>
      </c>
      <c r="L812" t="s">
        <v>39</v>
      </c>
      <c r="M812" t="s">
        <v>20</v>
      </c>
      <c r="N812">
        <v>9</v>
      </c>
      <c r="O812">
        <v>6</v>
      </c>
      <c r="P812">
        <v>4419.33</v>
      </c>
      <c r="Q812">
        <v>0</v>
      </c>
    </row>
    <row r="813" spans="7:17" x14ac:dyDescent="0.25">
      <c r="G813" t="str">
        <f t="shared" si="12"/>
        <v/>
      </c>
      <c r="H813" t="s">
        <v>46</v>
      </c>
      <c r="I813" t="s">
        <v>10</v>
      </c>
      <c r="J813" t="s">
        <v>4</v>
      </c>
      <c r="K813" t="s">
        <v>36</v>
      </c>
      <c r="L813" t="s">
        <v>40</v>
      </c>
      <c r="M813" t="s">
        <v>20</v>
      </c>
      <c r="N813">
        <v>7</v>
      </c>
      <c r="O813">
        <v>3</v>
      </c>
      <c r="P813">
        <v>5632.1399999999994</v>
      </c>
      <c r="Q813">
        <v>0</v>
      </c>
    </row>
    <row r="814" spans="7:17" x14ac:dyDescent="0.25">
      <c r="G814" t="str">
        <f t="shared" si="12"/>
        <v/>
      </c>
      <c r="H814" t="s">
        <v>46</v>
      </c>
      <c r="I814" t="s">
        <v>10</v>
      </c>
      <c r="J814" t="s">
        <v>4</v>
      </c>
      <c r="K814" t="s">
        <v>36</v>
      </c>
      <c r="L814" t="s">
        <v>41</v>
      </c>
      <c r="M814" t="s">
        <v>20</v>
      </c>
      <c r="N814">
        <v>8</v>
      </c>
      <c r="O814">
        <v>4</v>
      </c>
      <c r="P814">
        <v>4506.0099999999993</v>
      </c>
      <c r="Q814">
        <v>0</v>
      </c>
    </row>
    <row r="815" spans="7:17" x14ac:dyDescent="0.25">
      <c r="G815" t="str">
        <f t="shared" si="12"/>
        <v/>
      </c>
      <c r="H815" t="s">
        <v>46</v>
      </c>
      <c r="I815" t="s">
        <v>10</v>
      </c>
      <c r="J815" t="s">
        <v>4</v>
      </c>
      <c r="K815" t="s">
        <v>36</v>
      </c>
      <c r="L815" t="s">
        <v>45</v>
      </c>
      <c r="M815" t="s">
        <v>19</v>
      </c>
      <c r="N815">
        <v>1</v>
      </c>
      <c r="O815">
        <v>1</v>
      </c>
      <c r="P815">
        <v>944.85</v>
      </c>
      <c r="Q815">
        <v>18.25</v>
      </c>
    </row>
    <row r="816" spans="7:17" x14ac:dyDescent="0.25">
      <c r="G816" t="str">
        <f t="shared" si="12"/>
        <v/>
      </c>
      <c r="H816" t="s">
        <v>46</v>
      </c>
      <c r="I816" t="s">
        <v>10</v>
      </c>
      <c r="J816" t="s">
        <v>4</v>
      </c>
      <c r="K816" t="s">
        <v>36</v>
      </c>
      <c r="L816" t="s">
        <v>45</v>
      </c>
      <c r="M816" t="s">
        <v>20</v>
      </c>
      <c r="N816">
        <v>68</v>
      </c>
      <c r="O816">
        <v>36</v>
      </c>
      <c r="P816">
        <v>44187.849999999984</v>
      </c>
      <c r="Q816">
        <v>0</v>
      </c>
    </row>
    <row r="817" spans="7:17" x14ac:dyDescent="0.25">
      <c r="G817" t="str">
        <f t="shared" si="12"/>
        <v/>
      </c>
      <c r="H817" t="s">
        <v>46</v>
      </c>
      <c r="I817" t="s">
        <v>10</v>
      </c>
      <c r="J817" t="s">
        <v>4</v>
      </c>
      <c r="K817" t="s">
        <v>37</v>
      </c>
      <c r="L817" t="s">
        <v>42</v>
      </c>
      <c r="M817" t="s">
        <v>19</v>
      </c>
      <c r="N817">
        <v>271</v>
      </c>
      <c r="O817">
        <v>91</v>
      </c>
      <c r="P817">
        <v>114821.82999999994</v>
      </c>
      <c r="Q817">
        <v>108067.92999999998</v>
      </c>
    </row>
    <row r="818" spans="7:17" x14ac:dyDescent="0.25">
      <c r="G818" t="str">
        <f t="shared" si="12"/>
        <v/>
      </c>
      <c r="H818" t="s">
        <v>46</v>
      </c>
      <c r="I818" t="s">
        <v>10</v>
      </c>
      <c r="J818" t="s">
        <v>4</v>
      </c>
      <c r="K818" t="s">
        <v>37</v>
      </c>
      <c r="L818" t="s">
        <v>42</v>
      </c>
      <c r="M818" t="s">
        <v>20</v>
      </c>
      <c r="N818">
        <v>148</v>
      </c>
      <c r="O818">
        <v>50</v>
      </c>
      <c r="P818">
        <v>35449.140000000014</v>
      </c>
      <c r="Q818">
        <v>0</v>
      </c>
    </row>
    <row r="819" spans="7:17" x14ac:dyDescent="0.25">
      <c r="G819" t="str">
        <f t="shared" si="12"/>
        <v/>
      </c>
      <c r="H819" t="s">
        <v>46</v>
      </c>
      <c r="I819" t="s">
        <v>10</v>
      </c>
      <c r="J819" t="s">
        <v>4</v>
      </c>
      <c r="K819" t="s">
        <v>37</v>
      </c>
      <c r="L819" t="s">
        <v>43</v>
      </c>
      <c r="M819" t="s">
        <v>19</v>
      </c>
      <c r="N819">
        <v>20</v>
      </c>
      <c r="O819">
        <v>14</v>
      </c>
      <c r="P819">
        <v>13447.19</v>
      </c>
      <c r="Q819">
        <v>12389.27</v>
      </c>
    </row>
    <row r="820" spans="7:17" x14ac:dyDescent="0.25">
      <c r="G820" t="str">
        <f t="shared" si="12"/>
        <v/>
      </c>
      <c r="H820" t="s">
        <v>46</v>
      </c>
      <c r="I820" t="s">
        <v>10</v>
      </c>
      <c r="J820" t="s">
        <v>4</v>
      </c>
      <c r="K820" t="s">
        <v>37</v>
      </c>
      <c r="L820" t="s">
        <v>43</v>
      </c>
      <c r="M820" t="s">
        <v>20</v>
      </c>
      <c r="N820">
        <v>34</v>
      </c>
      <c r="O820">
        <v>19</v>
      </c>
      <c r="P820">
        <v>18345.45</v>
      </c>
      <c r="Q820">
        <v>0</v>
      </c>
    </row>
    <row r="821" spans="7:17" x14ac:dyDescent="0.25">
      <c r="G821" t="str">
        <f t="shared" si="12"/>
        <v/>
      </c>
      <c r="H821" t="s">
        <v>46</v>
      </c>
      <c r="I821" t="s">
        <v>10</v>
      </c>
      <c r="J821" t="s">
        <v>4</v>
      </c>
      <c r="K821" t="s">
        <v>37</v>
      </c>
      <c r="L821" t="s">
        <v>44</v>
      </c>
      <c r="M821" t="s">
        <v>19</v>
      </c>
      <c r="N821">
        <v>9</v>
      </c>
      <c r="O821">
        <v>7</v>
      </c>
      <c r="P821">
        <v>9170.9699999999993</v>
      </c>
      <c r="Q821">
        <v>7866.0500000000011</v>
      </c>
    </row>
    <row r="822" spans="7:17" x14ac:dyDescent="0.25">
      <c r="G822" t="str">
        <f t="shared" si="12"/>
        <v/>
      </c>
      <c r="H822" t="s">
        <v>46</v>
      </c>
      <c r="I822" t="s">
        <v>10</v>
      </c>
      <c r="J822" t="s">
        <v>4</v>
      </c>
      <c r="K822" t="s">
        <v>37</v>
      </c>
      <c r="L822" t="s">
        <v>44</v>
      </c>
      <c r="M822" t="s">
        <v>20</v>
      </c>
      <c r="N822">
        <v>30</v>
      </c>
      <c r="O822">
        <v>17</v>
      </c>
      <c r="P822">
        <v>20080.829999999998</v>
      </c>
      <c r="Q822">
        <v>0</v>
      </c>
    </row>
    <row r="823" spans="7:17" x14ac:dyDescent="0.25">
      <c r="G823" t="str">
        <f t="shared" si="12"/>
        <v/>
      </c>
      <c r="H823" t="s">
        <v>46</v>
      </c>
      <c r="I823" t="s">
        <v>10</v>
      </c>
      <c r="J823" t="s">
        <v>4</v>
      </c>
      <c r="K823" t="s">
        <v>37</v>
      </c>
      <c r="L823" t="s">
        <v>39</v>
      </c>
      <c r="M823" t="s">
        <v>19</v>
      </c>
      <c r="N823">
        <v>1</v>
      </c>
      <c r="O823">
        <v>1</v>
      </c>
      <c r="P823">
        <v>742.02</v>
      </c>
      <c r="Q823">
        <v>700</v>
      </c>
    </row>
    <row r="824" spans="7:17" x14ac:dyDescent="0.25">
      <c r="G824" t="str">
        <f t="shared" si="12"/>
        <v/>
      </c>
      <c r="H824" t="s">
        <v>46</v>
      </c>
      <c r="I824" t="s">
        <v>10</v>
      </c>
      <c r="J824" t="s">
        <v>4</v>
      </c>
      <c r="K824" t="s">
        <v>37</v>
      </c>
      <c r="L824" t="s">
        <v>39</v>
      </c>
      <c r="M824" t="s">
        <v>20</v>
      </c>
      <c r="N824">
        <v>7</v>
      </c>
      <c r="O824">
        <v>7</v>
      </c>
      <c r="P824">
        <v>3224.5</v>
      </c>
      <c r="Q824">
        <v>0</v>
      </c>
    </row>
    <row r="825" spans="7:17" x14ac:dyDescent="0.25">
      <c r="G825" t="str">
        <f t="shared" si="12"/>
        <v/>
      </c>
      <c r="H825" t="s">
        <v>46</v>
      </c>
      <c r="I825" t="s">
        <v>10</v>
      </c>
      <c r="J825" t="s">
        <v>4</v>
      </c>
      <c r="K825" t="s">
        <v>37</v>
      </c>
      <c r="L825" t="s">
        <v>40</v>
      </c>
      <c r="M825" t="s">
        <v>20</v>
      </c>
      <c r="N825">
        <v>11</v>
      </c>
      <c r="O825">
        <v>5</v>
      </c>
      <c r="P825">
        <v>5438.3600000000006</v>
      </c>
      <c r="Q825">
        <v>0</v>
      </c>
    </row>
    <row r="826" spans="7:17" x14ac:dyDescent="0.25">
      <c r="G826" t="str">
        <f t="shared" si="12"/>
        <v/>
      </c>
      <c r="H826" t="s">
        <v>46</v>
      </c>
      <c r="I826" t="s">
        <v>10</v>
      </c>
      <c r="J826" t="s">
        <v>4</v>
      </c>
      <c r="K826" t="s">
        <v>37</v>
      </c>
      <c r="L826" t="s">
        <v>41</v>
      </c>
      <c r="M826" t="s">
        <v>19</v>
      </c>
      <c r="N826">
        <v>2</v>
      </c>
      <c r="O826">
        <v>0</v>
      </c>
      <c r="P826">
        <v>1944.04</v>
      </c>
      <c r="Q826">
        <v>940</v>
      </c>
    </row>
    <row r="827" spans="7:17" x14ac:dyDescent="0.25">
      <c r="G827" t="str">
        <f t="shared" si="12"/>
        <v/>
      </c>
      <c r="H827" t="s">
        <v>46</v>
      </c>
      <c r="I827" t="s">
        <v>10</v>
      </c>
      <c r="J827" t="s">
        <v>4</v>
      </c>
      <c r="K827" t="s">
        <v>37</v>
      </c>
      <c r="L827" t="s">
        <v>41</v>
      </c>
      <c r="M827" t="s">
        <v>20</v>
      </c>
      <c r="N827">
        <v>15</v>
      </c>
      <c r="O827">
        <v>6</v>
      </c>
      <c r="P827">
        <v>8567.7899999999991</v>
      </c>
      <c r="Q827">
        <v>0</v>
      </c>
    </row>
    <row r="828" spans="7:17" x14ac:dyDescent="0.25">
      <c r="G828" t="str">
        <f t="shared" si="12"/>
        <v/>
      </c>
      <c r="H828" t="s">
        <v>46</v>
      </c>
      <c r="I828" t="s">
        <v>10</v>
      </c>
      <c r="J828" t="s">
        <v>4</v>
      </c>
      <c r="K828" t="s">
        <v>37</v>
      </c>
      <c r="L828" t="s">
        <v>45</v>
      </c>
      <c r="M828" t="s">
        <v>19</v>
      </c>
      <c r="N828">
        <v>2</v>
      </c>
      <c r="O828">
        <v>2</v>
      </c>
      <c r="P828">
        <v>1790.9299999999998</v>
      </c>
      <c r="Q828">
        <v>1790.9299999999998</v>
      </c>
    </row>
    <row r="829" spans="7:17" x14ac:dyDescent="0.25">
      <c r="G829" t="str">
        <f t="shared" si="12"/>
        <v/>
      </c>
      <c r="H829" t="s">
        <v>46</v>
      </c>
      <c r="I829" t="s">
        <v>10</v>
      </c>
      <c r="J829" t="s">
        <v>4</v>
      </c>
      <c r="K829" t="s">
        <v>37</v>
      </c>
      <c r="L829" t="s">
        <v>45</v>
      </c>
      <c r="M829" t="s">
        <v>20</v>
      </c>
      <c r="N829">
        <v>117</v>
      </c>
      <c r="O829">
        <v>61</v>
      </c>
      <c r="P829">
        <v>80078.910000000018</v>
      </c>
      <c r="Q829">
        <v>0</v>
      </c>
    </row>
    <row r="830" spans="7:17" x14ac:dyDescent="0.25">
      <c r="G830" t="str">
        <f t="shared" si="12"/>
        <v/>
      </c>
      <c r="H830" t="s">
        <v>46</v>
      </c>
      <c r="I830" t="s">
        <v>10</v>
      </c>
      <c r="J830" t="s">
        <v>4</v>
      </c>
      <c r="K830" t="s">
        <v>38</v>
      </c>
      <c r="L830" t="s">
        <v>42</v>
      </c>
      <c r="M830" t="s">
        <v>19</v>
      </c>
      <c r="N830">
        <v>152</v>
      </c>
      <c r="O830">
        <v>39</v>
      </c>
      <c r="P830">
        <v>72485.260000000009</v>
      </c>
      <c r="Q830">
        <v>72010.720000000016</v>
      </c>
    </row>
    <row r="831" spans="7:17" x14ac:dyDescent="0.25">
      <c r="G831" t="str">
        <f t="shared" si="12"/>
        <v/>
      </c>
      <c r="H831" t="s">
        <v>46</v>
      </c>
      <c r="I831" t="s">
        <v>10</v>
      </c>
      <c r="J831" t="s">
        <v>4</v>
      </c>
      <c r="K831" t="s">
        <v>38</v>
      </c>
      <c r="L831" t="s">
        <v>42</v>
      </c>
      <c r="M831" t="s">
        <v>20</v>
      </c>
      <c r="N831">
        <v>127</v>
      </c>
      <c r="O831">
        <v>41</v>
      </c>
      <c r="P831">
        <v>31568.489999999987</v>
      </c>
      <c r="Q831">
        <v>0</v>
      </c>
    </row>
    <row r="832" spans="7:17" x14ac:dyDescent="0.25">
      <c r="G832" t="str">
        <f t="shared" si="12"/>
        <v/>
      </c>
      <c r="H832" t="s">
        <v>46</v>
      </c>
      <c r="I832" t="s">
        <v>10</v>
      </c>
      <c r="J832" t="s">
        <v>4</v>
      </c>
      <c r="K832" t="s">
        <v>38</v>
      </c>
      <c r="L832" t="s">
        <v>43</v>
      </c>
      <c r="M832" t="s">
        <v>19</v>
      </c>
      <c r="N832">
        <v>13</v>
      </c>
      <c r="O832">
        <v>8</v>
      </c>
      <c r="P832">
        <v>10370.900000000001</v>
      </c>
      <c r="Q832">
        <v>9434.0400000000009</v>
      </c>
    </row>
    <row r="833" spans="7:17" x14ac:dyDescent="0.25">
      <c r="G833" t="str">
        <f t="shared" si="12"/>
        <v/>
      </c>
      <c r="H833" t="s">
        <v>46</v>
      </c>
      <c r="I833" t="s">
        <v>10</v>
      </c>
      <c r="J833" t="s">
        <v>4</v>
      </c>
      <c r="K833" t="s">
        <v>38</v>
      </c>
      <c r="L833" t="s">
        <v>43</v>
      </c>
      <c r="M833" t="s">
        <v>20</v>
      </c>
      <c r="N833">
        <v>44</v>
      </c>
      <c r="O833">
        <v>11</v>
      </c>
      <c r="P833">
        <v>23141.700000000008</v>
      </c>
      <c r="Q833">
        <v>0</v>
      </c>
    </row>
    <row r="834" spans="7:17" x14ac:dyDescent="0.25">
      <c r="G834" t="str">
        <f t="shared" ref="G834:G897" si="13">IF(G$1="Overall","Overall",IF(G$1=L834,L834,""))</f>
        <v/>
      </c>
      <c r="H834" t="s">
        <v>46</v>
      </c>
      <c r="I834" t="s">
        <v>10</v>
      </c>
      <c r="J834" t="s">
        <v>4</v>
      </c>
      <c r="K834" t="s">
        <v>38</v>
      </c>
      <c r="L834" t="s">
        <v>44</v>
      </c>
      <c r="M834" t="s">
        <v>19</v>
      </c>
      <c r="N834">
        <v>4</v>
      </c>
      <c r="O834">
        <v>4</v>
      </c>
      <c r="P834">
        <v>3038.64</v>
      </c>
      <c r="Q834">
        <v>2943.3300000000004</v>
      </c>
    </row>
    <row r="835" spans="7:17" x14ac:dyDescent="0.25">
      <c r="G835" t="str">
        <f t="shared" si="13"/>
        <v/>
      </c>
      <c r="H835" t="s">
        <v>46</v>
      </c>
      <c r="I835" t="s">
        <v>10</v>
      </c>
      <c r="J835" t="s">
        <v>4</v>
      </c>
      <c r="K835" t="s">
        <v>38</v>
      </c>
      <c r="L835" t="s">
        <v>44</v>
      </c>
      <c r="M835" t="s">
        <v>20</v>
      </c>
      <c r="N835">
        <v>20</v>
      </c>
      <c r="O835">
        <v>16</v>
      </c>
      <c r="P835">
        <v>22710.700000000004</v>
      </c>
      <c r="Q835">
        <v>0</v>
      </c>
    </row>
    <row r="836" spans="7:17" x14ac:dyDescent="0.25">
      <c r="G836" t="str">
        <f t="shared" si="13"/>
        <v/>
      </c>
      <c r="H836" t="s">
        <v>46</v>
      </c>
      <c r="I836" t="s">
        <v>10</v>
      </c>
      <c r="J836" t="s">
        <v>4</v>
      </c>
      <c r="K836" t="s">
        <v>38</v>
      </c>
      <c r="L836" t="s">
        <v>39</v>
      </c>
      <c r="M836" t="s">
        <v>19</v>
      </c>
      <c r="N836">
        <v>1</v>
      </c>
      <c r="O836">
        <v>1</v>
      </c>
      <c r="P836">
        <v>739.67</v>
      </c>
      <c r="Q836">
        <v>668.52</v>
      </c>
    </row>
    <row r="837" spans="7:17" x14ac:dyDescent="0.25">
      <c r="G837" t="str">
        <f t="shared" si="13"/>
        <v/>
      </c>
      <c r="H837" t="s">
        <v>46</v>
      </c>
      <c r="I837" t="s">
        <v>10</v>
      </c>
      <c r="J837" t="s">
        <v>4</v>
      </c>
      <c r="K837" t="s">
        <v>38</v>
      </c>
      <c r="L837" t="s">
        <v>39</v>
      </c>
      <c r="M837" t="s">
        <v>20</v>
      </c>
      <c r="N837">
        <v>20</v>
      </c>
      <c r="O837">
        <v>12</v>
      </c>
      <c r="P837">
        <v>16361.77</v>
      </c>
      <c r="Q837">
        <v>0</v>
      </c>
    </row>
    <row r="838" spans="7:17" x14ac:dyDescent="0.25">
      <c r="G838" t="str">
        <f t="shared" si="13"/>
        <v/>
      </c>
      <c r="H838" t="s">
        <v>46</v>
      </c>
      <c r="I838" t="s">
        <v>10</v>
      </c>
      <c r="J838" t="s">
        <v>4</v>
      </c>
      <c r="K838" t="s">
        <v>38</v>
      </c>
      <c r="L838" t="s">
        <v>40</v>
      </c>
      <c r="M838" t="s">
        <v>19</v>
      </c>
      <c r="N838">
        <v>1</v>
      </c>
      <c r="O838">
        <v>0</v>
      </c>
      <c r="P838">
        <v>711.72</v>
      </c>
      <c r="Q838">
        <v>293.16000000000003</v>
      </c>
    </row>
    <row r="839" spans="7:17" x14ac:dyDescent="0.25">
      <c r="G839" t="str">
        <f t="shared" si="13"/>
        <v/>
      </c>
      <c r="H839" t="s">
        <v>46</v>
      </c>
      <c r="I839" t="s">
        <v>10</v>
      </c>
      <c r="J839" t="s">
        <v>4</v>
      </c>
      <c r="K839" t="s">
        <v>38</v>
      </c>
      <c r="L839" t="s">
        <v>40</v>
      </c>
      <c r="M839" t="s">
        <v>20</v>
      </c>
      <c r="N839">
        <v>12</v>
      </c>
      <c r="O839">
        <v>5</v>
      </c>
      <c r="P839">
        <v>10849.240000000002</v>
      </c>
      <c r="Q839">
        <v>0</v>
      </c>
    </row>
    <row r="840" spans="7:17" x14ac:dyDescent="0.25">
      <c r="G840" t="str">
        <f t="shared" si="13"/>
        <v/>
      </c>
      <c r="H840" t="s">
        <v>46</v>
      </c>
      <c r="I840" t="s">
        <v>10</v>
      </c>
      <c r="J840" t="s">
        <v>4</v>
      </c>
      <c r="K840" t="s">
        <v>38</v>
      </c>
      <c r="L840" t="s">
        <v>41</v>
      </c>
      <c r="M840" t="s">
        <v>20</v>
      </c>
      <c r="N840">
        <v>11</v>
      </c>
      <c r="O840">
        <v>3</v>
      </c>
      <c r="P840">
        <v>11729.180000000002</v>
      </c>
      <c r="Q840">
        <v>0</v>
      </c>
    </row>
    <row r="841" spans="7:17" x14ac:dyDescent="0.25">
      <c r="G841" t="str">
        <f t="shared" si="13"/>
        <v/>
      </c>
      <c r="H841" t="s">
        <v>46</v>
      </c>
      <c r="I841" t="s">
        <v>10</v>
      </c>
      <c r="J841" t="s">
        <v>4</v>
      </c>
      <c r="K841" t="s">
        <v>38</v>
      </c>
      <c r="L841" t="s">
        <v>45</v>
      </c>
      <c r="M841" t="s">
        <v>20</v>
      </c>
      <c r="N841">
        <v>111</v>
      </c>
      <c r="O841">
        <v>56</v>
      </c>
      <c r="P841">
        <v>104380.58000000002</v>
      </c>
      <c r="Q841">
        <v>0</v>
      </c>
    </row>
    <row r="842" spans="7:17" x14ac:dyDescent="0.25">
      <c r="G842" t="str">
        <f t="shared" si="13"/>
        <v/>
      </c>
      <c r="H842" t="s">
        <v>46</v>
      </c>
      <c r="I842" t="s">
        <v>11</v>
      </c>
      <c r="J842" t="s">
        <v>6</v>
      </c>
      <c r="K842" t="s">
        <v>23</v>
      </c>
      <c r="L842" t="s">
        <v>42</v>
      </c>
      <c r="M842" t="s">
        <v>19</v>
      </c>
      <c r="N842">
        <v>1130</v>
      </c>
      <c r="O842">
        <v>23</v>
      </c>
      <c r="P842">
        <v>251368.92000000138</v>
      </c>
      <c r="Q842">
        <v>250117.86000000135</v>
      </c>
    </row>
    <row r="843" spans="7:17" x14ac:dyDescent="0.25">
      <c r="G843" t="str">
        <f t="shared" si="13"/>
        <v/>
      </c>
      <c r="H843" t="s">
        <v>46</v>
      </c>
      <c r="I843" t="s">
        <v>11</v>
      </c>
      <c r="J843" t="s">
        <v>6</v>
      </c>
      <c r="K843" t="s">
        <v>23</v>
      </c>
      <c r="L843" t="s">
        <v>42</v>
      </c>
      <c r="M843" t="s">
        <v>20</v>
      </c>
      <c r="N843">
        <v>98</v>
      </c>
      <c r="O843">
        <v>9</v>
      </c>
      <c r="P843">
        <v>16515.420000000013</v>
      </c>
      <c r="Q843">
        <v>0</v>
      </c>
    </row>
    <row r="844" spans="7:17" x14ac:dyDescent="0.25">
      <c r="G844" t="str">
        <f t="shared" si="13"/>
        <v/>
      </c>
      <c r="H844" t="s">
        <v>46</v>
      </c>
      <c r="I844" t="s">
        <v>11</v>
      </c>
      <c r="J844" t="s">
        <v>6</v>
      </c>
      <c r="K844" t="s">
        <v>23</v>
      </c>
      <c r="L844" t="s">
        <v>43</v>
      </c>
      <c r="M844" t="s">
        <v>19</v>
      </c>
      <c r="N844">
        <v>357</v>
      </c>
      <c r="O844">
        <v>14</v>
      </c>
      <c r="P844">
        <v>250233.12999999968</v>
      </c>
      <c r="Q844">
        <v>230727.47999999992</v>
      </c>
    </row>
    <row r="845" spans="7:17" x14ac:dyDescent="0.25">
      <c r="G845" t="str">
        <f t="shared" si="13"/>
        <v/>
      </c>
      <c r="H845" t="s">
        <v>46</v>
      </c>
      <c r="I845" t="s">
        <v>11</v>
      </c>
      <c r="J845" t="s">
        <v>6</v>
      </c>
      <c r="K845" t="s">
        <v>23</v>
      </c>
      <c r="L845" t="s">
        <v>43</v>
      </c>
      <c r="M845" t="s">
        <v>20</v>
      </c>
      <c r="N845">
        <v>43</v>
      </c>
      <c r="O845">
        <v>7</v>
      </c>
      <c r="P845">
        <v>37887.19</v>
      </c>
      <c r="Q845">
        <v>0</v>
      </c>
    </row>
    <row r="846" spans="7:17" x14ac:dyDescent="0.25">
      <c r="G846" t="str">
        <f t="shared" si="13"/>
        <v/>
      </c>
      <c r="H846" t="s">
        <v>46</v>
      </c>
      <c r="I846" t="s">
        <v>11</v>
      </c>
      <c r="J846" t="s">
        <v>6</v>
      </c>
      <c r="K846" t="s">
        <v>23</v>
      </c>
      <c r="L846" t="s">
        <v>44</v>
      </c>
      <c r="M846" t="s">
        <v>19</v>
      </c>
      <c r="N846">
        <v>124</v>
      </c>
      <c r="O846">
        <v>9</v>
      </c>
      <c r="P846">
        <v>121241.71999999996</v>
      </c>
      <c r="Q846">
        <v>116758.17</v>
      </c>
    </row>
    <row r="847" spans="7:17" x14ac:dyDescent="0.25">
      <c r="G847" t="str">
        <f t="shared" si="13"/>
        <v/>
      </c>
      <c r="H847" t="s">
        <v>46</v>
      </c>
      <c r="I847" t="s">
        <v>11</v>
      </c>
      <c r="J847" t="s">
        <v>6</v>
      </c>
      <c r="K847" t="s">
        <v>23</v>
      </c>
      <c r="L847" t="s">
        <v>44</v>
      </c>
      <c r="M847" t="s">
        <v>20</v>
      </c>
      <c r="N847">
        <v>41</v>
      </c>
      <c r="O847">
        <v>4</v>
      </c>
      <c r="P847">
        <v>36854.779999999992</v>
      </c>
      <c r="Q847">
        <v>0</v>
      </c>
    </row>
    <row r="848" spans="7:17" x14ac:dyDescent="0.25">
      <c r="G848" t="str">
        <f t="shared" si="13"/>
        <v/>
      </c>
      <c r="H848" t="s">
        <v>46</v>
      </c>
      <c r="I848" t="s">
        <v>11</v>
      </c>
      <c r="J848" t="s">
        <v>6</v>
      </c>
      <c r="K848" t="s">
        <v>23</v>
      </c>
      <c r="L848" t="s">
        <v>39</v>
      </c>
      <c r="M848" t="s">
        <v>19</v>
      </c>
      <c r="N848">
        <v>37</v>
      </c>
      <c r="O848">
        <v>4</v>
      </c>
      <c r="P848">
        <v>27471.94</v>
      </c>
      <c r="Q848">
        <v>22738.12</v>
      </c>
    </row>
    <row r="849" spans="7:17" x14ac:dyDescent="0.25">
      <c r="G849" t="str">
        <f t="shared" si="13"/>
        <v/>
      </c>
      <c r="H849" t="s">
        <v>46</v>
      </c>
      <c r="I849" t="s">
        <v>11</v>
      </c>
      <c r="J849" t="s">
        <v>6</v>
      </c>
      <c r="K849" t="s">
        <v>23</v>
      </c>
      <c r="L849" t="s">
        <v>39</v>
      </c>
      <c r="M849" t="s">
        <v>20</v>
      </c>
      <c r="N849">
        <v>15</v>
      </c>
      <c r="O849">
        <v>6</v>
      </c>
      <c r="P849">
        <v>7926.5800000000008</v>
      </c>
      <c r="Q849">
        <v>0</v>
      </c>
    </row>
    <row r="850" spans="7:17" x14ac:dyDescent="0.25">
      <c r="G850" t="str">
        <f t="shared" si="13"/>
        <v/>
      </c>
      <c r="H850" t="s">
        <v>46</v>
      </c>
      <c r="I850" t="s">
        <v>11</v>
      </c>
      <c r="J850" t="s">
        <v>6</v>
      </c>
      <c r="K850" t="s">
        <v>23</v>
      </c>
      <c r="L850" t="s">
        <v>40</v>
      </c>
      <c r="M850" t="s">
        <v>19</v>
      </c>
      <c r="N850">
        <v>3</v>
      </c>
      <c r="O850">
        <v>0</v>
      </c>
      <c r="P850">
        <v>1776.26</v>
      </c>
      <c r="Q850">
        <v>1776.26</v>
      </c>
    </row>
    <row r="851" spans="7:17" x14ac:dyDescent="0.25">
      <c r="G851" t="str">
        <f t="shared" si="13"/>
        <v/>
      </c>
      <c r="H851" t="s">
        <v>46</v>
      </c>
      <c r="I851" t="s">
        <v>11</v>
      </c>
      <c r="J851" t="s">
        <v>6</v>
      </c>
      <c r="K851" t="s">
        <v>23</v>
      </c>
      <c r="L851" t="s">
        <v>40</v>
      </c>
      <c r="M851" t="s">
        <v>20</v>
      </c>
      <c r="N851">
        <v>6</v>
      </c>
      <c r="O851">
        <v>0</v>
      </c>
      <c r="P851">
        <v>2167.35</v>
      </c>
      <c r="Q851">
        <v>0</v>
      </c>
    </row>
    <row r="852" spans="7:17" x14ac:dyDescent="0.25">
      <c r="G852" t="str">
        <f t="shared" si="13"/>
        <v/>
      </c>
      <c r="H852" t="s">
        <v>46</v>
      </c>
      <c r="I852" t="s">
        <v>11</v>
      </c>
      <c r="J852" t="s">
        <v>6</v>
      </c>
      <c r="K852" t="s">
        <v>23</v>
      </c>
      <c r="L852" t="s">
        <v>41</v>
      </c>
      <c r="M852" t="s">
        <v>19</v>
      </c>
      <c r="N852">
        <v>1</v>
      </c>
      <c r="O852">
        <v>0</v>
      </c>
      <c r="P852">
        <v>386.18</v>
      </c>
      <c r="Q852">
        <v>386.18</v>
      </c>
    </row>
    <row r="853" spans="7:17" x14ac:dyDescent="0.25">
      <c r="G853" t="str">
        <f t="shared" si="13"/>
        <v/>
      </c>
      <c r="H853" t="s">
        <v>46</v>
      </c>
      <c r="I853" t="s">
        <v>11</v>
      </c>
      <c r="J853" t="s">
        <v>6</v>
      </c>
      <c r="K853" t="s">
        <v>23</v>
      </c>
      <c r="L853" t="s">
        <v>41</v>
      </c>
      <c r="M853" t="s">
        <v>20</v>
      </c>
      <c r="N853">
        <v>12</v>
      </c>
      <c r="O853">
        <v>1</v>
      </c>
      <c r="P853">
        <v>2153.1999999999998</v>
      </c>
      <c r="Q853">
        <v>0</v>
      </c>
    </row>
    <row r="854" spans="7:17" x14ac:dyDescent="0.25">
      <c r="G854" t="str">
        <f t="shared" si="13"/>
        <v/>
      </c>
      <c r="H854" t="s">
        <v>46</v>
      </c>
      <c r="I854" t="s">
        <v>11</v>
      </c>
      <c r="J854" t="s">
        <v>6</v>
      </c>
      <c r="K854" t="s">
        <v>23</v>
      </c>
      <c r="L854" t="s">
        <v>45</v>
      </c>
      <c r="M854" t="s">
        <v>19</v>
      </c>
      <c r="N854">
        <v>6</v>
      </c>
      <c r="O854">
        <v>0</v>
      </c>
      <c r="P854">
        <v>4453.16</v>
      </c>
      <c r="Q854">
        <v>2108.42</v>
      </c>
    </row>
    <row r="855" spans="7:17" x14ac:dyDescent="0.25">
      <c r="G855" t="str">
        <f t="shared" si="13"/>
        <v/>
      </c>
      <c r="H855" t="s">
        <v>46</v>
      </c>
      <c r="I855" t="s">
        <v>11</v>
      </c>
      <c r="J855" t="s">
        <v>6</v>
      </c>
      <c r="K855" t="s">
        <v>23</v>
      </c>
      <c r="L855" t="s">
        <v>45</v>
      </c>
      <c r="M855" t="s">
        <v>20</v>
      </c>
      <c r="N855">
        <v>117</v>
      </c>
      <c r="O855">
        <v>24</v>
      </c>
      <c r="P855">
        <v>57318.070000000007</v>
      </c>
      <c r="Q855">
        <v>0</v>
      </c>
    </row>
    <row r="856" spans="7:17" x14ac:dyDescent="0.25">
      <c r="G856" t="str">
        <f t="shared" si="13"/>
        <v/>
      </c>
      <c r="H856" t="s">
        <v>46</v>
      </c>
      <c r="I856" t="s">
        <v>11</v>
      </c>
      <c r="J856" t="s">
        <v>6</v>
      </c>
      <c r="K856" t="s">
        <v>24</v>
      </c>
      <c r="L856" t="s">
        <v>42</v>
      </c>
      <c r="M856" t="s">
        <v>19</v>
      </c>
      <c r="N856">
        <v>40</v>
      </c>
      <c r="O856">
        <v>6</v>
      </c>
      <c r="P856">
        <v>3197.6800000000017</v>
      </c>
      <c r="Q856">
        <v>3197.6800000000017</v>
      </c>
    </row>
    <row r="857" spans="7:17" x14ac:dyDescent="0.25">
      <c r="G857" t="str">
        <f t="shared" si="13"/>
        <v/>
      </c>
      <c r="H857" t="s">
        <v>46</v>
      </c>
      <c r="I857" t="s">
        <v>11</v>
      </c>
      <c r="J857" t="s">
        <v>6</v>
      </c>
      <c r="K857" t="s">
        <v>24</v>
      </c>
      <c r="L857" t="s">
        <v>42</v>
      </c>
      <c r="M857" t="s">
        <v>20</v>
      </c>
      <c r="N857">
        <v>53</v>
      </c>
      <c r="O857">
        <v>2</v>
      </c>
      <c r="P857">
        <v>13481.999999999998</v>
      </c>
      <c r="Q857">
        <v>0</v>
      </c>
    </row>
    <row r="858" spans="7:17" x14ac:dyDescent="0.25">
      <c r="G858" t="str">
        <f t="shared" si="13"/>
        <v/>
      </c>
      <c r="H858" t="s">
        <v>46</v>
      </c>
      <c r="I858" t="s">
        <v>11</v>
      </c>
      <c r="J858" t="s">
        <v>6</v>
      </c>
      <c r="K858" t="s">
        <v>24</v>
      </c>
      <c r="L858" t="s">
        <v>43</v>
      </c>
      <c r="M858" t="s">
        <v>19</v>
      </c>
      <c r="N858">
        <v>26</v>
      </c>
      <c r="O858">
        <v>0</v>
      </c>
      <c r="P858">
        <v>21597.35</v>
      </c>
      <c r="Q858">
        <v>13542.429999999998</v>
      </c>
    </row>
    <row r="859" spans="7:17" x14ac:dyDescent="0.25">
      <c r="G859" t="str">
        <f t="shared" si="13"/>
        <v/>
      </c>
      <c r="H859" t="s">
        <v>46</v>
      </c>
      <c r="I859" t="s">
        <v>11</v>
      </c>
      <c r="J859" t="s">
        <v>6</v>
      </c>
      <c r="K859" t="s">
        <v>24</v>
      </c>
      <c r="L859" t="s">
        <v>43</v>
      </c>
      <c r="M859" t="s">
        <v>20</v>
      </c>
      <c r="N859">
        <v>34</v>
      </c>
      <c r="O859">
        <v>3</v>
      </c>
      <c r="P859">
        <v>22515.150000000009</v>
      </c>
      <c r="Q859">
        <v>0</v>
      </c>
    </row>
    <row r="860" spans="7:17" x14ac:dyDescent="0.25">
      <c r="G860" t="str">
        <f t="shared" si="13"/>
        <v/>
      </c>
      <c r="H860" t="s">
        <v>46</v>
      </c>
      <c r="I860" t="s">
        <v>11</v>
      </c>
      <c r="J860" t="s">
        <v>6</v>
      </c>
      <c r="K860" t="s">
        <v>24</v>
      </c>
      <c r="L860" t="s">
        <v>44</v>
      </c>
      <c r="M860" t="s">
        <v>19</v>
      </c>
      <c r="N860">
        <v>89</v>
      </c>
      <c r="O860">
        <v>3</v>
      </c>
      <c r="P860">
        <v>123962.50999999998</v>
      </c>
      <c r="Q860">
        <v>84702.499999999985</v>
      </c>
    </row>
    <row r="861" spans="7:17" x14ac:dyDescent="0.25">
      <c r="G861" t="str">
        <f t="shared" si="13"/>
        <v/>
      </c>
      <c r="H861" t="s">
        <v>46</v>
      </c>
      <c r="I861" t="s">
        <v>11</v>
      </c>
      <c r="J861" t="s">
        <v>6</v>
      </c>
      <c r="K861" t="s">
        <v>24</v>
      </c>
      <c r="L861" t="s">
        <v>44</v>
      </c>
      <c r="M861" t="s">
        <v>20</v>
      </c>
      <c r="N861">
        <v>6</v>
      </c>
      <c r="O861">
        <v>3</v>
      </c>
      <c r="P861">
        <v>4480.96</v>
      </c>
      <c r="Q861">
        <v>0</v>
      </c>
    </row>
    <row r="862" spans="7:17" x14ac:dyDescent="0.25">
      <c r="G862" t="str">
        <f t="shared" si="13"/>
        <v/>
      </c>
      <c r="H862" t="s">
        <v>46</v>
      </c>
      <c r="I862" t="s">
        <v>11</v>
      </c>
      <c r="J862" t="s">
        <v>6</v>
      </c>
      <c r="K862" t="s">
        <v>24</v>
      </c>
      <c r="L862" t="s">
        <v>39</v>
      </c>
      <c r="M862" t="s">
        <v>19</v>
      </c>
      <c r="N862">
        <v>30</v>
      </c>
      <c r="O862">
        <v>5</v>
      </c>
      <c r="P862">
        <v>47220.28</v>
      </c>
      <c r="Q862">
        <v>29829.85</v>
      </c>
    </row>
    <row r="863" spans="7:17" x14ac:dyDescent="0.25">
      <c r="G863" t="str">
        <f t="shared" si="13"/>
        <v/>
      </c>
      <c r="H863" t="s">
        <v>46</v>
      </c>
      <c r="I863" t="s">
        <v>11</v>
      </c>
      <c r="J863" t="s">
        <v>6</v>
      </c>
      <c r="K863" t="s">
        <v>24</v>
      </c>
      <c r="L863" t="s">
        <v>39</v>
      </c>
      <c r="M863" t="s">
        <v>20</v>
      </c>
      <c r="N863">
        <v>7</v>
      </c>
      <c r="O863">
        <v>2</v>
      </c>
      <c r="P863">
        <v>4973.08</v>
      </c>
      <c r="Q863">
        <v>0</v>
      </c>
    </row>
    <row r="864" spans="7:17" x14ac:dyDescent="0.25">
      <c r="G864" t="str">
        <f t="shared" si="13"/>
        <v/>
      </c>
      <c r="H864" t="s">
        <v>46</v>
      </c>
      <c r="I864" t="s">
        <v>11</v>
      </c>
      <c r="J864" t="s">
        <v>6</v>
      </c>
      <c r="K864" t="s">
        <v>24</v>
      </c>
      <c r="L864" t="s">
        <v>40</v>
      </c>
      <c r="M864" t="s">
        <v>20</v>
      </c>
      <c r="N864">
        <v>5</v>
      </c>
      <c r="O864">
        <v>0</v>
      </c>
      <c r="P864">
        <v>2105.85</v>
      </c>
      <c r="Q864">
        <v>0</v>
      </c>
    </row>
    <row r="865" spans="7:17" x14ac:dyDescent="0.25">
      <c r="G865" t="str">
        <f t="shared" si="13"/>
        <v/>
      </c>
      <c r="H865" t="s">
        <v>46</v>
      </c>
      <c r="I865" t="s">
        <v>11</v>
      </c>
      <c r="J865" t="s">
        <v>6</v>
      </c>
      <c r="K865" t="s">
        <v>24</v>
      </c>
      <c r="L865" t="s">
        <v>41</v>
      </c>
      <c r="M865" t="s">
        <v>20</v>
      </c>
      <c r="N865">
        <v>2</v>
      </c>
      <c r="O865">
        <v>0</v>
      </c>
      <c r="P865">
        <v>227.86</v>
      </c>
      <c r="Q865">
        <v>0</v>
      </c>
    </row>
    <row r="866" spans="7:17" x14ac:dyDescent="0.25">
      <c r="G866" t="str">
        <f t="shared" si="13"/>
        <v/>
      </c>
      <c r="H866" t="s">
        <v>46</v>
      </c>
      <c r="I866" t="s">
        <v>11</v>
      </c>
      <c r="J866" t="s">
        <v>6</v>
      </c>
      <c r="K866" t="s">
        <v>24</v>
      </c>
      <c r="L866" t="s">
        <v>45</v>
      </c>
      <c r="M866" t="s">
        <v>19</v>
      </c>
      <c r="N866">
        <v>1</v>
      </c>
      <c r="O866">
        <v>0</v>
      </c>
      <c r="P866">
        <v>2969.29</v>
      </c>
      <c r="Q866">
        <v>1320.93</v>
      </c>
    </row>
    <row r="867" spans="7:17" x14ac:dyDescent="0.25">
      <c r="G867" t="str">
        <f t="shared" si="13"/>
        <v/>
      </c>
      <c r="H867" t="s">
        <v>46</v>
      </c>
      <c r="I867" t="s">
        <v>11</v>
      </c>
      <c r="J867" t="s">
        <v>6</v>
      </c>
      <c r="K867" t="s">
        <v>24</v>
      </c>
      <c r="L867" t="s">
        <v>45</v>
      </c>
      <c r="M867" t="s">
        <v>20</v>
      </c>
      <c r="N867">
        <v>80</v>
      </c>
      <c r="O867">
        <v>14</v>
      </c>
      <c r="P867">
        <v>28320.890000000043</v>
      </c>
      <c r="Q867">
        <v>0</v>
      </c>
    </row>
    <row r="868" spans="7:17" x14ac:dyDescent="0.25">
      <c r="G868" t="str">
        <f t="shared" si="13"/>
        <v/>
      </c>
      <c r="H868" t="s">
        <v>46</v>
      </c>
      <c r="I868" t="s">
        <v>11</v>
      </c>
      <c r="J868" t="s">
        <v>6</v>
      </c>
      <c r="K868" t="s">
        <v>25</v>
      </c>
      <c r="L868" t="s">
        <v>42</v>
      </c>
      <c r="M868" t="s">
        <v>19</v>
      </c>
      <c r="N868">
        <v>12504</v>
      </c>
      <c r="O868">
        <v>17</v>
      </c>
      <c r="P868">
        <v>2512830.4799999907</v>
      </c>
      <c r="Q868">
        <v>2506334.939999992</v>
      </c>
    </row>
    <row r="869" spans="7:17" x14ac:dyDescent="0.25">
      <c r="G869" t="str">
        <f t="shared" si="13"/>
        <v/>
      </c>
      <c r="H869" t="s">
        <v>46</v>
      </c>
      <c r="I869" t="s">
        <v>11</v>
      </c>
      <c r="J869" t="s">
        <v>6</v>
      </c>
      <c r="K869" t="s">
        <v>25</v>
      </c>
      <c r="L869" t="s">
        <v>42</v>
      </c>
      <c r="M869" t="s">
        <v>20</v>
      </c>
      <c r="N869">
        <v>251</v>
      </c>
      <c r="O869">
        <v>10</v>
      </c>
      <c r="P869">
        <v>38733.89999999998</v>
      </c>
      <c r="Q869">
        <v>0</v>
      </c>
    </row>
    <row r="870" spans="7:17" x14ac:dyDescent="0.25">
      <c r="G870" t="str">
        <f t="shared" si="13"/>
        <v/>
      </c>
      <c r="H870" t="s">
        <v>46</v>
      </c>
      <c r="I870" t="s">
        <v>11</v>
      </c>
      <c r="J870" t="s">
        <v>6</v>
      </c>
      <c r="K870" t="s">
        <v>25</v>
      </c>
      <c r="L870" t="s">
        <v>43</v>
      </c>
      <c r="M870" t="s">
        <v>19</v>
      </c>
      <c r="N870">
        <v>5117</v>
      </c>
      <c r="O870">
        <v>25</v>
      </c>
      <c r="P870">
        <v>745170.27000000072</v>
      </c>
      <c r="Q870">
        <v>574959.82999999844</v>
      </c>
    </row>
    <row r="871" spans="7:17" x14ac:dyDescent="0.25">
      <c r="G871" t="str">
        <f t="shared" si="13"/>
        <v/>
      </c>
      <c r="H871" t="s">
        <v>46</v>
      </c>
      <c r="I871" t="s">
        <v>11</v>
      </c>
      <c r="J871" t="s">
        <v>6</v>
      </c>
      <c r="K871" t="s">
        <v>25</v>
      </c>
      <c r="L871" t="s">
        <v>43</v>
      </c>
      <c r="M871" t="s">
        <v>20</v>
      </c>
      <c r="N871">
        <v>106</v>
      </c>
      <c r="O871">
        <v>14</v>
      </c>
      <c r="P871">
        <v>73527.839999999982</v>
      </c>
      <c r="Q871">
        <v>0</v>
      </c>
    </row>
    <row r="872" spans="7:17" x14ac:dyDescent="0.25">
      <c r="G872" t="str">
        <f t="shared" si="13"/>
        <v/>
      </c>
      <c r="H872" t="s">
        <v>46</v>
      </c>
      <c r="I872" t="s">
        <v>11</v>
      </c>
      <c r="J872" t="s">
        <v>6</v>
      </c>
      <c r="K872" t="s">
        <v>25</v>
      </c>
      <c r="L872" t="s">
        <v>44</v>
      </c>
      <c r="M872" t="s">
        <v>19</v>
      </c>
      <c r="N872">
        <v>287</v>
      </c>
      <c r="O872">
        <v>11</v>
      </c>
      <c r="P872">
        <v>314219.22000000032</v>
      </c>
      <c r="Q872">
        <v>233966.70999999964</v>
      </c>
    </row>
    <row r="873" spans="7:17" x14ac:dyDescent="0.25">
      <c r="G873" t="str">
        <f t="shared" si="13"/>
        <v/>
      </c>
      <c r="H873" t="s">
        <v>46</v>
      </c>
      <c r="I873" t="s">
        <v>11</v>
      </c>
      <c r="J873" t="s">
        <v>6</v>
      </c>
      <c r="K873" t="s">
        <v>25</v>
      </c>
      <c r="L873" t="s">
        <v>44</v>
      </c>
      <c r="M873" t="s">
        <v>20</v>
      </c>
      <c r="N873">
        <v>2310</v>
      </c>
      <c r="O873">
        <v>13</v>
      </c>
      <c r="P873">
        <v>175545.93999999992</v>
      </c>
      <c r="Q873">
        <v>0</v>
      </c>
    </row>
    <row r="874" spans="7:17" x14ac:dyDescent="0.25">
      <c r="G874" t="str">
        <f t="shared" si="13"/>
        <v/>
      </c>
      <c r="H874" t="s">
        <v>46</v>
      </c>
      <c r="I874" t="s">
        <v>11</v>
      </c>
      <c r="J874" t="s">
        <v>6</v>
      </c>
      <c r="K874" t="s">
        <v>25</v>
      </c>
      <c r="L874" t="s">
        <v>39</v>
      </c>
      <c r="M874" t="s">
        <v>19</v>
      </c>
      <c r="N874">
        <v>49</v>
      </c>
      <c r="O874">
        <v>14</v>
      </c>
      <c r="P874">
        <v>56367.779999999984</v>
      </c>
      <c r="Q874">
        <v>42255.040000000008</v>
      </c>
    </row>
    <row r="875" spans="7:17" x14ac:dyDescent="0.25">
      <c r="G875" t="str">
        <f t="shared" si="13"/>
        <v/>
      </c>
      <c r="H875" t="s">
        <v>46</v>
      </c>
      <c r="I875" t="s">
        <v>11</v>
      </c>
      <c r="J875" t="s">
        <v>6</v>
      </c>
      <c r="K875" t="s">
        <v>25</v>
      </c>
      <c r="L875" t="s">
        <v>39</v>
      </c>
      <c r="M875" t="s">
        <v>20</v>
      </c>
      <c r="N875">
        <v>29</v>
      </c>
      <c r="O875">
        <v>9</v>
      </c>
      <c r="P875">
        <v>18390.449999999997</v>
      </c>
      <c r="Q875">
        <v>0</v>
      </c>
    </row>
    <row r="876" spans="7:17" x14ac:dyDescent="0.25">
      <c r="G876" t="str">
        <f t="shared" si="13"/>
        <v/>
      </c>
      <c r="H876" t="s">
        <v>46</v>
      </c>
      <c r="I876" t="s">
        <v>11</v>
      </c>
      <c r="J876" t="s">
        <v>6</v>
      </c>
      <c r="K876" t="s">
        <v>25</v>
      </c>
      <c r="L876" t="s">
        <v>40</v>
      </c>
      <c r="M876" t="s">
        <v>19</v>
      </c>
      <c r="N876">
        <v>12</v>
      </c>
      <c r="O876">
        <v>0</v>
      </c>
      <c r="P876">
        <v>15416.71</v>
      </c>
      <c r="Q876">
        <v>12044.15</v>
      </c>
    </row>
    <row r="877" spans="7:17" x14ac:dyDescent="0.25">
      <c r="G877" t="str">
        <f t="shared" si="13"/>
        <v/>
      </c>
      <c r="H877" t="s">
        <v>46</v>
      </c>
      <c r="I877" t="s">
        <v>11</v>
      </c>
      <c r="J877" t="s">
        <v>6</v>
      </c>
      <c r="K877" t="s">
        <v>25</v>
      </c>
      <c r="L877" t="s">
        <v>40</v>
      </c>
      <c r="M877" t="s">
        <v>20</v>
      </c>
      <c r="N877">
        <v>15</v>
      </c>
      <c r="O877">
        <v>5</v>
      </c>
      <c r="P877">
        <v>9554.85</v>
      </c>
      <c r="Q877">
        <v>0</v>
      </c>
    </row>
    <row r="878" spans="7:17" x14ac:dyDescent="0.25">
      <c r="G878" t="str">
        <f t="shared" si="13"/>
        <v/>
      </c>
      <c r="H878" t="s">
        <v>46</v>
      </c>
      <c r="I878" t="s">
        <v>11</v>
      </c>
      <c r="J878" t="s">
        <v>6</v>
      </c>
      <c r="K878" t="s">
        <v>25</v>
      </c>
      <c r="L878" t="s">
        <v>41</v>
      </c>
      <c r="M878" t="s">
        <v>19</v>
      </c>
      <c r="N878">
        <v>4</v>
      </c>
      <c r="O878">
        <v>3</v>
      </c>
      <c r="P878">
        <v>6280.01</v>
      </c>
      <c r="Q878">
        <v>6083.07</v>
      </c>
    </row>
    <row r="879" spans="7:17" x14ac:dyDescent="0.25">
      <c r="G879" t="str">
        <f t="shared" si="13"/>
        <v/>
      </c>
      <c r="H879" t="s">
        <v>46</v>
      </c>
      <c r="I879" t="s">
        <v>11</v>
      </c>
      <c r="J879" t="s">
        <v>6</v>
      </c>
      <c r="K879" t="s">
        <v>25</v>
      </c>
      <c r="L879" t="s">
        <v>41</v>
      </c>
      <c r="M879" t="s">
        <v>20</v>
      </c>
      <c r="N879">
        <v>25</v>
      </c>
      <c r="O879">
        <v>2</v>
      </c>
      <c r="P879">
        <v>14626.180000000002</v>
      </c>
      <c r="Q879">
        <v>0</v>
      </c>
    </row>
    <row r="880" spans="7:17" x14ac:dyDescent="0.25">
      <c r="G880" t="str">
        <f t="shared" si="13"/>
        <v/>
      </c>
      <c r="H880" t="s">
        <v>46</v>
      </c>
      <c r="I880" t="s">
        <v>11</v>
      </c>
      <c r="J880" t="s">
        <v>6</v>
      </c>
      <c r="K880" t="s">
        <v>25</v>
      </c>
      <c r="L880" t="s">
        <v>45</v>
      </c>
      <c r="M880" t="s">
        <v>19</v>
      </c>
      <c r="N880">
        <v>5</v>
      </c>
      <c r="O880">
        <v>0</v>
      </c>
      <c r="P880">
        <v>6607.1500000000005</v>
      </c>
      <c r="Q880">
        <v>6607.1500000000005</v>
      </c>
    </row>
    <row r="881" spans="7:17" x14ac:dyDescent="0.25">
      <c r="G881" t="str">
        <f t="shared" si="13"/>
        <v/>
      </c>
      <c r="H881" t="s">
        <v>46</v>
      </c>
      <c r="I881" t="s">
        <v>11</v>
      </c>
      <c r="J881" t="s">
        <v>6</v>
      </c>
      <c r="K881" t="s">
        <v>25</v>
      </c>
      <c r="L881" t="s">
        <v>45</v>
      </c>
      <c r="M881" t="s">
        <v>20</v>
      </c>
      <c r="N881">
        <v>177</v>
      </c>
      <c r="O881">
        <v>23</v>
      </c>
      <c r="P881">
        <v>141636.96</v>
      </c>
      <c r="Q881">
        <v>0</v>
      </c>
    </row>
    <row r="882" spans="7:17" x14ac:dyDescent="0.25">
      <c r="G882" t="str">
        <f t="shared" si="13"/>
        <v/>
      </c>
      <c r="H882" t="s">
        <v>46</v>
      </c>
      <c r="I882" t="s">
        <v>11</v>
      </c>
      <c r="J882" t="s">
        <v>6</v>
      </c>
      <c r="K882" t="s">
        <v>26</v>
      </c>
      <c r="L882" t="s">
        <v>42</v>
      </c>
      <c r="M882" t="s">
        <v>19</v>
      </c>
      <c r="N882">
        <v>713</v>
      </c>
      <c r="O882">
        <v>39</v>
      </c>
      <c r="P882">
        <v>169786.86000000025</v>
      </c>
      <c r="Q882">
        <v>163390.01000000021</v>
      </c>
    </row>
    <row r="883" spans="7:17" x14ac:dyDescent="0.25">
      <c r="G883" t="str">
        <f t="shared" si="13"/>
        <v/>
      </c>
      <c r="H883" t="s">
        <v>46</v>
      </c>
      <c r="I883" t="s">
        <v>11</v>
      </c>
      <c r="J883" t="s">
        <v>6</v>
      </c>
      <c r="K883" t="s">
        <v>26</v>
      </c>
      <c r="L883" t="s">
        <v>42</v>
      </c>
      <c r="M883" t="s">
        <v>20</v>
      </c>
      <c r="N883">
        <v>80</v>
      </c>
      <c r="O883">
        <v>6</v>
      </c>
      <c r="P883">
        <v>7066.3700000000026</v>
      </c>
      <c r="Q883">
        <v>0</v>
      </c>
    </row>
    <row r="884" spans="7:17" x14ac:dyDescent="0.25">
      <c r="G884" t="str">
        <f t="shared" si="13"/>
        <v/>
      </c>
      <c r="H884" t="s">
        <v>46</v>
      </c>
      <c r="I884" t="s">
        <v>11</v>
      </c>
      <c r="J884" t="s">
        <v>6</v>
      </c>
      <c r="K884" t="s">
        <v>26</v>
      </c>
      <c r="L884" t="s">
        <v>43</v>
      </c>
      <c r="M884" t="s">
        <v>19</v>
      </c>
      <c r="N884">
        <v>342</v>
      </c>
      <c r="O884">
        <v>11</v>
      </c>
      <c r="P884">
        <v>232167.03000000032</v>
      </c>
      <c r="Q884">
        <v>192340.15000000049</v>
      </c>
    </row>
    <row r="885" spans="7:17" x14ac:dyDescent="0.25">
      <c r="G885" t="str">
        <f t="shared" si="13"/>
        <v/>
      </c>
      <c r="H885" t="s">
        <v>46</v>
      </c>
      <c r="I885" t="s">
        <v>11</v>
      </c>
      <c r="J885" t="s">
        <v>6</v>
      </c>
      <c r="K885" t="s">
        <v>26</v>
      </c>
      <c r="L885" t="s">
        <v>43</v>
      </c>
      <c r="M885" t="s">
        <v>20</v>
      </c>
      <c r="N885">
        <v>43</v>
      </c>
      <c r="O885">
        <v>5</v>
      </c>
      <c r="P885">
        <v>19407.240000000009</v>
      </c>
      <c r="Q885">
        <v>0</v>
      </c>
    </row>
    <row r="886" spans="7:17" x14ac:dyDescent="0.25">
      <c r="G886" t="str">
        <f t="shared" si="13"/>
        <v/>
      </c>
      <c r="H886" t="s">
        <v>46</v>
      </c>
      <c r="I886" t="s">
        <v>11</v>
      </c>
      <c r="J886" t="s">
        <v>6</v>
      </c>
      <c r="K886" t="s">
        <v>26</v>
      </c>
      <c r="L886" t="s">
        <v>44</v>
      </c>
      <c r="M886" t="s">
        <v>19</v>
      </c>
      <c r="N886">
        <v>24</v>
      </c>
      <c r="O886">
        <v>5</v>
      </c>
      <c r="P886">
        <v>24346.02</v>
      </c>
      <c r="Q886">
        <v>15815.99</v>
      </c>
    </row>
    <row r="887" spans="7:17" x14ac:dyDescent="0.25">
      <c r="G887" t="str">
        <f t="shared" si="13"/>
        <v/>
      </c>
      <c r="H887" t="s">
        <v>46</v>
      </c>
      <c r="I887" t="s">
        <v>11</v>
      </c>
      <c r="J887" t="s">
        <v>6</v>
      </c>
      <c r="K887" t="s">
        <v>26</v>
      </c>
      <c r="L887" t="s">
        <v>44</v>
      </c>
      <c r="M887" t="s">
        <v>20</v>
      </c>
      <c r="N887">
        <v>28</v>
      </c>
      <c r="O887">
        <v>8</v>
      </c>
      <c r="P887">
        <v>18775.820000000003</v>
      </c>
      <c r="Q887">
        <v>0</v>
      </c>
    </row>
    <row r="888" spans="7:17" x14ac:dyDescent="0.25">
      <c r="G888" t="str">
        <f t="shared" si="13"/>
        <v/>
      </c>
      <c r="H888" t="s">
        <v>46</v>
      </c>
      <c r="I888" t="s">
        <v>11</v>
      </c>
      <c r="J888" t="s">
        <v>6</v>
      </c>
      <c r="K888" t="s">
        <v>26</v>
      </c>
      <c r="L888" t="s">
        <v>39</v>
      </c>
      <c r="M888" t="s">
        <v>19</v>
      </c>
      <c r="N888">
        <v>281</v>
      </c>
      <c r="O888">
        <v>9</v>
      </c>
      <c r="P888">
        <v>168605.32000000018</v>
      </c>
      <c r="Q888">
        <v>142399.16000000006</v>
      </c>
    </row>
    <row r="889" spans="7:17" x14ac:dyDescent="0.25">
      <c r="G889" t="str">
        <f t="shared" si="13"/>
        <v/>
      </c>
      <c r="H889" t="s">
        <v>46</v>
      </c>
      <c r="I889" t="s">
        <v>11</v>
      </c>
      <c r="J889" t="s">
        <v>6</v>
      </c>
      <c r="K889" t="s">
        <v>26</v>
      </c>
      <c r="L889" t="s">
        <v>39</v>
      </c>
      <c r="M889" t="s">
        <v>20</v>
      </c>
      <c r="N889">
        <v>114</v>
      </c>
      <c r="O889">
        <v>15</v>
      </c>
      <c r="P889">
        <v>75241.380000000019</v>
      </c>
      <c r="Q889">
        <v>0</v>
      </c>
    </row>
    <row r="890" spans="7:17" x14ac:dyDescent="0.25">
      <c r="G890" t="str">
        <f t="shared" si="13"/>
        <v/>
      </c>
      <c r="H890" t="s">
        <v>46</v>
      </c>
      <c r="I890" t="s">
        <v>11</v>
      </c>
      <c r="J890" t="s">
        <v>6</v>
      </c>
      <c r="K890" t="s">
        <v>26</v>
      </c>
      <c r="L890" t="s">
        <v>40</v>
      </c>
      <c r="M890" t="s">
        <v>19</v>
      </c>
      <c r="N890">
        <v>2</v>
      </c>
      <c r="O890">
        <v>0</v>
      </c>
      <c r="P890">
        <v>5959.01</v>
      </c>
      <c r="Q890">
        <v>1620.03</v>
      </c>
    </row>
    <row r="891" spans="7:17" x14ac:dyDescent="0.25">
      <c r="G891" t="str">
        <f t="shared" si="13"/>
        <v/>
      </c>
      <c r="H891" t="s">
        <v>46</v>
      </c>
      <c r="I891" t="s">
        <v>11</v>
      </c>
      <c r="J891" t="s">
        <v>6</v>
      </c>
      <c r="K891" t="s">
        <v>26</v>
      </c>
      <c r="L891" t="s">
        <v>40</v>
      </c>
      <c r="M891" t="s">
        <v>20</v>
      </c>
      <c r="N891">
        <v>7</v>
      </c>
      <c r="O891">
        <v>3</v>
      </c>
      <c r="P891">
        <v>10605.06</v>
      </c>
      <c r="Q891">
        <v>0</v>
      </c>
    </row>
    <row r="892" spans="7:17" x14ac:dyDescent="0.25">
      <c r="G892" t="str">
        <f t="shared" si="13"/>
        <v/>
      </c>
      <c r="H892" t="s">
        <v>46</v>
      </c>
      <c r="I892" t="s">
        <v>11</v>
      </c>
      <c r="J892" t="s">
        <v>6</v>
      </c>
      <c r="K892" t="s">
        <v>26</v>
      </c>
      <c r="L892" t="s">
        <v>41</v>
      </c>
      <c r="M892" t="s">
        <v>19</v>
      </c>
      <c r="N892">
        <v>6</v>
      </c>
      <c r="O892">
        <v>0</v>
      </c>
      <c r="P892">
        <v>216.14999999999998</v>
      </c>
      <c r="Q892">
        <v>216.14999999999998</v>
      </c>
    </row>
    <row r="893" spans="7:17" x14ac:dyDescent="0.25">
      <c r="G893" t="str">
        <f t="shared" si="13"/>
        <v/>
      </c>
      <c r="H893" t="s">
        <v>46</v>
      </c>
      <c r="I893" t="s">
        <v>11</v>
      </c>
      <c r="J893" t="s">
        <v>6</v>
      </c>
      <c r="K893" t="s">
        <v>26</v>
      </c>
      <c r="L893" t="s">
        <v>41</v>
      </c>
      <c r="M893" t="s">
        <v>20</v>
      </c>
      <c r="N893">
        <v>2</v>
      </c>
      <c r="O893">
        <v>1</v>
      </c>
      <c r="P893">
        <v>27.91</v>
      </c>
      <c r="Q893">
        <v>0</v>
      </c>
    </row>
    <row r="894" spans="7:17" x14ac:dyDescent="0.25">
      <c r="G894" t="str">
        <f t="shared" si="13"/>
        <v/>
      </c>
      <c r="H894" t="s">
        <v>46</v>
      </c>
      <c r="I894" t="s">
        <v>11</v>
      </c>
      <c r="J894" t="s">
        <v>6</v>
      </c>
      <c r="K894" t="s">
        <v>26</v>
      </c>
      <c r="L894" t="s">
        <v>45</v>
      </c>
      <c r="M894" t="s">
        <v>19</v>
      </c>
      <c r="N894">
        <v>88</v>
      </c>
      <c r="O894">
        <v>0</v>
      </c>
      <c r="P894">
        <v>19580.769999999997</v>
      </c>
      <c r="Q894">
        <v>19580.769999999997</v>
      </c>
    </row>
    <row r="895" spans="7:17" x14ac:dyDescent="0.25">
      <c r="G895" t="str">
        <f t="shared" si="13"/>
        <v/>
      </c>
      <c r="H895" t="s">
        <v>46</v>
      </c>
      <c r="I895" t="s">
        <v>11</v>
      </c>
      <c r="J895" t="s">
        <v>6</v>
      </c>
      <c r="K895" t="s">
        <v>26</v>
      </c>
      <c r="L895" t="s">
        <v>45</v>
      </c>
      <c r="M895" t="s">
        <v>20</v>
      </c>
      <c r="N895">
        <v>31</v>
      </c>
      <c r="O895">
        <v>11</v>
      </c>
      <c r="P895">
        <v>11803.440000000004</v>
      </c>
      <c r="Q895">
        <v>0</v>
      </c>
    </row>
    <row r="896" spans="7:17" x14ac:dyDescent="0.25">
      <c r="G896" t="str">
        <f t="shared" si="13"/>
        <v/>
      </c>
      <c r="H896" t="s">
        <v>46</v>
      </c>
      <c r="I896" t="s">
        <v>11</v>
      </c>
      <c r="J896" t="s">
        <v>6</v>
      </c>
      <c r="K896" t="s">
        <v>27</v>
      </c>
      <c r="L896" t="s">
        <v>42</v>
      </c>
      <c r="M896" t="s">
        <v>19</v>
      </c>
      <c r="N896">
        <v>80</v>
      </c>
      <c r="O896">
        <v>8</v>
      </c>
      <c r="P896">
        <v>3691.8400000000011</v>
      </c>
      <c r="Q896">
        <v>3634.2000000000012</v>
      </c>
    </row>
    <row r="897" spans="7:17" x14ac:dyDescent="0.25">
      <c r="G897" t="str">
        <f t="shared" si="13"/>
        <v/>
      </c>
      <c r="H897" t="s">
        <v>46</v>
      </c>
      <c r="I897" t="s">
        <v>11</v>
      </c>
      <c r="J897" t="s">
        <v>6</v>
      </c>
      <c r="K897" t="s">
        <v>27</v>
      </c>
      <c r="L897" t="s">
        <v>42</v>
      </c>
      <c r="M897" t="s">
        <v>20</v>
      </c>
      <c r="N897">
        <v>29</v>
      </c>
      <c r="O897">
        <v>1</v>
      </c>
      <c r="P897">
        <v>49.64</v>
      </c>
      <c r="Q897">
        <v>0</v>
      </c>
    </row>
    <row r="898" spans="7:17" x14ac:dyDescent="0.25">
      <c r="G898" t="str">
        <f t="shared" ref="G898:G961" si="14">IF(G$1="Overall","Overall",IF(G$1=L898,L898,""))</f>
        <v/>
      </c>
      <c r="H898" t="s">
        <v>46</v>
      </c>
      <c r="I898" t="s">
        <v>11</v>
      </c>
      <c r="J898" t="s">
        <v>6</v>
      </c>
      <c r="K898" t="s">
        <v>27</v>
      </c>
      <c r="L898" t="s">
        <v>43</v>
      </c>
      <c r="M898" t="s">
        <v>19</v>
      </c>
      <c r="N898">
        <v>21</v>
      </c>
      <c r="O898">
        <v>2</v>
      </c>
      <c r="P898">
        <v>12952.449999999999</v>
      </c>
      <c r="Q898">
        <v>10050.75</v>
      </c>
    </row>
    <row r="899" spans="7:17" x14ac:dyDescent="0.25">
      <c r="G899" t="str">
        <f t="shared" si="14"/>
        <v/>
      </c>
      <c r="H899" t="s">
        <v>46</v>
      </c>
      <c r="I899" t="s">
        <v>11</v>
      </c>
      <c r="J899" t="s">
        <v>6</v>
      </c>
      <c r="K899" t="s">
        <v>27</v>
      </c>
      <c r="L899" t="s">
        <v>43</v>
      </c>
      <c r="M899" t="s">
        <v>20</v>
      </c>
      <c r="N899">
        <v>12</v>
      </c>
      <c r="O899">
        <v>1</v>
      </c>
      <c r="P899">
        <v>1282.3400000000001</v>
      </c>
      <c r="Q899">
        <v>0</v>
      </c>
    </row>
    <row r="900" spans="7:17" x14ac:dyDescent="0.25">
      <c r="G900" t="str">
        <f t="shared" si="14"/>
        <v/>
      </c>
      <c r="H900" t="s">
        <v>46</v>
      </c>
      <c r="I900" t="s">
        <v>11</v>
      </c>
      <c r="J900" t="s">
        <v>6</v>
      </c>
      <c r="K900" t="s">
        <v>27</v>
      </c>
      <c r="L900" t="s">
        <v>44</v>
      </c>
      <c r="M900" t="s">
        <v>19</v>
      </c>
      <c r="N900">
        <v>28</v>
      </c>
      <c r="O900">
        <v>2</v>
      </c>
      <c r="P900">
        <v>17773.189999999999</v>
      </c>
      <c r="Q900">
        <v>10567.43</v>
      </c>
    </row>
    <row r="901" spans="7:17" x14ac:dyDescent="0.25">
      <c r="G901" t="str">
        <f t="shared" si="14"/>
        <v/>
      </c>
      <c r="H901" t="s">
        <v>46</v>
      </c>
      <c r="I901" t="s">
        <v>11</v>
      </c>
      <c r="J901" t="s">
        <v>6</v>
      </c>
      <c r="K901" t="s">
        <v>27</v>
      </c>
      <c r="L901" t="s">
        <v>44</v>
      </c>
      <c r="M901" t="s">
        <v>20</v>
      </c>
      <c r="N901">
        <v>2</v>
      </c>
      <c r="O901">
        <v>2</v>
      </c>
      <c r="P901">
        <v>1294.3399999999999</v>
      </c>
      <c r="Q901">
        <v>0</v>
      </c>
    </row>
    <row r="902" spans="7:17" x14ac:dyDescent="0.25">
      <c r="G902" t="str">
        <f t="shared" si="14"/>
        <v/>
      </c>
      <c r="H902" t="s">
        <v>46</v>
      </c>
      <c r="I902" t="s">
        <v>11</v>
      </c>
      <c r="J902" t="s">
        <v>6</v>
      </c>
      <c r="K902" t="s">
        <v>27</v>
      </c>
      <c r="L902" t="s">
        <v>40</v>
      </c>
      <c r="M902" t="s">
        <v>20</v>
      </c>
      <c r="N902">
        <v>1</v>
      </c>
      <c r="O902">
        <v>0</v>
      </c>
      <c r="P902">
        <v>183.15</v>
      </c>
      <c r="Q902">
        <v>0</v>
      </c>
    </row>
    <row r="903" spans="7:17" x14ac:dyDescent="0.25">
      <c r="G903" t="str">
        <f t="shared" si="14"/>
        <v/>
      </c>
      <c r="H903" t="s">
        <v>46</v>
      </c>
      <c r="I903" t="s">
        <v>11</v>
      </c>
      <c r="J903" t="s">
        <v>6</v>
      </c>
      <c r="K903" t="s">
        <v>27</v>
      </c>
      <c r="L903" t="s">
        <v>41</v>
      </c>
      <c r="M903" t="s">
        <v>19</v>
      </c>
      <c r="N903">
        <v>6</v>
      </c>
      <c r="O903">
        <v>0</v>
      </c>
      <c r="P903">
        <v>2580.15</v>
      </c>
      <c r="Q903">
        <v>2580.15</v>
      </c>
    </row>
    <row r="904" spans="7:17" x14ac:dyDescent="0.25">
      <c r="G904" t="str">
        <f t="shared" si="14"/>
        <v/>
      </c>
      <c r="H904" t="s">
        <v>46</v>
      </c>
      <c r="I904" t="s">
        <v>11</v>
      </c>
      <c r="J904" t="s">
        <v>6</v>
      </c>
      <c r="K904" t="s">
        <v>27</v>
      </c>
      <c r="L904" t="s">
        <v>45</v>
      </c>
      <c r="M904" t="s">
        <v>19</v>
      </c>
      <c r="N904">
        <v>4</v>
      </c>
      <c r="O904">
        <v>1</v>
      </c>
      <c r="P904">
        <v>1313.76</v>
      </c>
      <c r="Q904">
        <v>1312.42</v>
      </c>
    </row>
    <row r="905" spans="7:17" x14ac:dyDescent="0.25">
      <c r="G905" t="str">
        <f t="shared" si="14"/>
        <v/>
      </c>
      <c r="H905" t="s">
        <v>46</v>
      </c>
      <c r="I905" t="s">
        <v>11</v>
      </c>
      <c r="J905" t="s">
        <v>6</v>
      </c>
      <c r="K905" t="s">
        <v>27</v>
      </c>
      <c r="L905" t="s">
        <v>45</v>
      </c>
      <c r="M905" t="s">
        <v>20</v>
      </c>
      <c r="N905">
        <v>7</v>
      </c>
      <c r="O905">
        <v>3</v>
      </c>
      <c r="P905">
        <v>1229.43</v>
      </c>
      <c r="Q905">
        <v>0</v>
      </c>
    </row>
    <row r="906" spans="7:17" x14ac:dyDescent="0.25">
      <c r="G906" t="str">
        <f t="shared" si="14"/>
        <v/>
      </c>
      <c r="H906" t="s">
        <v>46</v>
      </c>
      <c r="I906" t="s">
        <v>11</v>
      </c>
      <c r="J906" t="s">
        <v>6</v>
      </c>
      <c r="K906" t="s">
        <v>28</v>
      </c>
      <c r="L906" t="s">
        <v>42</v>
      </c>
      <c r="M906" t="s">
        <v>19</v>
      </c>
      <c r="N906">
        <v>252</v>
      </c>
      <c r="O906">
        <v>13</v>
      </c>
      <c r="P906">
        <v>32559.100000000006</v>
      </c>
      <c r="Q906">
        <v>32558.940000000006</v>
      </c>
    </row>
    <row r="907" spans="7:17" x14ac:dyDescent="0.25">
      <c r="G907" t="str">
        <f t="shared" si="14"/>
        <v/>
      </c>
      <c r="H907" t="s">
        <v>46</v>
      </c>
      <c r="I907" t="s">
        <v>11</v>
      </c>
      <c r="J907" t="s">
        <v>6</v>
      </c>
      <c r="K907" t="s">
        <v>28</v>
      </c>
      <c r="L907" t="s">
        <v>42</v>
      </c>
      <c r="M907" t="s">
        <v>20</v>
      </c>
      <c r="N907">
        <v>66</v>
      </c>
      <c r="O907">
        <v>7</v>
      </c>
      <c r="P907">
        <v>9618.26</v>
      </c>
      <c r="Q907">
        <v>0</v>
      </c>
    </row>
    <row r="908" spans="7:17" x14ac:dyDescent="0.25">
      <c r="G908" t="str">
        <f t="shared" si="14"/>
        <v/>
      </c>
      <c r="H908" t="s">
        <v>46</v>
      </c>
      <c r="I908" t="s">
        <v>11</v>
      </c>
      <c r="J908" t="s">
        <v>6</v>
      </c>
      <c r="K908" t="s">
        <v>28</v>
      </c>
      <c r="L908" t="s">
        <v>43</v>
      </c>
      <c r="M908" t="s">
        <v>19</v>
      </c>
      <c r="N908">
        <v>246</v>
      </c>
      <c r="O908">
        <v>7</v>
      </c>
      <c r="P908">
        <v>158259.15000000026</v>
      </c>
      <c r="Q908">
        <v>153131.75000000026</v>
      </c>
    </row>
    <row r="909" spans="7:17" x14ac:dyDescent="0.25">
      <c r="G909" t="str">
        <f t="shared" si="14"/>
        <v/>
      </c>
      <c r="H909" t="s">
        <v>46</v>
      </c>
      <c r="I909" t="s">
        <v>11</v>
      </c>
      <c r="J909" t="s">
        <v>6</v>
      </c>
      <c r="K909" t="s">
        <v>28</v>
      </c>
      <c r="L909" t="s">
        <v>43</v>
      </c>
      <c r="M909" t="s">
        <v>20</v>
      </c>
      <c r="N909">
        <v>18</v>
      </c>
      <c r="O909">
        <v>2</v>
      </c>
      <c r="P909">
        <v>4984.43</v>
      </c>
      <c r="Q909">
        <v>0</v>
      </c>
    </row>
    <row r="910" spans="7:17" x14ac:dyDescent="0.25">
      <c r="G910" t="str">
        <f t="shared" si="14"/>
        <v/>
      </c>
      <c r="H910" t="s">
        <v>46</v>
      </c>
      <c r="I910" t="s">
        <v>11</v>
      </c>
      <c r="J910" t="s">
        <v>6</v>
      </c>
      <c r="K910" t="s">
        <v>28</v>
      </c>
      <c r="L910" t="s">
        <v>44</v>
      </c>
      <c r="M910" t="s">
        <v>19</v>
      </c>
      <c r="N910">
        <v>6</v>
      </c>
      <c r="O910">
        <v>4</v>
      </c>
      <c r="P910">
        <v>6902.0099999999993</v>
      </c>
      <c r="Q910">
        <v>6005.4699999999993</v>
      </c>
    </row>
    <row r="911" spans="7:17" x14ac:dyDescent="0.25">
      <c r="G911" t="str">
        <f t="shared" si="14"/>
        <v/>
      </c>
      <c r="H911" t="s">
        <v>46</v>
      </c>
      <c r="I911" t="s">
        <v>11</v>
      </c>
      <c r="J911" t="s">
        <v>6</v>
      </c>
      <c r="K911" t="s">
        <v>28</v>
      </c>
      <c r="L911" t="s">
        <v>44</v>
      </c>
      <c r="M911" t="s">
        <v>20</v>
      </c>
      <c r="N911">
        <v>6</v>
      </c>
      <c r="O911">
        <v>3</v>
      </c>
      <c r="P911">
        <v>4599.13</v>
      </c>
      <c r="Q911">
        <v>0</v>
      </c>
    </row>
    <row r="912" spans="7:17" x14ac:dyDescent="0.25">
      <c r="G912" t="str">
        <f t="shared" si="14"/>
        <v/>
      </c>
      <c r="H912" t="s">
        <v>46</v>
      </c>
      <c r="I912" t="s">
        <v>11</v>
      </c>
      <c r="J912" t="s">
        <v>6</v>
      </c>
      <c r="K912" t="s">
        <v>28</v>
      </c>
      <c r="L912" t="s">
        <v>39</v>
      </c>
      <c r="M912" t="s">
        <v>19</v>
      </c>
      <c r="N912">
        <v>1</v>
      </c>
      <c r="O912">
        <v>1</v>
      </c>
      <c r="P912">
        <v>972.55</v>
      </c>
      <c r="Q912">
        <v>410.87</v>
      </c>
    </row>
    <row r="913" spans="7:17" x14ac:dyDescent="0.25">
      <c r="G913" t="str">
        <f t="shared" si="14"/>
        <v/>
      </c>
      <c r="H913" t="s">
        <v>46</v>
      </c>
      <c r="I913" t="s">
        <v>11</v>
      </c>
      <c r="J913" t="s">
        <v>6</v>
      </c>
      <c r="K913" t="s">
        <v>28</v>
      </c>
      <c r="L913" t="s">
        <v>39</v>
      </c>
      <c r="M913" t="s">
        <v>20</v>
      </c>
      <c r="N913">
        <v>8</v>
      </c>
      <c r="O913">
        <v>6</v>
      </c>
      <c r="P913">
        <v>7330.03</v>
      </c>
      <c r="Q913">
        <v>0</v>
      </c>
    </row>
    <row r="914" spans="7:17" x14ac:dyDescent="0.25">
      <c r="G914" t="str">
        <f t="shared" si="14"/>
        <v/>
      </c>
      <c r="H914" t="s">
        <v>46</v>
      </c>
      <c r="I914" t="s">
        <v>11</v>
      </c>
      <c r="J914" t="s">
        <v>6</v>
      </c>
      <c r="K914" t="s">
        <v>28</v>
      </c>
      <c r="L914" t="s">
        <v>45</v>
      </c>
      <c r="M914" t="s">
        <v>19</v>
      </c>
      <c r="N914">
        <v>3</v>
      </c>
      <c r="O914">
        <v>0</v>
      </c>
      <c r="P914">
        <v>1230.52</v>
      </c>
      <c r="Q914">
        <v>1230.52</v>
      </c>
    </row>
    <row r="915" spans="7:17" x14ac:dyDescent="0.25">
      <c r="G915" t="str">
        <f t="shared" si="14"/>
        <v/>
      </c>
      <c r="H915" t="s">
        <v>46</v>
      </c>
      <c r="I915" t="s">
        <v>11</v>
      </c>
      <c r="J915" t="s">
        <v>6</v>
      </c>
      <c r="K915" t="s">
        <v>28</v>
      </c>
      <c r="L915" t="s">
        <v>45</v>
      </c>
      <c r="M915" t="s">
        <v>20</v>
      </c>
      <c r="N915">
        <v>18</v>
      </c>
      <c r="O915">
        <v>5</v>
      </c>
      <c r="P915">
        <v>13894.069999999998</v>
      </c>
      <c r="Q915">
        <v>0</v>
      </c>
    </row>
    <row r="916" spans="7:17" x14ac:dyDescent="0.25">
      <c r="G916" t="str">
        <f t="shared" si="14"/>
        <v/>
      </c>
      <c r="H916" t="s">
        <v>46</v>
      </c>
      <c r="I916" t="s">
        <v>11</v>
      </c>
      <c r="J916" t="s">
        <v>6</v>
      </c>
      <c r="K916" t="s">
        <v>29</v>
      </c>
      <c r="L916" t="s">
        <v>42</v>
      </c>
      <c r="M916" t="s">
        <v>19</v>
      </c>
      <c r="N916">
        <v>147</v>
      </c>
      <c r="O916">
        <v>17</v>
      </c>
      <c r="P916">
        <v>23835.329999999994</v>
      </c>
      <c r="Q916">
        <v>23630.899999999994</v>
      </c>
    </row>
    <row r="917" spans="7:17" x14ac:dyDescent="0.25">
      <c r="G917" t="str">
        <f t="shared" si="14"/>
        <v/>
      </c>
      <c r="H917" t="s">
        <v>46</v>
      </c>
      <c r="I917" t="s">
        <v>11</v>
      </c>
      <c r="J917" t="s">
        <v>6</v>
      </c>
      <c r="K917" t="s">
        <v>29</v>
      </c>
      <c r="L917" t="s">
        <v>42</v>
      </c>
      <c r="M917" t="s">
        <v>20</v>
      </c>
      <c r="N917">
        <v>6</v>
      </c>
      <c r="O917">
        <v>1</v>
      </c>
      <c r="P917">
        <v>1349.4799999999998</v>
      </c>
      <c r="Q917">
        <v>0</v>
      </c>
    </row>
    <row r="918" spans="7:17" x14ac:dyDescent="0.25">
      <c r="G918" t="str">
        <f t="shared" si="14"/>
        <v/>
      </c>
      <c r="H918" t="s">
        <v>46</v>
      </c>
      <c r="I918" t="s">
        <v>11</v>
      </c>
      <c r="J918" t="s">
        <v>6</v>
      </c>
      <c r="K918" t="s">
        <v>29</v>
      </c>
      <c r="L918" t="s">
        <v>43</v>
      </c>
      <c r="M918" t="s">
        <v>19</v>
      </c>
      <c r="N918">
        <v>12</v>
      </c>
      <c r="O918">
        <v>3</v>
      </c>
      <c r="P918">
        <v>8671.9300000000021</v>
      </c>
      <c r="Q918">
        <v>8670.9700000000012</v>
      </c>
    </row>
    <row r="919" spans="7:17" x14ac:dyDescent="0.25">
      <c r="G919" t="str">
        <f t="shared" si="14"/>
        <v/>
      </c>
      <c r="H919" t="s">
        <v>46</v>
      </c>
      <c r="I919" t="s">
        <v>11</v>
      </c>
      <c r="J919" t="s">
        <v>6</v>
      </c>
      <c r="K919" t="s">
        <v>29</v>
      </c>
      <c r="L919" t="s">
        <v>43</v>
      </c>
      <c r="M919" t="s">
        <v>20</v>
      </c>
      <c r="N919">
        <v>9</v>
      </c>
      <c r="O919">
        <v>2</v>
      </c>
      <c r="P919">
        <v>3585.37</v>
      </c>
      <c r="Q919">
        <v>0</v>
      </c>
    </row>
    <row r="920" spans="7:17" x14ac:dyDescent="0.25">
      <c r="G920" t="str">
        <f t="shared" si="14"/>
        <v/>
      </c>
      <c r="H920" t="s">
        <v>46</v>
      </c>
      <c r="I920" t="s">
        <v>11</v>
      </c>
      <c r="J920" t="s">
        <v>6</v>
      </c>
      <c r="K920" t="s">
        <v>29</v>
      </c>
      <c r="L920" t="s">
        <v>44</v>
      </c>
      <c r="M920" t="s">
        <v>19</v>
      </c>
      <c r="N920">
        <v>9</v>
      </c>
      <c r="O920">
        <v>5</v>
      </c>
      <c r="P920">
        <v>7636.28</v>
      </c>
      <c r="Q920">
        <v>6595.1399999999994</v>
      </c>
    </row>
    <row r="921" spans="7:17" x14ac:dyDescent="0.25">
      <c r="G921" t="str">
        <f t="shared" si="14"/>
        <v/>
      </c>
      <c r="H921" t="s">
        <v>46</v>
      </c>
      <c r="I921" t="s">
        <v>11</v>
      </c>
      <c r="J921" t="s">
        <v>6</v>
      </c>
      <c r="K921" t="s">
        <v>29</v>
      </c>
      <c r="L921" t="s">
        <v>44</v>
      </c>
      <c r="M921" t="s">
        <v>20</v>
      </c>
      <c r="N921">
        <v>6</v>
      </c>
      <c r="O921">
        <v>3</v>
      </c>
      <c r="P921">
        <v>2600.8199999999997</v>
      </c>
      <c r="Q921">
        <v>0</v>
      </c>
    </row>
    <row r="922" spans="7:17" x14ac:dyDescent="0.25">
      <c r="G922" t="str">
        <f t="shared" si="14"/>
        <v/>
      </c>
      <c r="H922" t="s">
        <v>46</v>
      </c>
      <c r="I922" t="s">
        <v>11</v>
      </c>
      <c r="J922" t="s">
        <v>6</v>
      </c>
      <c r="K922" t="s">
        <v>29</v>
      </c>
      <c r="L922" t="s">
        <v>39</v>
      </c>
      <c r="M922" t="s">
        <v>19</v>
      </c>
      <c r="N922">
        <v>6</v>
      </c>
      <c r="O922">
        <v>2</v>
      </c>
      <c r="P922">
        <v>5650.32</v>
      </c>
      <c r="Q922">
        <v>4001.33</v>
      </c>
    </row>
    <row r="923" spans="7:17" x14ac:dyDescent="0.25">
      <c r="G923" t="str">
        <f t="shared" si="14"/>
        <v/>
      </c>
      <c r="H923" t="s">
        <v>46</v>
      </c>
      <c r="I923" t="s">
        <v>11</v>
      </c>
      <c r="J923" t="s">
        <v>6</v>
      </c>
      <c r="K923" t="s">
        <v>29</v>
      </c>
      <c r="L923" t="s">
        <v>39</v>
      </c>
      <c r="M923" t="s">
        <v>20</v>
      </c>
      <c r="N923">
        <v>1</v>
      </c>
      <c r="O923">
        <v>1</v>
      </c>
      <c r="P923">
        <v>465.08</v>
      </c>
      <c r="Q923">
        <v>0</v>
      </c>
    </row>
    <row r="924" spans="7:17" x14ac:dyDescent="0.25">
      <c r="G924" t="str">
        <f t="shared" si="14"/>
        <v/>
      </c>
      <c r="H924" t="s">
        <v>46</v>
      </c>
      <c r="I924" t="s">
        <v>11</v>
      </c>
      <c r="J924" t="s">
        <v>6</v>
      </c>
      <c r="K924" t="s">
        <v>29</v>
      </c>
      <c r="L924" t="s">
        <v>40</v>
      </c>
      <c r="M924" t="s">
        <v>19</v>
      </c>
      <c r="N924">
        <v>1</v>
      </c>
      <c r="O924">
        <v>0</v>
      </c>
      <c r="P924">
        <v>2684.03</v>
      </c>
      <c r="Q924">
        <v>2684</v>
      </c>
    </row>
    <row r="925" spans="7:17" x14ac:dyDescent="0.25">
      <c r="G925" t="str">
        <f t="shared" si="14"/>
        <v/>
      </c>
      <c r="H925" t="s">
        <v>46</v>
      </c>
      <c r="I925" t="s">
        <v>11</v>
      </c>
      <c r="J925" t="s">
        <v>6</v>
      </c>
      <c r="K925" t="s">
        <v>29</v>
      </c>
      <c r="L925" t="s">
        <v>40</v>
      </c>
      <c r="M925" t="s">
        <v>20</v>
      </c>
      <c r="N925">
        <v>2</v>
      </c>
      <c r="O925">
        <v>2</v>
      </c>
      <c r="P925">
        <v>1565.9099999999999</v>
      </c>
      <c r="Q925">
        <v>0</v>
      </c>
    </row>
    <row r="926" spans="7:17" x14ac:dyDescent="0.25">
      <c r="G926" t="str">
        <f t="shared" si="14"/>
        <v/>
      </c>
      <c r="H926" t="s">
        <v>46</v>
      </c>
      <c r="I926" t="s">
        <v>11</v>
      </c>
      <c r="J926" t="s">
        <v>6</v>
      </c>
      <c r="K926" t="s">
        <v>29</v>
      </c>
      <c r="L926" t="s">
        <v>41</v>
      </c>
      <c r="M926" t="s">
        <v>20</v>
      </c>
      <c r="N926">
        <v>2</v>
      </c>
      <c r="O926">
        <v>0</v>
      </c>
      <c r="P926">
        <v>1259.31</v>
      </c>
      <c r="Q926">
        <v>0</v>
      </c>
    </row>
    <row r="927" spans="7:17" x14ac:dyDescent="0.25">
      <c r="G927" t="str">
        <f t="shared" si="14"/>
        <v/>
      </c>
      <c r="H927" t="s">
        <v>46</v>
      </c>
      <c r="I927" t="s">
        <v>11</v>
      </c>
      <c r="J927" t="s">
        <v>6</v>
      </c>
      <c r="K927" t="s">
        <v>29</v>
      </c>
      <c r="L927" t="s">
        <v>45</v>
      </c>
      <c r="M927" t="s">
        <v>20</v>
      </c>
      <c r="N927">
        <v>36</v>
      </c>
      <c r="O927">
        <v>10</v>
      </c>
      <c r="P927">
        <v>30809.48</v>
      </c>
      <c r="Q927">
        <v>0</v>
      </c>
    </row>
    <row r="928" spans="7:17" x14ac:dyDescent="0.25">
      <c r="G928" t="str">
        <f t="shared" si="14"/>
        <v/>
      </c>
      <c r="H928" t="s">
        <v>46</v>
      </c>
      <c r="I928" t="s">
        <v>11</v>
      </c>
      <c r="J928" t="s">
        <v>6</v>
      </c>
      <c r="K928" t="s">
        <v>30</v>
      </c>
      <c r="L928" t="s">
        <v>42</v>
      </c>
      <c r="M928" t="s">
        <v>19</v>
      </c>
      <c r="N928">
        <v>8</v>
      </c>
      <c r="O928">
        <v>1</v>
      </c>
      <c r="P928">
        <v>5.77</v>
      </c>
      <c r="Q928">
        <v>5.77</v>
      </c>
    </row>
    <row r="929" spans="7:17" x14ac:dyDescent="0.25">
      <c r="G929" t="str">
        <f t="shared" si="14"/>
        <v/>
      </c>
      <c r="H929" t="s">
        <v>46</v>
      </c>
      <c r="I929" t="s">
        <v>11</v>
      </c>
      <c r="J929" t="s">
        <v>6</v>
      </c>
      <c r="K929" t="s">
        <v>30</v>
      </c>
      <c r="L929" t="s">
        <v>43</v>
      </c>
      <c r="M929" t="s">
        <v>20</v>
      </c>
      <c r="N929">
        <v>3</v>
      </c>
      <c r="O929">
        <v>0</v>
      </c>
      <c r="P929">
        <v>907.45</v>
      </c>
      <c r="Q929">
        <v>0</v>
      </c>
    </row>
    <row r="930" spans="7:17" x14ac:dyDescent="0.25">
      <c r="G930" t="str">
        <f t="shared" si="14"/>
        <v/>
      </c>
      <c r="H930" t="s">
        <v>46</v>
      </c>
      <c r="I930" t="s">
        <v>11</v>
      </c>
      <c r="J930" t="s">
        <v>6</v>
      </c>
      <c r="K930" t="s">
        <v>30</v>
      </c>
      <c r="L930" t="s">
        <v>44</v>
      </c>
      <c r="M930" t="s">
        <v>20</v>
      </c>
      <c r="N930">
        <v>1</v>
      </c>
      <c r="O930">
        <v>0</v>
      </c>
      <c r="P930">
        <v>604.63</v>
      </c>
      <c r="Q930">
        <v>0</v>
      </c>
    </row>
    <row r="931" spans="7:17" x14ac:dyDescent="0.25">
      <c r="G931" t="str">
        <f t="shared" si="14"/>
        <v/>
      </c>
      <c r="H931" t="s">
        <v>46</v>
      </c>
      <c r="I931" t="s">
        <v>11</v>
      </c>
      <c r="J931" t="s">
        <v>6</v>
      </c>
      <c r="K931" t="s">
        <v>30</v>
      </c>
      <c r="L931" t="s">
        <v>39</v>
      </c>
      <c r="M931" t="s">
        <v>20</v>
      </c>
      <c r="N931">
        <v>1</v>
      </c>
      <c r="O931">
        <v>1</v>
      </c>
      <c r="P931">
        <v>1268.83</v>
      </c>
      <c r="Q931">
        <v>0</v>
      </c>
    </row>
    <row r="932" spans="7:17" x14ac:dyDescent="0.25">
      <c r="G932" t="str">
        <f t="shared" si="14"/>
        <v/>
      </c>
      <c r="H932" t="s">
        <v>46</v>
      </c>
      <c r="I932" t="s">
        <v>11</v>
      </c>
      <c r="J932" t="s">
        <v>6</v>
      </c>
      <c r="K932" t="s">
        <v>30</v>
      </c>
      <c r="L932" t="s">
        <v>40</v>
      </c>
      <c r="M932" t="s">
        <v>20</v>
      </c>
      <c r="N932">
        <v>3</v>
      </c>
      <c r="O932">
        <v>0</v>
      </c>
      <c r="P932">
        <v>296</v>
      </c>
      <c r="Q932">
        <v>0</v>
      </c>
    </row>
    <row r="933" spans="7:17" x14ac:dyDescent="0.25">
      <c r="G933" t="str">
        <f t="shared" si="14"/>
        <v/>
      </c>
      <c r="H933" t="s">
        <v>46</v>
      </c>
      <c r="I933" t="s">
        <v>11</v>
      </c>
      <c r="J933" t="s">
        <v>6</v>
      </c>
      <c r="K933" t="s">
        <v>31</v>
      </c>
      <c r="L933" t="s">
        <v>42</v>
      </c>
      <c r="M933" t="s">
        <v>19</v>
      </c>
      <c r="N933">
        <v>52</v>
      </c>
      <c r="O933">
        <v>0</v>
      </c>
      <c r="P933">
        <v>8260.89</v>
      </c>
      <c r="Q933">
        <v>8260.89</v>
      </c>
    </row>
    <row r="934" spans="7:17" x14ac:dyDescent="0.25">
      <c r="G934" t="str">
        <f t="shared" si="14"/>
        <v/>
      </c>
      <c r="H934" t="s">
        <v>46</v>
      </c>
      <c r="I934" t="s">
        <v>11</v>
      </c>
      <c r="J934" t="s">
        <v>6</v>
      </c>
      <c r="K934" t="s">
        <v>31</v>
      </c>
      <c r="L934" t="s">
        <v>42</v>
      </c>
      <c r="M934" t="s">
        <v>20</v>
      </c>
      <c r="N934">
        <v>46</v>
      </c>
      <c r="O934">
        <v>0</v>
      </c>
      <c r="P934">
        <v>11.01</v>
      </c>
      <c r="Q934">
        <v>0</v>
      </c>
    </row>
    <row r="935" spans="7:17" x14ac:dyDescent="0.25">
      <c r="G935" t="str">
        <f t="shared" si="14"/>
        <v/>
      </c>
      <c r="H935" t="s">
        <v>46</v>
      </c>
      <c r="I935" t="s">
        <v>11</v>
      </c>
      <c r="J935" t="s">
        <v>6</v>
      </c>
      <c r="K935" t="s">
        <v>31</v>
      </c>
      <c r="L935" t="s">
        <v>43</v>
      </c>
      <c r="M935" t="s">
        <v>19</v>
      </c>
      <c r="N935">
        <v>13</v>
      </c>
      <c r="O935">
        <v>1</v>
      </c>
      <c r="P935">
        <v>5662.3</v>
      </c>
      <c r="Q935">
        <v>5662.3</v>
      </c>
    </row>
    <row r="936" spans="7:17" x14ac:dyDescent="0.25">
      <c r="G936" t="str">
        <f t="shared" si="14"/>
        <v/>
      </c>
      <c r="H936" t="s">
        <v>46</v>
      </c>
      <c r="I936" t="s">
        <v>11</v>
      </c>
      <c r="J936" t="s">
        <v>6</v>
      </c>
      <c r="K936" t="s">
        <v>31</v>
      </c>
      <c r="L936" t="s">
        <v>43</v>
      </c>
      <c r="M936" t="s">
        <v>20</v>
      </c>
      <c r="N936">
        <v>1</v>
      </c>
      <c r="O936">
        <v>0</v>
      </c>
      <c r="P936">
        <v>823.21</v>
      </c>
      <c r="Q936">
        <v>0</v>
      </c>
    </row>
    <row r="937" spans="7:17" x14ac:dyDescent="0.25">
      <c r="G937" t="str">
        <f t="shared" si="14"/>
        <v/>
      </c>
      <c r="H937" t="s">
        <v>46</v>
      </c>
      <c r="I937" t="s">
        <v>11</v>
      </c>
      <c r="J937" t="s">
        <v>6</v>
      </c>
      <c r="K937" t="s">
        <v>31</v>
      </c>
      <c r="L937" t="s">
        <v>44</v>
      </c>
      <c r="M937" t="s">
        <v>20</v>
      </c>
      <c r="N937">
        <v>3</v>
      </c>
      <c r="O937">
        <v>1</v>
      </c>
      <c r="P937">
        <v>1622.48</v>
      </c>
      <c r="Q937">
        <v>0</v>
      </c>
    </row>
    <row r="938" spans="7:17" x14ac:dyDescent="0.25">
      <c r="G938" t="str">
        <f t="shared" si="14"/>
        <v/>
      </c>
      <c r="H938" t="s">
        <v>46</v>
      </c>
      <c r="I938" t="s">
        <v>11</v>
      </c>
      <c r="J938" t="s">
        <v>6</v>
      </c>
      <c r="K938" t="s">
        <v>31</v>
      </c>
      <c r="L938" t="s">
        <v>41</v>
      </c>
      <c r="M938" t="s">
        <v>20</v>
      </c>
      <c r="N938">
        <v>1</v>
      </c>
      <c r="O938">
        <v>0</v>
      </c>
      <c r="P938">
        <v>890.55</v>
      </c>
      <c r="Q938">
        <v>0</v>
      </c>
    </row>
    <row r="939" spans="7:17" x14ac:dyDescent="0.25">
      <c r="G939" t="str">
        <f t="shared" si="14"/>
        <v/>
      </c>
      <c r="H939" t="s">
        <v>46</v>
      </c>
      <c r="I939" t="s">
        <v>11</v>
      </c>
      <c r="J939" t="s">
        <v>6</v>
      </c>
      <c r="K939" t="s">
        <v>32</v>
      </c>
      <c r="L939" t="s">
        <v>42</v>
      </c>
      <c r="M939" t="s">
        <v>19</v>
      </c>
      <c r="N939">
        <v>667</v>
      </c>
      <c r="O939">
        <v>3</v>
      </c>
      <c r="P939">
        <v>167268.55000000019</v>
      </c>
      <c r="Q939">
        <v>167246.50000000017</v>
      </c>
    </row>
    <row r="940" spans="7:17" x14ac:dyDescent="0.25">
      <c r="G940" t="str">
        <f t="shared" si="14"/>
        <v/>
      </c>
      <c r="H940" t="s">
        <v>46</v>
      </c>
      <c r="I940" t="s">
        <v>11</v>
      </c>
      <c r="J940" t="s">
        <v>6</v>
      </c>
      <c r="K940" t="s">
        <v>32</v>
      </c>
      <c r="L940" t="s">
        <v>42</v>
      </c>
      <c r="M940" t="s">
        <v>20</v>
      </c>
      <c r="N940">
        <v>174</v>
      </c>
      <c r="O940">
        <v>0</v>
      </c>
      <c r="P940">
        <v>31177.989999999972</v>
      </c>
      <c r="Q940">
        <v>0</v>
      </c>
    </row>
    <row r="941" spans="7:17" x14ac:dyDescent="0.25">
      <c r="G941" t="str">
        <f t="shared" si="14"/>
        <v/>
      </c>
      <c r="H941" t="s">
        <v>46</v>
      </c>
      <c r="I941" t="s">
        <v>11</v>
      </c>
      <c r="J941" t="s">
        <v>6</v>
      </c>
      <c r="K941" t="s">
        <v>32</v>
      </c>
      <c r="L941" t="s">
        <v>43</v>
      </c>
      <c r="M941" t="s">
        <v>19</v>
      </c>
      <c r="N941">
        <v>255</v>
      </c>
      <c r="O941">
        <v>0</v>
      </c>
      <c r="P941">
        <v>119808.91999999998</v>
      </c>
      <c r="Q941">
        <v>102498.12000000011</v>
      </c>
    </row>
    <row r="942" spans="7:17" x14ac:dyDescent="0.25">
      <c r="G942" t="str">
        <f t="shared" si="14"/>
        <v/>
      </c>
      <c r="H942" t="s">
        <v>46</v>
      </c>
      <c r="I942" t="s">
        <v>11</v>
      </c>
      <c r="J942" t="s">
        <v>6</v>
      </c>
      <c r="K942" t="s">
        <v>32</v>
      </c>
      <c r="L942" t="s">
        <v>43</v>
      </c>
      <c r="M942" t="s">
        <v>20</v>
      </c>
      <c r="N942">
        <v>3</v>
      </c>
      <c r="O942">
        <v>0</v>
      </c>
      <c r="P942">
        <v>1455.3099999999997</v>
      </c>
      <c r="Q942">
        <v>0</v>
      </c>
    </row>
    <row r="943" spans="7:17" x14ac:dyDescent="0.25">
      <c r="G943" t="str">
        <f t="shared" si="14"/>
        <v/>
      </c>
      <c r="H943" t="s">
        <v>46</v>
      </c>
      <c r="I943" t="s">
        <v>11</v>
      </c>
      <c r="J943" t="s">
        <v>6</v>
      </c>
      <c r="K943" t="s">
        <v>32</v>
      </c>
      <c r="L943" t="s">
        <v>44</v>
      </c>
      <c r="M943" t="s">
        <v>19</v>
      </c>
      <c r="N943">
        <v>14</v>
      </c>
      <c r="O943">
        <v>0</v>
      </c>
      <c r="P943">
        <v>9471.2300000000014</v>
      </c>
      <c r="Q943">
        <v>8580.85</v>
      </c>
    </row>
    <row r="944" spans="7:17" x14ac:dyDescent="0.25">
      <c r="G944" t="str">
        <f t="shared" si="14"/>
        <v/>
      </c>
      <c r="H944" t="s">
        <v>46</v>
      </c>
      <c r="I944" t="s">
        <v>11</v>
      </c>
      <c r="J944" t="s">
        <v>6</v>
      </c>
      <c r="K944" t="s">
        <v>32</v>
      </c>
      <c r="L944" t="s">
        <v>44</v>
      </c>
      <c r="M944" t="s">
        <v>20</v>
      </c>
      <c r="N944">
        <v>5</v>
      </c>
      <c r="O944">
        <v>1</v>
      </c>
      <c r="P944">
        <v>4586.0599999999995</v>
      </c>
      <c r="Q944">
        <v>0</v>
      </c>
    </row>
    <row r="945" spans="7:17" x14ac:dyDescent="0.25">
      <c r="G945" t="str">
        <f t="shared" si="14"/>
        <v/>
      </c>
      <c r="H945" t="s">
        <v>46</v>
      </c>
      <c r="I945" t="s">
        <v>11</v>
      </c>
      <c r="J945" t="s">
        <v>6</v>
      </c>
      <c r="K945" t="s">
        <v>32</v>
      </c>
      <c r="L945" t="s">
        <v>39</v>
      </c>
      <c r="M945" t="s">
        <v>20</v>
      </c>
      <c r="N945">
        <v>2</v>
      </c>
      <c r="O945">
        <v>1</v>
      </c>
      <c r="P945">
        <v>2767.16</v>
      </c>
      <c r="Q945">
        <v>0</v>
      </c>
    </row>
    <row r="946" spans="7:17" x14ac:dyDescent="0.25">
      <c r="G946" t="str">
        <f t="shared" si="14"/>
        <v/>
      </c>
      <c r="H946" t="s">
        <v>46</v>
      </c>
      <c r="I946" t="s">
        <v>11</v>
      </c>
      <c r="J946" t="s">
        <v>6</v>
      </c>
      <c r="K946" t="s">
        <v>32</v>
      </c>
      <c r="L946" t="s">
        <v>40</v>
      </c>
      <c r="M946" t="s">
        <v>19</v>
      </c>
      <c r="N946">
        <v>1</v>
      </c>
      <c r="O946">
        <v>1</v>
      </c>
      <c r="P946">
        <v>532.55999999999995</v>
      </c>
      <c r="Q946">
        <v>532.48</v>
      </c>
    </row>
    <row r="947" spans="7:17" x14ac:dyDescent="0.25">
      <c r="G947" t="str">
        <f t="shared" si="14"/>
        <v/>
      </c>
      <c r="H947" t="s">
        <v>46</v>
      </c>
      <c r="I947" t="s">
        <v>11</v>
      </c>
      <c r="J947" t="s">
        <v>6</v>
      </c>
      <c r="K947" t="s">
        <v>32</v>
      </c>
      <c r="L947" t="s">
        <v>45</v>
      </c>
      <c r="M947" t="s">
        <v>20</v>
      </c>
      <c r="N947">
        <v>6</v>
      </c>
      <c r="O947">
        <v>1</v>
      </c>
      <c r="P947">
        <v>1281.44</v>
      </c>
      <c r="Q947">
        <v>0</v>
      </c>
    </row>
    <row r="948" spans="7:17" x14ac:dyDescent="0.25">
      <c r="G948" t="str">
        <f t="shared" si="14"/>
        <v/>
      </c>
      <c r="H948" t="s">
        <v>46</v>
      </c>
      <c r="I948" t="s">
        <v>11</v>
      </c>
      <c r="J948" t="s">
        <v>6</v>
      </c>
      <c r="K948" t="s">
        <v>33</v>
      </c>
      <c r="L948" t="s">
        <v>42</v>
      </c>
      <c r="M948" t="s">
        <v>19</v>
      </c>
      <c r="N948">
        <v>164</v>
      </c>
      <c r="O948">
        <v>8</v>
      </c>
      <c r="P948">
        <v>29516.969999999998</v>
      </c>
      <c r="Q948">
        <v>29516.969999999998</v>
      </c>
    </row>
    <row r="949" spans="7:17" x14ac:dyDescent="0.25">
      <c r="G949" t="str">
        <f t="shared" si="14"/>
        <v/>
      </c>
      <c r="H949" t="s">
        <v>46</v>
      </c>
      <c r="I949" t="s">
        <v>11</v>
      </c>
      <c r="J949" t="s">
        <v>6</v>
      </c>
      <c r="K949" t="s">
        <v>33</v>
      </c>
      <c r="L949" t="s">
        <v>42</v>
      </c>
      <c r="M949" t="s">
        <v>20</v>
      </c>
      <c r="N949">
        <v>48</v>
      </c>
      <c r="O949">
        <v>1</v>
      </c>
      <c r="P949">
        <v>1187.4500000000005</v>
      </c>
      <c r="Q949">
        <v>0</v>
      </c>
    </row>
    <row r="950" spans="7:17" x14ac:dyDescent="0.25">
      <c r="G950" t="str">
        <f t="shared" si="14"/>
        <v/>
      </c>
      <c r="H950" t="s">
        <v>46</v>
      </c>
      <c r="I950" t="s">
        <v>11</v>
      </c>
      <c r="J950" t="s">
        <v>6</v>
      </c>
      <c r="K950" t="s">
        <v>33</v>
      </c>
      <c r="L950" t="s">
        <v>43</v>
      </c>
      <c r="M950" t="s">
        <v>19</v>
      </c>
      <c r="N950">
        <v>20</v>
      </c>
      <c r="O950">
        <v>10</v>
      </c>
      <c r="P950">
        <v>11749.350000000002</v>
      </c>
      <c r="Q950">
        <v>11529.16</v>
      </c>
    </row>
    <row r="951" spans="7:17" x14ac:dyDescent="0.25">
      <c r="G951" t="str">
        <f t="shared" si="14"/>
        <v/>
      </c>
      <c r="H951" t="s">
        <v>46</v>
      </c>
      <c r="I951" t="s">
        <v>11</v>
      </c>
      <c r="J951" t="s">
        <v>6</v>
      </c>
      <c r="K951" t="s">
        <v>33</v>
      </c>
      <c r="L951" t="s">
        <v>43</v>
      </c>
      <c r="M951" t="s">
        <v>20</v>
      </c>
      <c r="N951">
        <v>4</v>
      </c>
      <c r="O951">
        <v>3</v>
      </c>
      <c r="P951">
        <v>1265.57</v>
      </c>
      <c r="Q951">
        <v>0</v>
      </c>
    </row>
    <row r="952" spans="7:17" x14ac:dyDescent="0.25">
      <c r="G952" t="str">
        <f t="shared" si="14"/>
        <v/>
      </c>
      <c r="H952" t="s">
        <v>46</v>
      </c>
      <c r="I952" t="s">
        <v>11</v>
      </c>
      <c r="J952" t="s">
        <v>6</v>
      </c>
      <c r="K952" t="s">
        <v>33</v>
      </c>
      <c r="L952" t="s">
        <v>44</v>
      </c>
      <c r="M952" t="s">
        <v>19</v>
      </c>
      <c r="N952">
        <v>7</v>
      </c>
      <c r="O952">
        <v>1</v>
      </c>
      <c r="P952">
        <v>4810.21</v>
      </c>
      <c r="Q952">
        <v>4810.21</v>
      </c>
    </row>
    <row r="953" spans="7:17" x14ac:dyDescent="0.25">
      <c r="G953" t="str">
        <f t="shared" si="14"/>
        <v/>
      </c>
      <c r="H953" t="s">
        <v>46</v>
      </c>
      <c r="I953" t="s">
        <v>11</v>
      </c>
      <c r="J953" t="s">
        <v>6</v>
      </c>
      <c r="K953" t="s">
        <v>33</v>
      </c>
      <c r="L953" t="s">
        <v>44</v>
      </c>
      <c r="M953" t="s">
        <v>20</v>
      </c>
      <c r="N953">
        <v>4</v>
      </c>
      <c r="O953">
        <v>1</v>
      </c>
      <c r="P953">
        <v>339.09</v>
      </c>
      <c r="Q953">
        <v>0</v>
      </c>
    </row>
    <row r="954" spans="7:17" x14ac:dyDescent="0.25">
      <c r="G954" t="str">
        <f t="shared" si="14"/>
        <v/>
      </c>
      <c r="H954" t="s">
        <v>46</v>
      </c>
      <c r="I954" t="s">
        <v>11</v>
      </c>
      <c r="J954" t="s">
        <v>6</v>
      </c>
      <c r="K954" t="s">
        <v>33</v>
      </c>
      <c r="L954" t="s">
        <v>39</v>
      </c>
      <c r="M954" t="s">
        <v>19</v>
      </c>
      <c r="N954">
        <v>2</v>
      </c>
      <c r="O954">
        <v>1</v>
      </c>
      <c r="P954">
        <v>2634.55</v>
      </c>
      <c r="Q954">
        <v>2634.5299999999997</v>
      </c>
    </row>
    <row r="955" spans="7:17" x14ac:dyDescent="0.25">
      <c r="G955" t="str">
        <f t="shared" si="14"/>
        <v/>
      </c>
      <c r="H955" t="s">
        <v>46</v>
      </c>
      <c r="I955" t="s">
        <v>11</v>
      </c>
      <c r="J955" t="s">
        <v>6</v>
      </c>
      <c r="K955" t="s">
        <v>33</v>
      </c>
      <c r="L955" t="s">
        <v>39</v>
      </c>
      <c r="M955" t="s">
        <v>20</v>
      </c>
      <c r="N955">
        <v>3</v>
      </c>
      <c r="O955">
        <v>2</v>
      </c>
      <c r="P955">
        <v>1152.1499999999999</v>
      </c>
      <c r="Q955">
        <v>0</v>
      </c>
    </row>
    <row r="956" spans="7:17" x14ac:dyDescent="0.25">
      <c r="G956" t="str">
        <f t="shared" si="14"/>
        <v/>
      </c>
      <c r="H956" t="s">
        <v>46</v>
      </c>
      <c r="I956" t="s">
        <v>11</v>
      </c>
      <c r="J956" t="s">
        <v>6</v>
      </c>
      <c r="K956" t="s">
        <v>33</v>
      </c>
      <c r="L956" t="s">
        <v>40</v>
      </c>
      <c r="M956" t="s">
        <v>19</v>
      </c>
      <c r="N956">
        <v>1</v>
      </c>
      <c r="O956">
        <v>0</v>
      </c>
      <c r="P956">
        <v>234.63</v>
      </c>
      <c r="Q956">
        <v>234.63</v>
      </c>
    </row>
    <row r="957" spans="7:17" x14ac:dyDescent="0.25">
      <c r="G957" t="str">
        <f t="shared" si="14"/>
        <v/>
      </c>
      <c r="H957" t="s">
        <v>46</v>
      </c>
      <c r="I957" t="s">
        <v>11</v>
      </c>
      <c r="J957" t="s">
        <v>6</v>
      </c>
      <c r="K957" t="s">
        <v>33</v>
      </c>
      <c r="L957" t="s">
        <v>40</v>
      </c>
      <c r="M957" t="s">
        <v>20</v>
      </c>
      <c r="N957">
        <v>6</v>
      </c>
      <c r="O957">
        <v>0</v>
      </c>
      <c r="P957">
        <v>429.5</v>
      </c>
      <c r="Q957">
        <v>0</v>
      </c>
    </row>
    <row r="958" spans="7:17" x14ac:dyDescent="0.25">
      <c r="G958" t="str">
        <f t="shared" si="14"/>
        <v/>
      </c>
      <c r="H958" t="s">
        <v>46</v>
      </c>
      <c r="I958" t="s">
        <v>11</v>
      </c>
      <c r="J958" t="s">
        <v>6</v>
      </c>
      <c r="K958" t="s">
        <v>33</v>
      </c>
      <c r="L958" t="s">
        <v>41</v>
      </c>
      <c r="M958" t="s">
        <v>20</v>
      </c>
      <c r="N958">
        <v>3</v>
      </c>
      <c r="O958">
        <v>2</v>
      </c>
      <c r="P958">
        <v>1070.24</v>
      </c>
      <c r="Q958">
        <v>0</v>
      </c>
    </row>
    <row r="959" spans="7:17" x14ac:dyDescent="0.25">
      <c r="G959" t="str">
        <f t="shared" si="14"/>
        <v/>
      </c>
      <c r="H959" t="s">
        <v>46</v>
      </c>
      <c r="I959" t="s">
        <v>11</v>
      </c>
      <c r="J959" t="s">
        <v>6</v>
      </c>
      <c r="K959" t="s">
        <v>33</v>
      </c>
      <c r="L959" t="s">
        <v>45</v>
      </c>
      <c r="M959" t="s">
        <v>19</v>
      </c>
      <c r="N959">
        <v>2</v>
      </c>
      <c r="O959">
        <v>1</v>
      </c>
      <c r="P959">
        <v>66.760000000000005</v>
      </c>
      <c r="Q959">
        <v>66.760000000000005</v>
      </c>
    </row>
    <row r="960" spans="7:17" x14ac:dyDescent="0.25">
      <c r="G960" t="str">
        <f t="shared" si="14"/>
        <v/>
      </c>
      <c r="H960" t="s">
        <v>46</v>
      </c>
      <c r="I960" t="s">
        <v>11</v>
      </c>
      <c r="J960" t="s">
        <v>6</v>
      </c>
      <c r="K960" t="s">
        <v>33</v>
      </c>
      <c r="L960" t="s">
        <v>45</v>
      </c>
      <c r="M960" t="s">
        <v>20</v>
      </c>
      <c r="N960">
        <v>19</v>
      </c>
      <c r="O960">
        <v>3</v>
      </c>
      <c r="P960">
        <v>2632.4499999999994</v>
      </c>
      <c r="Q960">
        <v>0</v>
      </c>
    </row>
    <row r="961" spans="7:17" x14ac:dyDescent="0.25">
      <c r="G961" t="str">
        <f t="shared" si="14"/>
        <v/>
      </c>
      <c r="H961" t="s">
        <v>46</v>
      </c>
      <c r="I961" t="s">
        <v>11</v>
      </c>
      <c r="J961" t="s">
        <v>6</v>
      </c>
      <c r="K961" t="s">
        <v>34</v>
      </c>
      <c r="L961" t="s">
        <v>42</v>
      </c>
      <c r="M961" t="s">
        <v>19</v>
      </c>
      <c r="N961">
        <v>73</v>
      </c>
      <c r="O961">
        <v>1</v>
      </c>
      <c r="P961">
        <v>8200.4300000000021</v>
      </c>
      <c r="Q961">
        <v>7462.3100000000013</v>
      </c>
    </row>
    <row r="962" spans="7:17" x14ac:dyDescent="0.25">
      <c r="G962" t="str">
        <f t="shared" ref="G962:G1025" si="15">IF(G$1="Overall","Overall",IF(G$1=L962,L962,""))</f>
        <v/>
      </c>
      <c r="H962" t="s">
        <v>46</v>
      </c>
      <c r="I962" t="s">
        <v>11</v>
      </c>
      <c r="J962" t="s">
        <v>6</v>
      </c>
      <c r="K962" t="s">
        <v>34</v>
      </c>
      <c r="L962" t="s">
        <v>42</v>
      </c>
      <c r="M962" t="s">
        <v>20</v>
      </c>
      <c r="N962">
        <v>40</v>
      </c>
      <c r="O962">
        <v>9</v>
      </c>
      <c r="P962">
        <v>7921.6499999999978</v>
      </c>
      <c r="Q962">
        <v>0</v>
      </c>
    </row>
    <row r="963" spans="7:17" x14ac:dyDescent="0.25">
      <c r="G963" t="str">
        <f t="shared" si="15"/>
        <v/>
      </c>
      <c r="H963" t="s">
        <v>46</v>
      </c>
      <c r="I963" t="s">
        <v>11</v>
      </c>
      <c r="J963" t="s">
        <v>6</v>
      </c>
      <c r="K963" t="s">
        <v>34</v>
      </c>
      <c r="L963" t="s">
        <v>43</v>
      </c>
      <c r="M963" t="s">
        <v>19</v>
      </c>
      <c r="N963">
        <v>41</v>
      </c>
      <c r="O963">
        <v>4</v>
      </c>
      <c r="P963">
        <v>18670.759999999998</v>
      </c>
      <c r="Q963">
        <v>14412.47</v>
      </c>
    </row>
    <row r="964" spans="7:17" x14ac:dyDescent="0.25">
      <c r="G964" t="str">
        <f t="shared" si="15"/>
        <v/>
      </c>
      <c r="H964" t="s">
        <v>46</v>
      </c>
      <c r="I964" t="s">
        <v>11</v>
      </c>
      <c r="J964" t="s">
        <v>6</v>
      </c>
      <c r="K964" t="s">
        <v>34</v>
      </c>
      <c r="L964" t="s">
        <v>43</v>
      </c>
      <c r="M964" t="s">
        <v>20</v>
      </c>
      <c r="N964">
        <v>7</v>
      </c>
      <c r="O964">
        <v>3</v>
      </c>
      <c r="P964">
        <v>2275.56</v>
      </c>
      <c r="Q964">
        <v>0</v>
      </c>
    </row>
    <row r="965" spans="7:17" x14ac:dyDescent="0.25">
      <c r="G965" t="str">
        <f t="shared" si="15"/>
        <v/>
      </c>
      <c r="H965" t="s">
        <v>46</v>
      </c>
      <c r="I965" t="s">
        <v>11</v>
      </c>
      <c r="J965" t="s">
        <v>6</v>
      </c>
      <c r="K965" t="s">
        <v>34</v>
      </c>
      <c r="L965" t="s">
        <v>44</v>
      </c>
      <c r="M965" t="s">
        <v>19</v>
      </c>
      <c r="N965">
        <v>6</v>
      </c>
      <c r="O965">
        <v>3</v>
      </c>
      <c r="P965">
        <v>3452.71</v>
      </c>
      <c r="Q965">
        <v>2595.17</v>
      </c>
    </row>
    <row r="966" spans="7:17" x14ac:dyDescent="0.25">
      <c r="G966" t="str">
        <f t="shared" si="15"/>
        <v/>
      </c>
      <c r="H966" t="s">
        <v>46</v>
      </c>
      <c r="I966" t="s">
        <v>11</v>
      </c>
      <c r="J966" t="s">
        <v>6</v>
      </c>
      <c r="K966" t="s">
        <v>34</v>
      </c>
      <c r="L966" t="s">
        <v>44</v>
      </c>
      <c r="M966" t="s">
        <v>20</v>
      </c>
      <c r="N966">
        <v>2</v>
      </c>
      <c r="O966">
        <v>1</v>
      </c>
      <c r="P966">
        <v>1176.8</v>
      </c>
      <c r="Q966">
        <v>0</v>
      </c>
    </row>
    <row r="967" spans="7:17" x14ac:dyDescent="0.25">
      <c r="G967" t="str">
        <f t="shared" si="15"/>
        <v/>
      </c>
      <c r="H967" t="s">
        <v>46</v>
      </c>
      <c r="I967" t="s">
        <v>11</v>
      </c>
      <c r="J967" t="s">
        <v>6</v>
      </c>
      <c r="K967" t="s">
        <v>34</v>
      </c>
      <c r="L967" t="s">
        <v>39</v>
      </c>
      <c r="M967" t="s">
        <v>20</v>
      </c>
      <c r="N967">
        <v>2</v>
      </c>
      <c r="O967">
        <v>1</v>
      </c>
      <c r="P967">
        <v>2066.96</v>
      </c>
      <c r="Q967">
        <v>0</v>
      </c>
    </row>
    <row r="968" spans="7:17" x14ac:dyDescent="0.25">
      <c r="G968" t="str">
        <f t="shared" si="15"/>
        <v/>
      </c>
      <c r="H968" t="s">
        <v>46</v>
      </c>
      <c r="I968" t="s">
        <v>11</v>
      </c>
      <c r="J968" t="s">
        <v>6</v>
      </c>
      <c r="K968" t="s">
        <v>34</v>
      </c>
      <c r="L968" t="s">
        <v>40</v>
      </c>
      <c r="M968" t="s">
        <v>20</v>
      </c>
      <c r="N968">
        <v>4</v>
      </c>
      <c r="O968">
        <v>1</v>
      </c>
      <c r="P968">
        <v>52.66</v>
      </c>
      <c r="Q968">
        <v>0</v>
      </c>
    </row>
    <row r="969" spans="7:17" x14ac:dyDescent="0.25">
      <c r="G969" t="str">
        <f t="shared" si="15"/>
        <v/>
      </c>
      <c r="H969" t="s">
        <v>46</v>
      </c>
      <c r="I969" t="s">
        <v>11</v>
      </c>
      <c r="J969" t="s">
        <v>6</v>
      </c>
      <c r="K969" t="s">
        <v>34</v>
      </c>
      <c r="L969" t="s">
        <v>41</v>
      </c>
      <c r="M969" t="s">
        <v>20</v>
      </c>
      <c r="N969">
        <v>1</v>
      </c>
      <c r="O969">
        <v>1</v>
      </c>
      <c r="P969">
        <v>2.35</v>
      </c>
      <c r="Q969">
        <v>0</v>
      </c>
    </row>
    <row r="970" spans="7:17" x14ac:dyDescent="0.25">
      <c r="G970" t="str">
        <f t="shared" si="15"/>
        <v/>
      </c>
      <c r="H970" t="s">
        <v>46</v>
      </c>
      <c r="I970" t="s">
        <v>11</v>
      </c>
      <c r="J970" t="s">
        <v>6</v>
      </c>
      <c r="K970" t="s">
        <v>34</v>
      </c>
      <c r="L970" t="s">
        <v>45</v>
      </c>
      <c r="M970" t="s">
        <v>20</v>
      </c>
      <c r="N970">
        <v>35</v>
      </c>
      <c r="O970">
        <v>6</v>
      </c>
      <c r="P970">
        <v>22077.360000000008</v>
      </c>
      <c r="Q970">
        <v>0</v>
      </c>
    </row>
    <row r="971" spans="7:17" x14ac:dyDescent="0.25">
      <c r="G971" t="str">
        <f t="shared" si="15"/>
        <v/>
      </c>
      <c r="H971" t="s">
        <v>46</v>
      </c>
      <c r="I971" t="s">
        <v>11</v>
      </c>
      <c r="J971" t="s">
        <v>6</v>
      </c>
      <c r="K971" t="s">
        <v>35</v>
      </c>
      <c r="L971" t="s">
        <v>42</v>
      </c>
      <c r="M971" t="s">
        <v>19</v>
      </c>
      <c r="N971">
        <v>234</v>
      </c>
      <c r="O971">
        <v>13</v>
      </c>
      <c r="P971">
        <v>37979.129999999983</v>
      </c>
      <c r="Q971">
        <v>37369.309999999983</v>
      </c>
    </row>
    <row r="972" spans="7:17" x14ac:dyDescent="0.25">
      <c r="G972" t="str">
        <f t="shared" si="15"/>
        <v/>
      </c>
      <c r="H972" t="s">
        <v>46</v>
      </c>
      <c r="I972" t="s">
        <v>11</v>
      </c>
      <c r="J972" t="s">
        <v>6</v>
      </c>
      <c r="K972" t="s">
        <v>35</v>
      </c>
      <c r="L972" t="s">
        <v>42</v>
      </c>
      <c r="M972" t="s">
        <v>20</v>
      </c>
      <c r="N972">
        <v>21</v>
      </c>
      <c r="O972">
        <v>3</v>
      </c>
      <c r="P972">
        <v>2559.7099999999996</v>
      </c>
      <c r="Q972">
        <v>0</v>
      </c>
    </row>
    <row r="973" spans="7:17" x14ac:dyDescent="0.25">
      <c r="G973" t="str">
        <f t="shared" si="15"/>
        <v/>
      </c>
      <c r="H973" t="s">
        <v>46</v>
      </c>
      <c r="I973" t="s">
        <v>11</v>
      </c>
      <c r="J973" t="s">
        <v>6</v>
      </c>
      <c r="K973" t="s">
        <v>35</v>
      </c>
      <c r="L973" t="s">
        <v>43</v>
      </c>
      <c r="M973" t="s">
        <v>19</v>
      </c>
      <c r="N973">
        <v>41</v>
      </c>
      <c r="O973">
        <v>8</v>
      </c>
      <c r="P973">
        <v>23600.15</v>
      </c>
      <c r="Q973">
        <v>23522.999999999996</v>
      </c>
    </row>
    <row r="974" spans="7:17" x14ac:dyDescent="0.25">
      <c r="G974" t="str">
        <f t="shared" si="15"/>
        <v/>
      </c>
      <c r="H974" t="s">
        <v>46</v>
      </c>
      <c r="I974" t="s">
        <v>11</v>
      </c>
      <c r="J974" t="s">
        <v>6</v>
      </c>
      <c r="K974" t="s">
        <v>35</v>
      </c>
      <c r="L974" t="s">
        <v>43</v>
      </c>
      <c r="M974" t="s">
        <v>20</v>
      </c>
      <c r="N974">
        <v>12</v>
      </c>
      <c r="O974">
        <v>3</v>
      </c>
      <c r="P974">
        <v>4757.4100000000008</v>
      </c>
      <c r="Q974">
        <v>0</v>
      </c>
    </row>
    <row r="975" spans="7:17" x14ac:dyDescent="0.25">
      <c r="G975" t="str">
        <f t="shared" si="15"/>
        <v/>
      </c>
      <c r="H975" t="s">
        <v>46</v>
      </c>
      <c r="I975" t="s">
        <v>11</v>
      </c>
      <c r="J975" t="s">
        <v>6</v>
      </c>
      <c r="K975" t="s">
        <v>35</v>
      </c>
      <c r="L975" t="s">
        <v>44</v>
      </c>
      <c r="M975" t="s">
        <v>19</v>
      </c>
      <c r="N975">
        <v>22</v>
      </c>
      <c r="O975">
        <v>4</v>
      </c>
      <c r="P975">
        <v>19844.849999999999</v>
      </c>
      <c r="Q975">
        <v>18009.079999999994</v>
      </c>
    </row>
    <row r="976" spans="7:17" x14ac:dyDescent="0.25">
      <c r="G976" t="str">
        <f t="shared" si="15"/>
        <v/>
      </c>
      <c r="H976" t="s">
        <v>46</v>
      </c>
      <c r="I976" t="s">
        <v>11</v>
      </c>
      <c r="J976" t="s">
        <v>6</v>
      </c>
      <c r="K976" t="s">
        <v>35</v>
      </c>
      <c r="L976" t="s">
        <v>44</v>
      </c>
      <c r="M976" t="s">
        <v>20</v>
      </c>
      <c r="N976">
        <v>43</v>
      </c>
      <c r="O976">
        <v>4</v>
      </c>
      <c r="P976">
        <v>15365.829999999996</v>
      </c>
      <c r="Q976">
        <v>0</v>
      </c>
    </row>
    <row r="977" spans="7:17" x14ac:dyDescent="0.25">
      <c r="G977" t="str">
        <f t="shared" si="15"/>
        <v/>
      </c>
      <c r="H977" t="s">
        <v>46</v>
      </c>
      <c r="I977" t="s">
        <v>11</v>
      </c>
      <c r="J977" t="s">
        <v>6</v>
      </c>
      <c r="K977" t="s">
        <v>35</v>
      </c>
      <c r="L977" t="s">
        <v>39</v>
      </c>
      <c r="M977" t="s">
        <v>19</v>
      </c>
      <c r="N977">
        <v>5</v>
      </c>
      <c r="O977">
        <v>1</v>
      </c>
      <c r="P977">
        <v>4411.4799999999996</v>
      </c>
      <c r="Q977">
        <v>4410.34</v>
      </c>
    </row>
    <row r="978" spans="7:17" x14ac:dyDescent="0.25">
      <c r="G978" t="str">
        <f t="shared" si="15"/>
        <v/>
      </c>
      <c r="H978" t="s">
        <v>46</v>
      </c>
      <c r="I978" t="s">
        <v>11</v>
      </c>
      <c r="J978" t="s">
        <v>6</v>
      </c>
      <c r="K978" t="s">
        <v>35</v>
      </c>
      <c r="L978" t="s">
        <v>39</v>
      </c>
      <c r="M978" t="s">
        <v>20</v>
      </c>
      <c r="N978">
        <v>18</v>
      </c>
      <c r="O978">
        <v>7</v>
      </c>
      <c r="P978">
        <v>6170.4500000000007</v>
      </c>
      <c r="Q978">
        <v>0</v>
      </c>
    </row>
    <row r="979" spans="7:17" x14ac:dyDescent="0.25">
      <c r="G979" t="str">
        <f t="shared" si="15"/>
        <v/>
      </c>
      <c r="H979" t="s">
        <v>46</v>
      </c>
      <c r="I979" t="s">
        <v>11</v>
      </c>
      <c r="J979" t="s">
        <v>6</v>
      </c>
      <c r="K979" t="s">
        <v>35</v>
      </c>
      <c r="L979" t="s">
        <v>40</v>
      </c>
      <c r="M979" t="s">
        <v>20</v>
      </c>
      <c r="N979">
        <v>4</v>
      </c>
      <c r="O979">
        <v>1</v>
      </c>
      <c r="P979">
        <v>1511.9399999999998</v>
      </c>
      <c r="Q979">
        <v>0</v>
      </c>
    </row>
    <row r="980" spans="7:17" x14ac:dyDescent="0.25">
      <c r="G980" t="str">
        <f t="shared" si="15"/>
        <v/>
      </c>
      <c r="H980" t="s">
        <v>46</v>
      </c>
      <c r="I980" t="s">
        <v>11</v>
      </c>
      <c r="J980" t="s">
        <v>6</v>
      </c>
      <c r="K980" t="s">
        <v>35</v>
      </c>
      <c r="L980" t="s">
        <v>45</v>
      </c>
      <c r="M980" t="s">
        <v>19</v>
      </c>
      <c r="N980">
        <v>1</v>
      </c>
      <c r="O980">
        <v>1</v>
      </c>
      <c r="P980">
        <v>1059.03</v>
      </c>
      <c r="Q980">
        <v>282.64</v>
      </c>
    </row>
    <row r="981" spans="7:17" x14ac:dyDescent="0.25">
      <c r="G981" t="str">
        <f t="shared" si="15"/>
        <v/>
      </c>
      <c r="H981" t="s">
        <v>46</v>
      </c>
      <c r="I981" t="s">
        <v>11</v>
      </c>
      <c r="J981" t="s">
        <v>6</v>
      </c>
      <c r="K981" t="s">
        <v>35</v>
      </c>
      <c r="L981" t="s">
        <v>45</v>
      </c>
      <c r="M981" t="s">
        <v>20</v>
      </c>
      <c r="N981">
        <v>35</v>
      </c>
      <c r="O981">
        <v>7</v>
      </c>
      <c r="P981">
        <v>8867.3200000000015</v>
      </c>
      <c r="Q981">
        <v>0</v>
      </c>
    </row>
    <row r="982" spans="7:17" x14ac:dyDescent="0.25">
      <c r="G982" t="str">
        <f t="shared" si="15"/>
        <v/>
      </c>
      <c r="H982" t="s">
        <v>46</v>
      </c>
      <c r="I982" t="s">
        <v>11</v>
      </c>
      <c r="J982" t="s">
        <v>6</v>
      </c>
      <c r="K982" t="s">
        <v>36</v>
      </c>
      <c r="L982" t="s">
        <v>42</v>
      </c>
      <c r="M982" t="s">
        <v>19</v>
      </c>
      <c r="N982">
        <v>768</v>
      </c>
      <c r="O982">
        <v>33</v>
      </c>
      <c r="P982">
        <v>159760.76000000059</v>
      </c>
      <c r="Q982">
        <v>158766.77000000057</v>
      </c>
    </row>
    <row r="983" spans="7:17" x14ac:dyDescent="0.25">
      <c r="G983" t="str">
        <f t="shared" si="15"/>
        <v/>
      </c>
      <c r="H983" t="s">
        <v>46</v>
      </c>
      <c r="I983" t="s">
        <v>11</v>
      </c>
      <c r="J983" t="s">
        <v>6</v>
      </c>
      <c r="K983" t="s">
        <v>36</v>
      </c>
      <c r="L983" t="s">
        <v>42</v>
      </c>
      <c r="M983" t="s">
        <v>20</v>
      </c>
      <c r="N983">
        <v>62</v>
      </c>
      <c r="O983">
        <v>7</v>
      </c>
      <c r="P983">
        <v>7196.1799999999994</v>
      </c>
      <c r="Q983">
        <v>0</v>
      </c>
    </row>
    <row r="984" spans="7:17" x14ac:dyDescent="0.25">
      <c r="G984" t="str">
        <f t="shared" si="15"/>
        <v/>
      </c>
      <c r="H984" t="s">
        <v>46</v>
      </c>
      <c r="I984" t="s">
        <v>11</v>
      </c>
      <c r="J984" t="s">
        <v>6</v>
      </c>
      <c r="K984" t="s">
        <v>36</v>
      </c>
      <c r="L984" t="s">
        <v>43</v>
      </c>
      <c r="M984" t="s">
        <v>19</v>
      </c>
      <c r="N984">
        <v>81</v>
      </c>
      <c r="O984">
        <v>13</v>
      </c>
      <c r="P984">
        <v>50268.929999999993</v>
      </c>
      <c r="Q984">
        <v>40430.230000000003</v>
      </c>
    </row>
    <row r="985" spans="7:17" x14ac:dyDescent="0.25">
      <c r="G985" t="str">
        <f t="shared" si="15"/>
        <v/>
      </c>
      <c r="H985" t="s">
        <v>46</v>
      </c>
      <c r="I985" t="s">
        <v>11</v>
      </c>
      <c r="J985" t="s">
        <v>6</v>
      </c>
      <c r="K985" t="s">
        <v>36</v>
      </c>
      <c r="L985" t="s">
        <v>43</v>
      </c>
      <c r="M985" t="s">
        <v>20</v>
      </c>
      <c r="N985">
        <v>18</v>
      </c>
      <c r="O985">
        <v>3</v>
      </c>
      <c r="P985">
        <v>9337.2000000000007</v>
      </c>
      <c r="Q985">
        <v>0</v>
      </c>
    </row>
    <row r="986" spans="7:17" x14ac:dyDescent="0.25">
      <c r="G986" t="str">
        <f t="shared" si="15"/>
        <v/>
      </c>
      <c r="H986" t="s">
        <v>46</v>
      </c>
      <c r="I986" t="s">
        <v>11</v>
      </c>
      <c r="J986" t="s">
        <v>6</v>
      </c>
      <c r="K986" t="s">
        <v>36</v>
      </c>
      <c r="L986" t="s">
        <v>44</v>
      </c>
      <c r="M986" t="s">
        <v>19</v>
      </c>
      <c r="N986">
        <v>20</v>
      </c>
      <c r="O986">
        <v>5</v>
      </c>
      <c r="P986">
        <v>13873.17</v>
      </c>
      <c r="Q986">
        <v>12208.87</v>
      </c>
    </row>
    <row r="987" spans="7:17" x14ac:dyDescent="0.25">
      <c r="G987" t="str">
        <f t="shared" si="15"/>
        <v/>
      </c>
      <c r="H987" t="s">
        <v>46</v>
      </c>
      <c r="I987" t="s">
        <v>11</v>
      </c>
      <c r="J987" t="s">
        <v>6</v>
      </c>
      <c r="K987" t="s">
        <v>36</v>
      </c>
      <c r="L987" t="s">
        <v>44</v>
      </c>
      <c r="M987" t="s">
        <v>20</v>
      </c>
      <c r="N987">
        <v>44</v>
      </c>
      <c r="O987">
        <v>10</v>
      </c>
      <c r="P987">
        <v>25443.010000000009</v>
      </c>
      <c r="Q987">
        <v>0</v>
      </c>
    </row>
    <row r="988" spans="7:17" x14ac:dyDescent="0.25">
      <c r="G988" t="str">
        <f t="shared" si="15"/>
        <v/>
      </c>
      <c r="H988" t="s">
        <v>46</v>
      </c>
      <c r="I988" t="s">
        <v>11</v>
      </c>
      <c r="J988" t="s">
        <v>6</v>
      </c>
      <c r="K988" t="s">
        <v>36</v>
      </c>
      <c r="L988" t="s">
        <v>39</v>
      </c>
      <c r="M988" t="s">
        <v>19</v>
      </c>
      <c r="N988">
        <v>3</v>
      </c>
      <c r="O988">
        <v>2</v>
      </c>
      <c r="P988">
        <v>3260.3199999999997</v>
      </c>
      <c r="Q988">
        <v>3086.0299999999997</v>
      </c>
    </row>
    <row r="989" spans="7:17" x14ac:dyDescent="0.25">
      <c r="G989" t="str">
        <f t="shared" si="15"/>
        <v/>
      </c>
      <c r="H989" t="s">
        <v>46</v>
      </c>
      <c r="I989" t="s">
        <v>11</v>
      </c>
      <c r="J989" t="s">
        <v>6</v>
      </c>
      <c r="K989" t="s">
        <v>36</v>
      </c>
      <c r="L989" t="s">
        <v>39</v>
      </c>
      <c r="M989" t="s">
        <v>20</v>
      </c>
      <c r="N989">
        <v>29</v>
      </c>
      <c r="O989">
        <v>15</v>
      </c>
      <c r="P989">
        <v>15797.640000000003</v>
      </c>
      <c r="Q989">
        <v>0</v>
      </c>
    </row>
    <row r="990" spans="7:17" x14ac:dyDescent="0.25">
      <c r="G990" t="str">
        <f t="shared" si="15"/>
        <v/>
      </c>
      <c r="H990" t="s">
        <v>46</v>
      </c>
      <c r="I990" t="s">
        <v>11</v>
      </c>
      <c r="J990" t="s">
        <v>6</v>
      </c>
      <c r="K990" t="s">
        <v>36</v>
      </c>
      <c r="L990" t="s">
        <v>40</v>
      </c>
      <c r="M990" t="s">
        <v>20</v>
      </c>
      <c r="N990">
        <v>9</v>
      </c>
      <c r="O990">
        <v>2</v>
      </c>
      <c r="P990">
        <v>4188.32</v>
      </c>
      <c r="Q990">
        <v>0</v>
      </c>
    </row>
    <row r="991" spans="7:17" x14ac:dyDescent="0.25">
      <c r="G991" t="str">
        <f t="shared" si="15"/>
        <v/>
      </c>
      <c r="H991" t="s">
        <v>46</v>
      </c>
      <c r="I991" t="s">
        <v>11</v>
      </c>
      <c r="J991" t="s">
        <v>6</v>
      </c>
      <c r="K991" t="s">
        <v>36</v>
      </c>
      <c r="L991" t="s">
        <v>41</v>
      </c>
      <c r="M991" t="s">
        <v>20</v>
      </c>
      <c r="N991">
        <v>1</v>
      </c>
      <c r="O991">
        <v>0</v>
      </c>
      <c r="P991">
        <v>1458.32</v>
      </c>
      <c r="Q991">
        <v>0</v>
      </c>
    </row>
    <row r="992" spans="7:17" x14ac:dyDescent="0.25">
      <c r="G992" t="str">
        <f t="shared" si="15"/>
        <v/>
      </c>
      <c r="H992" t="s">
        <v>46</v>
      </c>
      <c r="I992" t="s">
        <v>11</v>
      </c>
      <c r="J992" t="s">
        <v>6</v>
      </c>
      <c r="K992" t="s">
        <v>36</v>
      </c>
      <c r="L992" t="s">
        <v>45</v>
      </c>
      <c r="M992" t="s">
        <v>20</v>
      </c>
      <c r="N992">
        <v>30</v>
      </c>
      <c r="O992">
        <v>2</v>
      </c>
      <c r="P992">
        <v>3156.9800000000014</v>
      </c>
      <c r="Q992">
        <v>0</v>
      </c>
    </row>
    <row r="993" spans="7:17" x14ac:dyDescent="0.25">
      <c r="G993" t="str">
        <f t="shared" si="15"/>
        <v/>
      </c>
      <c r="H993" t="s">
        <v>46</v>
      </c>
      <c r="I993" t="s">
        <v>11</v>
      </c>
      <c r="J993" t="s">
        <v>6</v>
      </c>
      <c r="K993" t="s">
        <v>37</v>
      </c>
      <c r="L993" t="s">
        <v>42</v>
      </c>
      <c r="M993" t="s">
        <v>19</v>
      </c>
      <c r="N993">
        <v>422</v>
      </c>
      <c r="O993">
        <v>20</v>
      </c>
      <c r="P993">
        <v>62789.459999999883</v>
      </c>
      <c r="Q993">
        <v>62532.709999999875</v>
      </c>
    </row>
    <row r="994" spans="7:17" x14ac:dyDescent="0.25">
      <c r="G994" t="str">
        <f t="shared" si="15"/>
        <v/>
      </c>
      <c r="H994" t="s">
        <v>46</v>
      </c>
      <c r="I994" t="s">
        <v>11</v>
      </c>
      <c r="J994" t="s">
        <v>6</v>
      </c>
      <c r="K994" t="s">
        <v>37</v>
      </c>
      <c r="L994" t="s">
        <v>42</v>
      </c>
      <c r="M994" t="s">
        <v>20</v>
      </c>
      <c r="N994">
        <v>39</v>
      </c>
      <c r="O994">
        <v>3</v>
      </c>
      <c r="P994">
        <v>7345.3699999999963</v>
      </c>
      <c r="Q994">
        <v>0</v>
      </c>
    </row>
    <row r="995" spans="7:17" x14ac:dyDescent="0.25">
      <c r="G995" t="str">
        <f t="shared" si="15"/>
        <v/>
      </c>
      <c r="H995" t="s">
        <v>46</v>
      </c>
      <c r="I995" t="s">
        <v>11</v>
      </c>
      <c r="J995" t="s">
        <v>6</v>
      </c>
      <c r="K995" t="s">
        <v>37</v>
      </c>
      <c r="L995" t="s">
        <v>43</v>
      </c>
      <c r="M995" t="s">
        <v>19</v>
      </c>
      <c r="N995">
        <v>124</v>
      </c>
      <c r="O995">
        <v>40</v>
      </c>
      <c r="P995">
        <v>58258.430000000015</v>
      </c>
      <c r="Q995">
        <v>52897.88</v>
      </c>
    </row>
    <row r="996" spans="7:17" x14ac:dyDescent="0.25">
      <c r="G996" t="str">
        <f t="shared" si="15"/>
        <v/>
      </c>
      <c r="H996" t="s">
        <v>46</v>
      </c>
      <c r="I996" t="s">
        <v>11</v>
      </c>
      <c r="J996" t="s">
        <v>6</v>
      </c>
      <c r="K996" t="s">
        <v>37</v>
      </c>
      <c r="L996" t="s">
        <v>43</v>
      </c>
      <c r="M996" t="s">
        <v>20</v>
      </c>
      <c r="N996">
        <v>21</v>
      </c>
      <c r="O996">
        <v>8</v>
      </c>
      <c r="P996">
        <v>9156.4700000000012</v>
      </c>
      <c r="Q996">
        <v>0</v>
      </c>
    </row>
    <row r="997" spans="7:17" x14ac:dyDescent="0.25">
      <c r="G997" t="str">
        <f t="shared" si="15"/>
        <v/>
      </c>
      <c r="H997" t="s">
        <v>46</v>
      </c>
      <c r="I997" t="s">
        <v>11</v>
      </c>
      <c r="J997" t="s">
        <v>6</v>
      </c>
      <c r="K997" t="s">
        <v>37</v>
      </c>
      <c r="L997" t="s">
        <v>44</v>
      </c>
      <c r="M997" t="s">
        <v>19</v>
      </c>
      <c r="N997">
        <v>9</v>
      </c>
      <c r="O997">
        <v>5</v>
      </c>
      <c r="P997">
        <v>7155.82</v>
      </c>
      <c r="Q997">
        <v>6097.43</v>
      </c>
    </row>
    <row r="998" spans="7:17" x14ac:dyDescent="0.25">
      <c r="G998" t="str">
        <f t="shared" si="15"/>
        <v/>
      </c>
      <c r="H998" t="s">
        <v>46</v>
      </c>
      <c r="I998" t="s">
        <v>11</v>
      </c>
      <c r="J998" t="s">
        <v>6</v>
      </c>
      <c r="K998" t="s">
        <v>37</v>
      </c>
      <c r="L998" t="s">
        <v>44</v>
      </c>
      <c r="M998" t="s">
        <v>20</v>
      </c>
      <c r="N998">
        <v>9</v>
      </c>
      <c r="O998">
        <v>2</v>
      </c>
      <c r="P998">
        <v>4355.08</v>
      </c>
      <c r="Q998">
        <v>0</v>
      </c>
    </row>
    <row r="999" spans="7:17" x14ac:dyDescent="0.25">
      <c r="G999" t="str">
        <f t="shared" si="15"/>
        <v/>
      </c>
      <c r="H999" t="s">
        <v>46</v>
      </c>
      <c r="I999" t="s">
        <v>11</v>
      </c>
      <c r="J999" t="s">
        <v>6</v>
      </c>
      <c r="K999" t="s">
        <v>37</v>
      </c>
      <c r="L999" t="s">
        <v>39</v>
      </c>
      <c r="M999" t="s">
        <v>19</v>
      </c>
      <c r="N999">
        <v>4</v>
      </c>
      <c r="O999">
        <v>4</v>
      </c>
      <c r="P999">
        <v>2178.81</v>
      </c>
      <c r="Q999">
        <v>2156.5700000000002</v>
      </c>
    </row>
    <row r="1000" spans="7:17" x14ac:dyDescent="0.25">
      <c r="G1000" t="str">
        <f t="shared" si="15"/>
        <v/>
      </c>
      <c r="H1000" t="s">
        <v>46</v>
      </c>
      <c r="I1000" t="s">
        <v>11</v>
      </c>
      <c r="J1000" t="s">
        <v>6</v>
      </c>
      <c r="K1000" t="s">
        <v>37</v>
      </c>
      <c r="L1000" t="s">
        <v>39</v>
      </c>
      <c r="M1000" t="s">
        <v>20</v>
      </c>
      <c r="N1000">
        <v>8</v>
      </c>
      <c r="O1000">
        <v>6</v>
      </c>
      <c r="P1000">
        <v>9156.33</v>
      </c>
      <c r="Q1000">
        <v>0</v>
      </c>
    </row>
    <row r="1001" spans="7:17" x14ac:dyDescent="0.25">
      <c r="G1001" t="str">
        <f t="shared" si="15"/>
        <v/>
      </c>
      <c r="H1001" t="s">
        <v>46</v>
      </c>
      <c r="I1001" t="s">
        <v>11</v>
      </c>
      <c r="J1001" t="s">
        <v>6</v>
      </c>
      <c r="K1001" t="s">
        <v>37</v>
      </c>
      <c r="L1001" t="s">
        <v>40</v>
      </c>
      <c r="M1001" t="s">
        <v>19</v>
      </c>
      <c r="N1001">
        <v>4</v>
      </c>
      <c r="O1001">
        <v>0</v>
      </c>
      <c r="P1001">
        <v>504.44</v>
      </c>
      <c r="Q1001">
        <v>504.44</v>
      </c>
    </row>
    <row r="1002" spans="7:17" x14ac:dyDescent="0.25">
      <c r="G1002" t="str">
        <f t="shared" si="15"/>
        <v/>
      </c>
      <c r="H1002" t="s">
        <v>46</v>
      </c>
      <c r="I1002" t="s">
        <v>11</v>
      </c>
      <c r="J1002" t="s">
        <v>6</v>
      </c>
      <c r="K1002" t="s">
        <v>37</v>
      </c>
      <c r="L1002" t="s">
        <v>40</v>
      </c>
      <c r="M1002" t="s">
        <v>20</v>
      </c>
      <c r="N1002">
        <v>6</v>
      </c>
      <c r="O1002">
        <v>3</v>
      </c>
      <c r="P1002">
        <v>4263.04</v>
      </c>
      <c r="Q1002">
        <v>0</v>
      </c>
    </row>
    <row r="1003" spans="7:17" x14ac:dyDescent="0.25">
      <c r="G1003" t="str">
        <f t="shared" si="15"/>
        <v/>
      </c>
      <c r="H1003" t="s">
        <v>46</v>
      </c>
      <c r="I1003" t="s">
        <v>11</v>
      </c>
      <c r="J1003" t="s">
        <v>6</v>
      </c>
      <c r="K1003" t="s">
        <v>37</v>
      </c>
      <c r="L1003" t="s">
        <v>41</v>
      </c>
      <c r="M1003" t="s">
        <v>20</v>
      </c>
      <c r="N1003">
        <v>1</v>
      </c>
      <c r="O1003">
        <v>0</v>
      </c>
      <c r="P1003">
        <v>1015.85</v>
      </c>
      <c r="Q1003">
        <v>0</v>
      </c>
    </row>
    <row r="1004" spans="7:17" x14ac:dyDescent="0.25">
      <c r="G1004" t="str">
        <f t="shared" si="15"/>
        <v/>
      </c>
      <c r="H1004" t="s">
        <v>46</v>
      </c>
      <c r="I1004" t="s">
        <v>11</v>
      </c>
      <c r="J1004" t="s">
        <v>6</v>
      </c>
      <c r="K1004" t="s">
        <v>37</v>
      </c>
      <c r="L1004" t="s">
        <v>45</v>
      </c>
      <c r="M1004" t="s">
        <v>20</v>
      </c>
      <c r="N1004">
        <v>84</v>
      </c>
      <c r="O1004">
        <v>11</v>
      </c>
      <c r="P1004">
        <v>15215.79</v>
      </c>
      <c r="Q1004">
        <v>0</v>
      </c>
    </row>
    <row r="1005" spans="7:17" x14ac:dyDescent="0.25">
      <c r="G1005" t="str">
        <f t="shared" si="15"/>
        <v/>
      </c>
      <c r="H1005" t="s">
        <v>46</v>
      </c>
      <c r="I1005" t="s">
        <v>11</v>
      </c>
      <c r="J1005" t="s">
        <v>6</v>
      </c>
      <c r="K1005" t="s">
        <v>38</v>
      </c>
      <c r="L1005" t="s">
        <v>42</v>
      </c>
      <c r="M1005" t="s">
        <v>19</v>
      </c>
      <c r="N1005">
        <v>236</v>
      </c>
      <c r="O1005">
        <v>10</v>
      </c>
      <c r="P1005">
        <v>110981.47000000003</v>
      </c>
      <c r="Q1005">
        <v>109485.30000000003</v>
      </c>
    </row>
    <row r="1006" spans="7:17" x14ac:dyDescent="0.25">
      <c r="G1006" t="str">
        <f t="shared" si="15"/>
        <v/>
      </c>
      <c r="H1006" t="s">
        <v>46</v>
      </c>
      <c r="I1006" t="s">
        <v>11</v>
      </c>
      <c r="J1006" t="s">
        <v>6</v>
      </c>
      <c r="K1006" t="s">
        <v>38</v>
      </c>
      <c r="L1006" t="s">
        <v>42</v>
      </c>
      <c r="M1006" t="s">
        <v>20</v>
      </c>
      <c r="N1006">
        <v>19</v>
      </c>
      <c r="O1006">
        <v>9</v>
      </c>
      <c r="P1006">
        <v>5031.9700000000012</v>
      </c>
      <c r="Q1006">
        <v>0</v>
      </c>
    </row>
    <row r="1007" spans="7:17" x14ac:dyDescent="0.25">
      <c r="G1007" t="str">
        <f t="shared" si="15"/>
        <v/>
      </c>
      <c r="H1007" t="s">
        <v>46</v>
      </c>
      <c r="I1007" t="s">
        <v>11</v>
      </c>
      <c r="J1007" t="s">
        <v>6</v>
      </c>
      <c r="K1007" t="s">
        <v>38</v>
      </c>
      <c r="L1007" t="s">
        <v>43</v>
      </c>
      <c r="M1007" t="s">
        <v>19</v>
      </c>
      <c r="N1007">
        <v>62</v>
      </c>
      <c r="O1007">
        <v>6</v>
      </c>
      <c r="P1007">
        <v>38852.619999999995</v>
      </c>
      <c r="Q1007">
        <v>37580.189999999981</v>
      </c>
    </row>
    <row r="1008" spans="7:17" x14ac:dyDescent="0.25">
      <c r="G1008" t="str">
        <f t="shared" si="15"/>
        <v/>
      </c>
      <c r="H1008" t="s">
        <v>46</v>
      </c>
      <c r="I1008" t="s">
        <v>11</v>
      </c>
      <c r="J1008" t="s">
        <v>6</v>
      </c>
      <c r="K1008" t="s">
        <v>38</v>
      </c>
      <c r="L1008" t="s">
        <v>43</v>
      </c>
      <c r="M1008" t="s">
        <v>20</v>
      </c>
      <c r="N1008">
        <v>12</v>
      </c>
      <c r="O1008">
        <v>2</v>
      </c>
      <c r="P1008">
        <v>8131.5199999999995</v>
      </c>
      <c r="Q1008">
        <v>0</v>
      </c>
    </row>
    <row r="1009" spans="7:17" x14ac:dyDescent="0.25">
      <c r="G1009" t="str">
        <f t="shared" si="15"/>
        <v/>
      </c>
      <c r="H1009" t="s">
        <v>46</v>
      </c>
      <c r="I1009" t="s">
        <v>11</v>
      </c>
      <c r="J1009" t="s">
        <v>6</v>
      </c>
      <c r="K1009" t="s">
        <v>38</v>
      </c>
      <c r="L1009" t="s">
        <v>44</v>
      </c>
      <c r="M1009" t="s">
        <v>19</v>
      </c>
      <c r="N1009">
        <v>8</v>
      </c>
      <c r="O1009">
        <v>3</v>
      </c>
      <c r="P1009">
        <v>8939.17</v>
      </c>
      <c r="Q1009">
        <v>8754.02</v>
      </c>
    </row>
    <row r="1010" spans="7:17" x14ac:dyDescent="0.25">
      <c r="G1010" t="str">
        <f t="shared" si="15"/>
        <v/>
      </c>
      <c r="H1010" t="s">
        <v>46</v>
      </c>
      <c r="I1010" t="s">
        <v>11</v>
      </c>
      <c r="J1010" t="s">
        <v>6</v>
      </c>
      <c r="K1010" t="s">
        <v>38</v>
      </c>
      <c r="L1010" t="s">
        <v>44</v>
      </c>
      <c r="M1010" t="s">
        <v>20</v>
      </c>
      <c r="N1010">
        <v>8</v>
      </c>
      <c r="O1010">
        <v>3</v>
      </c>
      <c r="P1010">
        <v>5894.8600000000006</v>
      </c>
      <c r="Q1010">
        <v>0</v>
      </c>
    </row>
    <row r="1011" spans="7:17" x14ac:dyDescent="0.25">
      <c r="G1011" t="str">
        <f t="shared" si="15"/>
        <v/>
      </c>
      <c r="H1011" t="s">
        <v>46</v>
      </c>
      <c r="I1011" t="s">
        <v>11</v>
      </c>
      <c r="J1011" t="s">
        <v>6</v>
      </c>
      <c r="K1011" t="s">
        <v>38</v>
      </c>
      <c r="L1011" t="s">
        <v>39</v>
      </c>
      <c r="M1011" t="s">
        <v>19</v>
      </c>
      <c r="N1011">
        <v>7</v>
      </c>
      <c r="O1011">
        <v>3</v>
      </c>
      <c r="P1011">
        <v>10259.57</v>
      </c>
      <c r="Q1011">
        <v>10259.370000000001</v>
      </c>
    </row>
    <row r="1012" spans="7:17" x14ac:dyDescent="0.25">
      <c r="G1012" t="str">
        <f t="shared" si="15"/>
        <v/>
      </c>
      <c r="H1012" t="s">
        <v>46</v>
      </c>
      <c r="I1012" t="s">
        <v>11</v>
      </c>
      <c r="J1012" t="s">
        <v>6</v>
      </c>
      <c r="K1012" t="s">
        <v>38</v>
      </c>
      <c r="L1012" t="s">
        <v>40</v>
      </c>
      <c r="M1012" t="s">
        <v>19</v>
      </c>
      <c r="N1012">
        <v>2</v>
      </c>
      <c r="O1012">
        <v>0</v>
      </c>
      <c r="P1012">
        <v>1400.35</v>
      </c>
      <c r="Q1012">
        <v>1400.35</v>
      </c>
    </row>
    <row r="1013" spans="7:17" x14ac:dyDescent="0.25">
      <c r="G1013" t="str">
        <f t="shared" si="15"/>
        <v/>
      </c>
      <c r="H1013" t="s">
        <v>46</v>
      </c>
      <c r="I1013" t="s">
        <v>11</v>
      </c>
      <c r="J1013" t="s">
        <v>6</v>
      </c>
      <c r="K1013" t="s">
        <v>38</v>
      </c>
      <c r="L1013" t="s">
        <v>40</v>
      </c>
      <c r="M1013" t="s">
        <v>20</v>
      </c>
      <c r="N1013">
        <v>3</v>
      </c>
      <c r="O1013">
        <v>2</v>
      </c>
      <c r="P1013">
        <v>1048.1400000000001</v>
      </c>
      <c r="Q1013">
        <v>0</v>
      </c>
    </row>
    <row r="1014" spans="7:17" x14ac:dyDescent="0.25">
      <c r="G1014" t="str">
        <f t="shared" si="15"/>
        <v/>
      </c>
      <c r="H1014" t="s">
        <v>46</v>
      </c>
      <c r="I1014" t="s">
        <v>11</v>
      </c>
      <c r="J1014" t="s">
        <v>6</v>
      </c>
      <c r="K1014" t="s">
        <v>38</v>
      </c>
      <c r="L1014" t="s">
        <v>41</v>
      </c>
      <c r="M1014" t="s">
        <v>19</v>
      </c>
      <c r="N1014">
        <v>1</v>
      </c>
      <c r="O1014">
        <v>0</v>
      </c>
      <c r="P1014">
        <v>1157.2</v>
      </c>
      <c r="Q1014">
        <v>500</v>
      </c>
    </row>
    <row r="1015" spans="7:17" x14ac:dyDescent="0.25">
      <c r="G1015" t="str">
        <f t="shared" si="15"/>
        <v/>
      </c>
      <c r="H1015" t="s">
        <v>46</v>
      </c>
      <c r="I1015" t="s">
        <v>11</v>
      </c>
      <c r="J1015" t="s">
        <v>6</v>
      </c>
      <c r="K1015" t="s">
        <v>38</v>
      </c>
      <c r="L1015" t="s">
        <v>45</v>
      </c>
      <c r="M1015" t="s">
        <v>19</v>
      </c>
      <c r="N1015">
        <v>2</v>
      </c>
      <c r="O1015">
        <v>0</v>
      </c>
      <c r="P1015">
        <v>4105.9400000000005</v>
      </c>
      <c r="Q1015">
        <v>4105.6499999999996</v>
      </c>
    </row>
    <row r="1016" spans="7:17" x14ac:dyDescent="0.25">
      <c r="G1016" t="str">
        <f t="shared" si="15"/>
        <v/>
      </c>
      <c r="H1016" t="s">
        <v>46</v>
      </c>
      <c r="I1016" t="s">
        <v>11</v>
      </c>
      <c r="J1016" t="s">
        <v>6</v>
      </c>
      <c r="K1016" t="s">
        <v>38</v>
      </c>
      <c r="L1016" t="s">
        <v>45</v>
      </c>
      <c r="M1016" t="s">
        <v>20</v>
      </c>
      <c r="N1016">
        <v>13</v>
      </c>
      <c r="O1016">
        <v>3</v>
      </c>
      <c r="P1016">
        <v>17323.179999999997</v>
      </c>
      <c r="Q1016">
        <v>0</v>
      </c>
    </row>
    <row r="1017" spans="7:17" x14ac:dyDescent="0.25">
      <c r="G1017" t="str">
        <f t="shared" si="15"/>
        <v/>
      </c>
      <c r="H1017" t="s">
        <v>46</v>
      </c>
      <c r="I1017" t="s">
        <v>11</v>
      </c>
      <c r="J1017" t="s">
        <v>3</v>
      </c>
      <c r="K1017" t="s">
        <v>23</v>
      </c>
      <c r="L1017" t="s">
        <v>42</v>
      </c>
      <c r="M1017" t="s">
        <v>19</v>
      </c>
      <c r="N1017">
        <v>808</v>
      </c>
      <c r="O1017">
        <v>29</v>
      </c>
      <c r="P1017">
        <v>163878.64000000109</v>
      </c>
      <c r="Q1017">
        <v>155126.2100000011</v>
      </c>
    </row>
    <row r="1018" spans="7:17" x14ac:dyDescent="0.25">
      <c r="G1018" t="str">
        <f t="shared" si="15"/>
        <v/>
      </c>
      <c r="H1018" t="s">
        <v>46</v>
      </c>
      <c r="I1018" t="s">
        <v>11</v>
      </c>
      <c r="J1018" t="s">
        <v>3</v>
      </c>
      <c r="K1018" t="s">
        <v>23</v>
      </c>
      <c r="L1018" t="s">
        <v>42</v>
      </c>
      <c r="M1018" t="s">
        <v>20</v>
      </c>
      <c r="N1018">
        <v>56</v>
      </c>
      <c r="O1018">
        <v>11</v>
      </c>
      <c r="P1018">
        <v>9435.58</v>
      </c>
      <c r="Q1018">
        <v>0</v>
      </c>
    </row>
    <row r="1019" spans="7:17" x14ac:dyDescent="0.25">
      <c r="G1019" t="str">
        <f t="shared" si="15"/>
        <v/>
      </c>
      <c r="H1019" t="s">
        <v>46</v>
      </c>
      <c r="I1019" t="s">
        <v>11</v>
      </c>
      <c r="J1019" t="s">
        <v>3</v>
      </c>
      <c r="K1019" t="s">
        <v>23</v>
      </c>
      <c r="L1019" t="s">
        <v>43</v>
      </c>
      <c r="M1019" t="s">
        <v>19</v>
      </c>
      <c r="N1019">
        <v>1295</v>
      </c>
      <c r="O1019">
        <v>17</v>
      </c>
      <c r="P1019">
        <v>289482.33000000025</v>
      </c>
      <c r="Q1019">
        <v>280726.32000000018</v>
      </c>
    </row>
    <row r="1020" spans="7:17" x14ac:dyDescent="0.25">
      <c r="G1020" t="str">
        <f t="shared" si="15"/>
        <v/>
      </c>
      <c r="H1020" t="s">
        <v>46</v>
      </c>
      <c r="I1020" t="s">
        <v>11</v>
      </c>
      <c r="J1020" t="s">
        <v>3</v>
      </c>
      <c r="K1020" t="s">
        <v>23</v>
      </c>
      <c r="L1020" t="s">
        <v>43</v>
      </c>
      <c r="M1020" t="s">
        <v>20</v>
      </c>
      <c r="N1020">
        <v>121</v>
      </c>
      <c r="O1020">
        <v>13</v>
      </c>
      <c r="P1020">
        <v>131204.19999999995</v>
      </c>
      <c r="Q1020">
        <v>0</v>
      </c>
    </row>
    <row r="1021" spans="7:17" x14ac:dyDescent="0.25">
      <c r="G1021" t="str">
        <f t="shared" si="15"/>
        <v/>
      </c>
      <c r="H1021" t="s">
        <v>46</v>
      </c>
      <c r="I1021" t="s">
        <v>11</v>
      </c>
      <c r="J1021" t="s">
        <v>3</v>
      </c>
      <c r="K1021" t="s">
        <v>23</v>
      </c>
      <c r="L1021" t="s">
        <v>44</v>
      </c>
      <c r="M1021" t="s">
        <v>19</v>
      </c>
      <c r="N1021">
        <v>76</v>
      </c>
      <c r="O1021">
        <v>12</v>
      </c>
      <c r="P1021">
        <v>50037.739999999991</v>
      </c>
      <c r="Q1021">
        <v>45588</v>
      </c>
    </row>
    <row r="1022" spans="7:17" x14ac:dyDescent="0.25">
      <c r="G1022" t="str">
        <f t="shared" si="15"/>
        <v/>
      </c>
      <c r="H1022" t="s">
        <v>46</v>
      </c>
      <c r="I1022" t="s">
        <v>11</v>
      </c>
      <c r="J1022" t="s">
        <v>3</v>
      </c>
      <c r="K1022" t="s">
        <v>23</v>
      </c>
      <c r="L1022" t="s">
        <v>44</v>
      </c>
      <c r="M1022" t="s">
        <v>20</v>
      </c>
      <c r="N1022">
        <v>22</v>
      </c>
      <c r="O1022">
        <v>14</v>
      </c>
      <c r="P1022">
        <v>28094.859999999997</v>
      </c>
      <c r="Q1022">
        <v>0</v>
      </c>
    </row>
    <row r="1023" spans="7:17" x14ac:dyDescent="0.25">
      <c r="G1023" t="str">
        <f t="shared" si="15"/>
        <v/>
      </c>
      <c r="H1023" t="s">
        <v>46</v>
      </c>
      <c r="I1023" t="s">
        <v>11</v>
      </c>
      <c r="J1023" t="s">
        <v>3</v>
      </c>
      <c r="K1023" t="s">
        <v>23</v>
      </c>
      <c r="L1023" t="s">
        <v>39</v>
      </c>
      <c r="M1023" t="s">
        <v>19</v>
      </c>
      <c r="N1023">
        <v>8</v>
      </c>
      <c r="O1023">
        <v>7</v>
      </c>
      <c r="P1023">
        <v>8268.9499999999989</v>
      </c>
      <c r="Q1023">
        <v>7578.24</v>
      </c>
    </row>
    <row r="1024" spans="7:17" x14ac:dyDescent="0.25">
      <c r="G1024" t="str">
        <f t="shared" si="15"/>
        <v/>
      </c>
      <c r="H1024" t="s">
        <v>46</v>
      </c>
      <c r="I1024" t="s">
        <v>11</v>
      </c>
      <c r="J1024" t="s">
        <v>3</v>
      </c>
      <c r="K1024" t="s">
        <v>23</v>
      </c>
      <c r="L1024" t="s">
        <v>39</v>
      </c>
      <c r="M1024" t="s">
        <v>20</v>
      </c>
      <c r="N1024">
        <v>6</v>
      </c>
      <c r="O1024">
        <v>3</v>
      </c>
      <c r="P1024">
        <v>7914.05</v>
      </c>
      <c r="Q1024">
        <v>0</v>
      </c>
    </row>
    <row r="1025" spans="7:17" x14ac:dyDescent="0.25">
      <c r="G1025" t="str">
        <f t="shared" si="15"/>
        <v/>
      </c>
      <c r="H1025" t="s">
        <v>46</v>
      </c>
      <c r="I1025" t="s">
        <v>11</v>
      </c>
      <c r="J1025" t="s">
        <v>3</v>
      </c>
      <c r="K1025" t="s">
        <v>23</v>
      </c>
      <c r="L1025" t="s">
        <v>40</v>
      </c>
      <c r="M1025" t="s">
        <v>19</v>
      </c>
      <c r="N1025">
        <v>1</v>
      </c>
      <c r="O1025">
        <v>0</v>
      </c>
      <c r="P1025">
        <v>1302.17</v>
      </c>
      <c r="Q1025">
        <v>176.43</v>
      </c>
    </row>
    <row r="1026" spans="7:17" x14ac:dyDescent="0.25">
      <c r="G1026" t="str">
        <f t="shared" ref="G1026:G1089" si="16">IF(G$1="Overall","Overall",IF(G$1=L1026,L1026,""))</f>
        <v/>
      </c>
      <c r="H1026" t="s">
        <v>46</v>
      </c>
      <c r="I1026" t="s">
        <v>11</v>
      </c>
      <c r="J1026" t="s">
        <v>3</v>
      </c>
      <c r="K1026" t="s">
        <v>23</v>
      </c>
      <c r="L1026" t="s">
        <v>40</v>
      </c>
      <c r="M1026" t="s">
        <v>20</v>
      </c>
      <c r="N1026">
        <v>3</v>
      </c>
      <c r="O1026">
        <v>1</v>
      </c>
      <c r="P1026">
        <v>1952.2</v>
      </c>
      <c r="Q1026">
        <v>0</v>
      </c>
    </row>
    <row r="1027" spans="7:17" x14ac:dyDescent="0.25">
      <c r="G1027" t="str">
        <f t="shared" si="16"/>
        <v/>
      </c>
      <c r="H1027" t="s">
        <v>46</v>
      </c>
      <c r="I1027" t="s">
        <v>11</v>
      </c>
      <c r="J1027" t="s">
        <v>3</v>
      </c>
      <c r="K1027" t="s">
        <v>23</v>
      </c>
      <c r="L1027" t="s">
        <v>41</v>
      </c>
      <c r="M1027" t="s">
        <v>19</v>
      </c>
      <c r="N1027">
        <v>1</v>
      </c>
      <c r="O1027">
        <v>1</v>
      </c>
      <c r="P1027">
        <v>2433.83</v>
      </c>
      <c r="Q1027">
        <v>2433.83</v>
      </c>
    </row>
    <row r="1028" spans="7:17" x14ac:dyDescent="0.25">
      <c r="G1028" t="str">
        <f t="shared" si="16"/>
        <v/>
      </c>
      <c r="H1028" t="s">
        <v>46</v>
      </c>
      <c r="I1028" t="s">
        <v>11</v>
      </c>
      <c r="J1028" t="s">
        <v>3</v>
      </c>
      <c r="K1028" t="s">
        <v>23</v>
      </c>
      <c r="L1028" t="s">
        <v>41</v>
      </c>
      <c r="M1028" t="s">
        <v>20</v>
      </c>
      <c r="N1028">
        <v>3</v>
      </c>
      <c r="O1028">
        <v>0</v>
      </c>
      <c r="P1028">
        <v>3686.27</v>
      </c>
      <c r="Q1028">
        <v>0</v>
      </c>
    </row>
    <row r="1029" spans="7:17" x14ac:dyDescent="0.25">
      <c r="G1029" t="str">
        <f t="shared" si="16"/>
        <v/>
      </c>
      <c r="H1029" t="s">
        <v>46</v>
      </c>
      <c r="I1029" t="s">
        <v>11</v>
      </c>
      <c r="J1029" t="s">
        <v>3</v>
      </c>
      <c r="K1029" t="s">
        <v>23</v>
      </c>
      <c r="L1029" t="s">
        <v>45</v>
      </c>
      <c r="M1029" t="s">
        <v>20</v>
      </c>
      <c r="N1029">
        <v>24</v>
      </c>
      <c r="O1029">
        <v>6</v>
      </c>
      <c r="P1029">
        <v>94.079999999999984</v>
      </c>
      <c r="Q1029">
        <v>0</v>
      </c>
    </row>
    <row r="1030" spans="7:17" x14ac:dyDescent="0.25">
      <c r="G1030" t="str">
        <f t="shared" si="16"/>
        <v/>
      </c>
      <c r="H1030" t="s">
        <v>46</v>
      </c>
      <c r="I1030" t="s">
        <v>11</v>
      </c>
      <c r="J1030" t="s">
        <v>3</v>
      </c>
      <c r="K1030" t="s">
        <v>24</v>
      </c>
      <c r="L1030" t="s">
        <v>42</v>
      </c>
      <c r="M1030" t="s">
        <v>19</v>
      </c>
      <c r="N1030">
        <v>379</v>
      </c>
      <c r="O1030">
        <v>16</v>
      </c>
      <c r="P1030">
        <v>168678.82000000015</v>
      </c>
      <c r="Q1030">
        <v>166612.3300000001</v>
      </c>
    </row>
    <row r="1031" spans="7:17" x14ac:dyDescent="0.25">
      <c r="G1031" t="str">
        <f t="shared" si="16"/>
        <v/>
      </c>
      <c r="H1031" t="s">
        <v>46</v>
      </c>
      <c r="I1031" t="s">
        <v>11</v>
      </c>
      <c r="J1031" t="s">
        <v>3</v>
      </c>
      <c r="K1031" t="s">
        <v>24</v>
      </c>
      <c r="L1031" t="s">
        <v>42</v>
      </c>
      <c r="M1031" t="s">
        <v>20</v>
      </c>
      <c r="N1031">
        <v>116</v>
      </c>
      <c r="O1031">
        <v>7</v>
      </c>
      <c r="P1031">
        <v>26945.870000000006</v>
      </c>
      <c r="Q1031">
        <v>0</v>
      </c>
    </row>
    <row r="1032" spans="7:17" x14ac:dyDescent="0.25">
      <c r="G1032" t="str">
        <f t="shared" si="16"/>
        <v/>
      </c>
      <c r="H1032" t="s">
        <v>46</v>
      </c>
      <c r="I1032" t="s">
        <v>11</v>
      </c>
      <c r="J1032" t="s">
        <v>3</v>
      </c>
      <c r="K1032" t="s">
        <v>24</v>
      </c>
      <c r="L1032" t="s">
        <v>43</v>
      </c>
      <c r="M1032" t="s">
        <v>19</v>
      </c>
      <c r="N1032">
        <v>157</v>
      </c>
      <c r="O1032">
        <v>5</v>
      </c>
      <c r="P1032">
        <v>163659.83000000002</v>
      </c>
      <c r="Q1032">
        <v>134570.49000000002</v>
      </c>
    </row>
    <row r="1033" spans="7:17" x14ac:dyDescent="0.25">
      <c r="G1033" t="str">
        <f t="shared" si="16"/>
        <v/>
      </c>
      <c r="H1033" t="s">
        <v>46</v>
      </c>
      <c r="I1033" t="s">
        <v>11</v>
      </c>
      <c r="J1033" t="s">
        <v>3</v>
      </c>
      <c r="K1033" t="s">
        <v>24</v>
      </c>
      <c r="L1033" t="s">
        <v>43</v>
      </c>
      <c r="M1033" t="s">
        <v>20</v>
      </c>
      <c r="N1033">
        <v>61</v>
      </c>
      <c r="O1033">
        <v>3</v>
      </c>
      <c r="P1033">
        <v>43361.13</v>
      </c>
      <c r="Q1033">
        <v>0</v>
      </c>
    </row>
    <row r="1034" spans="7:17" x14ac:dyDescent="0.25">
      <c r="G1034" t="str">
        <f t="shared" si="16"/>
        <v/>
      </c>
      <c r="H1034" t="s">
        <v>46</v>
      </c>
      <c r="I1034" t="s">
        <v>11</v>
      </c>
      <c r="J1034" t="s">
        <v>3</v>
      </c>
      <c r="K1034" t="s">
        <v>24</v>
      </c>
      <c r="L1034" t="s">
        <v>44</v>
      </c>
      <c r="M1034" t="s">
        <v>19</v>
      </c>
      <c r="N1034">
        <v>59</v>
      </c>
      <c r="O1034">
        <v>10</v>
      </c>
      <c r="P1034">
        <v>68144.000000000015</v>
      </c>
      <c r="Q1034">
        <v>52328.630000000005</v>
      </c>
    </row>
    <row r="1035" spans="7:17" x14ac:dyDescent="0.25">
      <c r="G1035" t="str">
        <f t="shared" si="16"/>
        <v/>
      </c>
      <c r="H1035" t="s">
        <v>46</v>
      </c>
      <c r="I1035" t="s">
        <v>11</v>
      </c>
      <c r="J1035" t="s">
        <v>3</v>
      </c>
      <c r="K1035" t="s">
        <v>24</v>
      </c>
      <c r="L1035" t="s">
        <v>44</v>
      </c>
      <c r="M1035" t="s">
        <v>20</v>
      </c>
      <c r="N1035">
        <v>14</v>
      </c>
      <c r="O1035">
        <v>2</v>
      </c>
      <c r="P1035">
        <v>13485.209999999997</v>
      </c>
      <c r="Q1035">
        <v>0</v>
      </c>
    </row>
    <row r="1036" spans="7:17" x14ac:dyDescent="0.25">
      <c r="G1036" t="str">
        <f t="shared" si="16"/>
        <v/>
      </c>
      <c r="H1036" t="s">
        <v>46</v>
      </c>
      <c r="I1036" t="s">
        <v>11</v>
      </c>
      <c r="J1036" t="s">
        <v>3</v>
      </c>
      <c r="K1036" t="s">
        <v>24</v>
      </c>
      <c r="L1036" t="s">
        <v>39</v>
      </c>
      <c r="M1036" t="s">
        <v>19</v>
      </c>
      <c r="N1036">
        <v>12</v>
      </c>
      <c r="O1036">
        <v>6</v>
      </c>
      <c r="P1036">
        <v>68525.100000000006</v>
      </c>
      <c r="Q1036">
        <v>49549.11</v>
      </c>
    </row>
    <row r="1037" spans="7:17" x14ac:dyDescent="0.25">
      <c r="G1037" t="str">
        <f t="shared" si="16"/>
        <v/>
      </c>
      <c r="H1037" t="s">
        <v>46</v>
      </c>
      <c r="I1037" t="s">
        <v>11</v>
      </c>
      <c r="J1037" t="s">
        <v>3</v>
      </c>
      <c r="K1037" t="s">
        <v>24</v>
      </c>
      <c r="L1037" t="s">
        <v>39</v>
      </c>
      <c r="M1037" t="s">
        <v>20</v>
      </c>
      <c r="N1037">
        <v>6</v>
      </c>
      <c r="O1037">
        <v>0</v>
      </c>
      <c r="P1037">
        <v>8619.64</v>
      </c>
      <c r="Q1037">
        <v>0</v>
      </c>
    </row>
    <row r="1038" spans="7:17" x14ac:dyDescent="0.25">
      <c r="G1038" t="str">
        <f t="shared" si="16"/>
        <v/>
      </c>
      <c r="H1038" t="s">
        <v>46</v>
      </c>
      <c r="I1038" t="s">
        <v>11</v>
      </c>
      <c r="J1038" t="s">
        <v>3</v>
      </c>
      <c r="K1038" t="s">
        <v>24</v>
      </c>
      <c r="L1038" t="s">
        <v>40</v>
      </c>
      <c r="M1038" t="s">
        <v>19</v>
      </c>
      <c r="N1038">
        <v>2</v>
      </c>
      <c r="O1038">
        <v>0</v>
      </c>
      <c r="P1038">
        <v>4232.6899999999996</v>
      </c>
      <c r="Q1038">
        <v>2740.8999999999996</v>
      </c>
    </row>
    <row r="1039" spans="7:17" x14ac:dyDescent="0.25">
      <c r="G1039" t="str">
        <f t="shared" si="16"/>
        <v/>
      </c>
      <c r="H1039" t="s">
        <v>46</v>
      </c>
      <c r="I1039" t="s">
        <v>11</v>
      </c>
      <c r="J1039" t="s">
        <v>3</v>
      </c>
      <c r="K1039" t="s">
        <v>24</v>
      </c>
      <c r="L1039" t="s">
        <v>41</v>
      </c>
      <c r="M1039" t="s">
        <v>20</v>
      </c>
      <c r="N1039">
        <v>2</v>
      </c>
      <c r="O1039">
        <v>0</v>
      </c>
      <c r="P1039">
        <v>2379.7799999999997</v>
      </c>
      <c r="Q1039">
        <v>0</v>
      </c>
    </row>
    <row r="1040" spans="7:17" x14ac:dyDescent="0.25">
      <c r="G1040" t="str">
        <f t="shared" si="16"/>
        <v/>
      </c>
      <c r="H1040" t="s">
        <v>46</v>
      </c>
      <c r="I1040" t="s">
        <v>11</v>
      </c>
      <c r="J1040" t="s">
        <v>3</v>
      </c>
      <c r="K1040" t="s">
        <v>24</v>
      </c>
      <c r="L1040" t="s">
        <v>45</v>
      </c>
      <c r="M1040" t="s">
        <v>20</v>
      </c>
      <c r="N1040">
        <v>6</v>
      </c>
      <c r="O1040">
        <v>4</v>
      </c>
      <c r="P1040">
        <v>39.72</v>
      </c>
      <c r="Q1040">
        <v>0</v>
      </c>
    </row>
    <row r="1041" spans="7:17" x14ac:dyDescent="0.25">
      <c r="G1041" t="str">
        <f t="shared" si="16"/>
        <v/>
      </c>
      <c r="H1041" t="s">
        <v>46</v>
      </c>
      <c r="I1041" t="s">
        <v>11</v>
      </c>
      <c r="J1041" t="s">
        <v>3</v>
      </c>
      <c r="K1041" t="s">
        <v>25</v>
      </c>
      <c r="L1041" t="s">
        <v>42</v>
      </c>
      <c r="M1041" t="s">
        <v>19</v>
      </c>
      <c r="N1041">
        <v>631</v>
      </c>
      <c r="O1041">
        <v>48</v>
      </c>
      <c r="P1041">
        <v>174078.14000000033</v>
      </c>
      <c r="Q1041">
        <v>174076.5700000003</v>
      </c>
    </row>
    <row r="1042" spans="7:17" x14ac:dyDescent="0.25">
      <c r="G1042" t="str">
        <f t="shared" si="16"/>
        <v/>
      </c>
      <c r="H1042" t="s">
        <v>46</v>
      </c>
      <c r="I1042" t="s">
        <v>11</v>
      </c>
      <c r="J1042" t="s">
        <v>3</v>
      </c>
      <c r="K1042" t="s">
        <v>25</v>
      </c>
      <c r="L1042" t="s">
        <v>42</v>
      </c>
      <c r="M1042" t="s">
        <v>20</v>
      </c>
      <c r="N1042">
        <v>98</v>
      </c>
      <c r="O1042">
        <v>18</v>
      </c>
      <c r="P1042">
        <v>18507.409999999996</v>
      </c>
      <c r="Q1042">
        <v>0</v>
      </c>
    </row>
    <row r="1043" spans="7:17" x14ac:dyDescent="0.25">
      <c r="G1043" t="str">
        <f t="shared" si="16"/>
        <v/>
      </c>
      <c r="H1043" t="s">
        <v>46</v>
      </c>
      <c r="I1043" t="s">
        <v>11</v>
      </c>
      <c r="J1043" t="s">
        <v>3</v>
      </c>
      <c r="K1043" t="s">
        <v>25</v>
      </c>
      <c r="L1043" t="s">
        <v>43</v>
      </c>
      <c r="M1043" t="s">
        <v>19</v>
      </c>
      <c r="N1043">
        <v>294</v>
      </c>
      <c r="O1043">
        <v>19</v>
      </c>
      <c r="P1043">
        <v>234136.30000000037</v>
      </c>
      <c r="Q1043">
        <v>180058.9800000003</v>
      </c>
    </row>
    <row r="1044" spans="7:17" x14ac:dyDescent="0.25">
      <c r="G1044" t="str">
        <f t="shared" si="16"/>
        <v/>
      </c>
      <c r="H1044" t="s">
        <v>46</v>
      </c>
      <c r="I1044" t="s">
        <v>11</v>
      </c>
      <c r="J1044" t="s">
        <v>3</v>
      </c>
      <c r="K1044" t="s">
        <v>25</v>
      </c>
      <c r="L1044" t="s">
        <v>43</v>
      </c>
      <c r="M1044" t="s">
        <v>20</v>
      </c>
      <c r="N1044">
        <v>59</v>
      </c>
      <c r="O1044">
        <v>15</v>
      </c>
      <c r="P1044">
        <v>42786.350000000006</v>
      </c>
      <c r="Q1044">
        <v>0</v>
      </c>
    </row>
    <row r="1045" spans="7:17" x14ac:dyDescent="0.25">
      <c r="G1045" t="str">
        <f t="shared" si="16"/>
        <v/>
      </c>
      <c r="H1045" t="s">
        <v>46</v>
      </c>
      <c r="I1045" t="s">
        <v>11</v>
      </c>
      <c r="J1045" t="s">
        <v>3</v>
      </c>
      <c r="K1045" t="s">
        <v>25</v>
      </c>
      <c r="L1045" t="s">
        <v>44</v>
      </c>
      <c r="M1045" t="s">
        <v>19</v>
      </c>
      <c r="N1045">
        <v>249</v>
      </c>
      <c r="O1045">
        <v>13</v>
      </c>
      <c r="P1045">
        <v>222852.38000000044</v>
      </c>
      <c r="Q1045">
        <v>140114.91000000003</v>
      </c>
    </row>
    <row r="1046" spans="7:17" x14ac:dyDescent="0.25">
      <c r="G1046" t="str">
        <f t="shared" si="16"/>
        <v/>
      </c>
      <c r="H1046" t="s">
        <v>46</v>
      </c>
      <c r="I1046" t="s">
        <v>11</v>
      </c>
      <c r="J1046" t="s">
        <v>3</v>
      </c>
      <c r="K1046" t="s">
        <v>25</v>
      </c>
      <c r="L1046" t="s">
        <v>44</v>
      </c>
      <c r="M1046" t="s">
        <v>20</v>
      </c>
      <c r="N1046">
        <v>58</v>
      </c>
      <c r="O1046">
        <v>15</v>
      </c>
      <c r="P1046">
        <v>68434.689999999988</v>
      </c>
      <c r="Q1046">
        <v>0</v>
      </c>
    </row>
    <row r="1047" spans="7:17" x14ac:dyDescent="0.25">
      <c r="G1047" t="str">
        <f t="shared" si="16"/>
        <v/>
      </c>
      <c r="H1047" t="s">
        <v>46</v>
      </c>
      <c r="I1047" t="s">
        <v>11</v>
      </c>
      <c r="J1047" t="s">
        <v>3</v>
      </c>
      <c r="K1047" t="s">
        <v>25</v>
      </c>
      <c r="L1047" t="s">
        <v>39</v>
      </c>
      <c r="M1047" t="s">
        <v>19</v>
      </c>
      <c r="N1047">
        <v>22</v>
      </c>
      <c r="O1047">
        <v>6</v>
      </c>
      <c r="P1047">
        <v>48707.69</v>
      </c>
      <c r="Q1047">
        <v>43154.9</v>
      </c>
    </row>
    <row r="1048" spans="7:17" x14ac:dyDescent="0.25">
      <c r="G1048" t="str">
        <f t="shared" si="16"/>
        <v/>
      </c>
      <c r="H1048" t="s">
        <v>46</v>
      </c>
      <c r="I1048" t="s">
        <v>11</v>
      </c>
      <c r="J1048" t="s">
        <v>3</v>
      </c>
      <c r="K1048" t="s">
        <v>25</v>
      </c>
      <c r="L1048" t="s">
        <v>39</v>
      </c>
      <c r="M1048" t="s">
        <v>20</v>
      </c>
      <c r="N1048">
        <v>32</v>
      </c>
      <c r="O1048">
        <v>15</v>
      </c>
      <c r="P1048">
        <v>64400.530000000021</v>
      </c>
      <c r="Q1048">
        <v>0</v>
      </c>
    </row>
    <row r="1049" spans="7:17" x14ac:dyDescent="0.25">
      <c r="G1049" t="str">
        <f t="shared" si="16"/>
        <v/>
      </c>
      <c r="H1049" t="s">
        <v>46</v>
      </c>
      <c r="I1049" t="s">
        <v>11</v>
      </c>
      <c r="J1049" t="s">
        <v>3</v>
      </c>
      <c r="K1049" t="s">
        <v>25</v>
      </c>
      <c r="L1049" t="s">
        <v>40</v>
      </c>
      <c r="M1049" t="s">
        <v>19</v>
      </c>
      <c r="N1049">
        <v>1</v>
      </c>
      <c r="O1049">
        <v>0</v>
      </c>
      <c r="P1049">
        <v>1284.42</v>
      </c>
      <c r="Q1049">
        <v>1284.42</v>
      </c>
    </row>
    <row r="1050" spans="7:17" x14ac:dyDescent="0.25">
      <c r="G1050" t="str">
        <f t="shared" si="16"/>
        <v/>
      </c>
      <c r="H1050" t="s">
        <v>46</v>
      </c>
      <c r="I1050" t="s">
        <v>11</v>
      </c>
      <c r="J1050" t="s">
        <v>3</v>
      </c>
      <c r="K1050" t="s">
        <v>25</v>
      </c>
      <c r="L1050" t="s">
        <v>40</v>
      </c>
      <c r="M1050" t="s">
        <v>20</v>
      </c>
      <c r="N1050">
        <v>10</v>
      </c>
      <c r="O1050">
        <v>2</v>
      </c>
      <c r="P1050">
        <v>41763.949999999997</v>
      </c>
      <c r="Q1050">
        <v>0</v>
      </c>
    </row>
    <row r="1051" spans="7:17" x14ac:dyDescent="0.25">
      <c r="G1051" t="str">
        <f t="shared" si="16"/>
        <v/>
      </c>
      <c r="H1051" t="s">
        <v>46</v>
      </c>
      <c r="I1051" t="s">
        <v>11</v>
      </c>
      <c r="J1051" t="s">
        <v>3</v>
      </c>
      <c r="K1051" t="s">
        <v>25</v>
      </c>
      <c r="L1051" t="s">
        <v>41</v>
      </c>
      <c r="M1051" t="s">
        <v>20</v>
      </c>
      <c r="N1051">
        <v>3</v>
      </c>
      <c r="O1051">
        <v>1</v>
      </c>
      <c r="P1051">
        <v>5746.79</v>
      </c>
      <c r="Q1051">
        <v>0</v>
      </c>
    </row>
    <row r="1052" spans="7:17" x14ac:dyDescent="0.25">
      <c r="G1052" t="str">
        <f t="shared" si="16"/>
        <v/>
      </c>
      <c r="H1052" t="s">
        <v>46</v>
      </c>
      <c r="I1052" t="s">
        <v>11</v>
      </c>
      <c r="J1052" t="s">
        <v>3</v>
      </c>
      <c r="K1052" t="s">
        <v>25</v>
      </c>
      <c r="L1052" t="s">
        <v>45</v>
      </c>
      <c r="M1052" t="s">
        <v>20</v>
      </c>
      <c r="N1052">
        <v>37</v>
      </c>
      <c r="O1052">
        <v>11</v>
      </c>
      <c r="P1052">
        <v>8263.14</v>
      </c>
      <c r="Q1052">
        <v>0</v>
      </c>
    </row>
    <row r="1053" spans="7:17" x14ac:dyDescent="0.25">
      <c r="G1053" t="str">
        <f t="shared" si="16"/>
        <v/>
      </c>
      <c r="H1053" t="s">
        <v>46</v>
      </c>
      <c r="I1053" t="s">
        <v>11</v>
      </c>
      <c r="J1053" t="s">
        <v>3</v>
      </c>
      <c r="K1053" t="s">
        <v>26</v>
      </c>
      <c r="L1053" t="s">
        <v>42</v>
      </c>
      <c r="M1053" t="s">
        <v>19</v>
      </c>
      <c r="N1053">
        <v>594</v>
      </c>
      <c r="O1053">
        <v>45</v>
      </c>
      <c r="P1053">
        <v>77363.629999999859</v>
      </c>
      <c r="Q1053">
        <v>76192.239999999831</v>
      </c>
    </row>
    <row r="1054" spans="7:17" x14ac:dyDescent="0.25">
      <c r="G1054" t="str">
        <f t="shared" si="16"/>
        <v/>
      </c>
      <c r="H1054" t="s">
        <v>46</v>
      </c>
      <c r="I1054" t="s">
        <v>11</v>
      </c>
      <c r="J1054" t="s">
        <v>3</v>
      </c>
      <c r="K1054" t="s">
        <v>26</v>
      </c>
      <c r="L1054" t="s">
        <v>42</v>
      </c>
      <c r="M1054" t="s">
        <v>20</v>
      </c>
      <c r="N1054">
        <v>178</v>
      </c>
      <c r="O1054">
        <v>12</v>
      </c>
      <c r="P1054">
        <v>33897.859999999979</v>
      </c>
      <c r="Q1054">
        <v>0</v>
      </c>
    </row>
    <row r="1055" spans="7:17" x14ac:dyDescent="0.25">
      <c r="G1055" t="str">
        <f t="shared" si="16"/>
        <v/>
      </c>
      <c r="H1055" t="s">
        <v>46</v>
      </c>
      <c r="I1055" t="s">
        <v>11</v>
      </c>
      <c r="J1055" t="s">
        <v>3</v>
      </c>
      <c r="K1055" t="s">
        <v>26</v>
      </c>
      <c r="L1055" t="s">
        <v>43</v>
      </c>
      <c r="M1055" t="s">
        <v>19</v>
      </c>
      <c r="N1055">
        <v>347</v>
      </c>
      <c r="O1055">
        <v>25</v>
      </c>
      <c r="P1055">
        <v>162651.5</v>
      </c>
      <c r="Q1055">
        <v>137163.32000000009</v>
      </c>
    </row>
    <row r="1056" spans="7:17" x14ac:dyDescent="0.25">
      <c r="G1056" t="str">
        <f t="shared" si="16"/>
        <v/>
      </c>
      <c r="H1056" t="s">
        <v>46</v>
      </c>
      <c r="I1056" t="s">
        <v>11</v>
      </c>
      <c r="J1056" t="s">
        <v>3</v>
      </c>
      <c r="K1056" t="s">
        <v>26</v>
      </c>
      <c r="L1056" t="s">
        <v>43</v>
      </c>
      <c r="M1056" t="s">
        <v>20</v>
      </c>
      <c r="N1056">
        <v>418</v>
      </c>
      <c r="O1056">
        <v>18</v>
      </c>
      <c r="P1056">
        <v>247812.34000000008</v>
      </c>
      <c r="Q1056">
        <v>0</v>
      </c>
    </row>
    <row r="1057" spans="7:17" x14ac:dyDescent="0.25">
      <c r="G1057" t="str">
        <f t="shared" si="16"/>
        <v/>
      </c>
      <c r="H1057" t="s">
        <v>46</v>
      </c>
      <c r="I1057" t="s">
        <v>11</v>
      </c>
      <c r="J1057" t="s">
        <v>3</v>
      </c>
      <c r="K1057" t="s">
        <v>26</v>
      </c>
      <c r="L1057" t="s">
        <v>44</v>
      </c>
      <c r="M1057" t="s">
        <v>19</v>
      </c>
      <c r="N1057">
        <v>84</v>
      </c>
      <c r="O1057">
        <v>19</v>
      </c>
      <c r="P1057">
        <v>85859.070000000036</v>
      </c>
      <c r="Q1057">
        <v>65999.689999999988</v>
      </c>
    </row>
    <row r="1058" spans="7:17" x14ac:dyDescent="0.25">
      <c r="G1058" t="str">
        <f t="shared" si="16"/>
        <v/>
      </c>
      <c r="H1058" t="s">
        <v>46</v>
      </c>
      <c r="I1058" t="s">
        <v>11</v>
      </c>
      <c r="J1058" t="s">
        <v>3</v>
      </c>
      <c r="K1058" t="s">
        <v>26</v>
      </c>
      <c r="L1058" t="s">
        <v>44</v>
      </c>
      <c r="M1058" t="s">
        <v>20</v>
      </c>
      <c r="N1058">
        <v>55</v>
      </c>
      <c r="O1058">
        <v>17</v>
      </c>
      <c r="P1058">
        <v>50625.760000000002</v>
      </c>
      <c r="Q1058">
        <v>0</v>
      </c>
    </row>
    <row r="1059" spans="7:17" x14ac:dyDescent="0.25">
      <c r="G1059" t="str">
        <f t="shared" si="16"/>
        <v/>
      </c>
      <c r="H1059" t="s">
        <v>46</v>
      </c>
      <c r="I1059" t="s">
        <v>11</v>
      </c>
      <c r="J1059" t="s">
        <v>3</v>
      </c>
      <c r="K1059" t="s">
        <v>26</v>
      </c>
      <c r="L1059" t="s">
        <v>39</v>
      </c>
      <c r="M1059" t="s">
        <v>19</v>
      </c>
      <c r="N1059">
        <v>14</v>
      </c>
      <c r="O1059">
        <v>6</v>
      </c>
      <c r="P1059">
        <v>21701.210000000003</v>
      </c>
      <c r="Q1059">
        <v>18471.12</v>
      </c>
    </row>
    <row r="1060" spans="7:17" x14ac:dyDescent="0.25">
      <c r="G1060" t="str">
        <f t="shared" si="16"/>
        <v/>
      </c>
      <c r="H1060" t="s">
        <v>46</v>
      </c>
      <c r="I1060" t="s">
        <v>11</v>
      </c>
      <c r="J1060" t="s">
        <v>3</v>
      </c>
      <c r="K1060" t="s">
        <v>26</v>
      </c>
      <c r="L1060" t="s">
        <v>39</v>
      </c>
      <c r="M1060" t="s">
        <v>20</v>
      </c>
      <c r="N1060">
        <v>16</v>
      </c>
      <c r="O1060">
        <v>9</v>
      </c>
      <c r="P1060">
        <v>16937.54</v>
      </c>
      <c r="Q1060">
        <v>0</v>
      </c>
    </row>
    <row r="1061" spans="7:17" x14ac:dyDescent="0.25">
      <c r="G1061" t="str">
        <f t="shared" si="16"/>
        <v/>
      </c>
      <c r="H1061" t="s">
        <v>46</v>
      </c>
      <c r="I1061" t="s">
        <v>11</v>
      </c>
      <c r="J1061" t="s">
        <v>3</v>
      </c>
      <c r="K1061" t="s">
        <v>26</v>
      </c>
      <c r="L1061" t="s">
        <v>40</v>
      </c>
      <c r="M1061" t="s">
        <v>19</v>
      </c>
      <c r="N1061">
        <v>2</v>
      </c>
      <c r="O1061">
        <v>0</v>
      </c>
      <c r="P1061">
        <v>1467.88</v>
      </c>
      <c r="Q1061">
        <v>1467.88</v>
      </c>
    </row>
    <row r="1062" spans="7:17" x14ac:dyDescent="0.25">
      <c r="G1062" t="str">
        <f t="shared" si="16"/>
        <v/>
      </c>
      <c r="H1062" t="s">
        <v>46</v>
      </c>
      <c r="I1062" t="s">
        <v>11</v>
      </c>
      <c r="J1062" t="s">
        <v>3</v>
      </c>
      <c r="K1062" t="s">
        <v>26</v>
      </c>
      <c r="L1062" t="s">
        <v>40</v>
      </c>
      <c r="M1062" t="s">
        <v>20</v>
      </c>
      <c r="N1062">
        <v>11</v>
      </c>
      <c r="O1062">
        <v>2</v>
      </c>
      <c r="P1062">
        <v>5211.3499999999995</v>
      </c>
      <c r="Q1062">
        <v>0</v>
      </c>
    </row>
    <row r="1063" spans="7:17" x14ac:dyDescent="0.25">
      <c r="G1063" t="str">
        <f t="shared" si="16"/>
        <v/>
      </c>
      <c r="H1063" t="s">
        <v>46</v>
      </c>
      <c r="I1063" t="s">
        <v>11</v>
      </c>
      <c r="J1063" t="s">
        <v>3</v>
      </c>
      <c r="K1063" t="s">
        <v>26</v>
      </c>
      <c r="L1063" t="s">
        <v>41</v>
      </c>
      <c r="M1063" t="s">
        <v>19</v>
      </c>
      <c r="N1063">
        <v>4</v>
      </c>
      <c r="O1063">
        <v>2</v>
      </c>
      <c r="P1063">
        <v>5523.36</v>
      </c>
      <c r="Q1063">
        <v>2686.5299999999997</v>
      </c>
    </row>
    <row r="1064" spans="7:17" x14ac:dyDescent="0.25">
      <c r="G1064" t="str">
        <f t="shared" si="16"/>
        <v/>
      </c>
      <c r="H1064" t="s">
        <v>46</v>
      </c>
      <c r="I1064" t="s">
        <v>11</v>
      </c>
      <c r="J1064" t="s">
        <v>3</v>
      </c>
      <c r="K1064" t="s">
        <v>26</v>
      </c>
      <c r="L1064" t="s">
        <v>41</v>
      </c>
      <c r="M1064" t="s">
        <v>20</v>
      </c>
      <c r="N1064">
        <v>8</v>
      </c>
      <c r="O1064">
        <v>2</v>
      </c>
      <c r="P1064">
        <v>3689.7</v>
      </c>
      <c r="Q1064">
        <v>0</v>
      </c>
    </row>
    <row r="1065" spans="7:17" x14ac:dyDescent="0.25">
      <c r="G1065" t="str">
        <f t="shared" si="16"/>
        <v/>
      </c>
      <c r="H1065" t="s">
        <v>46</v>
      </c>
      <c r="I1065" t="s">
        <v>11</v>
      </c>
      <c r="J1065" t="s">
        <v>3</v>
      </c>
      <c r="K1065" t="s">
        <v>26</v>
      </c>
      <c r="L1065" t="s">
        <v>45</v>
      </c>
      <c r="M1065" t="s">
        <v>19</v>
      </c>
      <c r="N1065">
        <v>1</v>
      </c>
      <c r="O1065">
        <v>0</v>
      </c>
      <c r="P1065">
        <v>156.5</v>
      </c>
      <c r="Q1065">
        <v>156.5</v>
      </c>
    </row>
    <row r="1066" spans="7:17" x14ac:dyDescent="0.25">
      <c r="G1066" t="str">
        <f t="shared" si="16"/>
        <v/>
      </c>
      <c r="H1066" t="s">
        <v>46</v>
      </c>
      <c r="I1066" t="s">
        <v>11</v>
      </c>
      <c r="J1066" t="s">
        <v>3</v>
      </c>
      <c r="K1066" t="s">
        <v>26</v>
      </c>
      <c r="L1066" t="s">
        <v>45</v>
      </c>
      <c r="M1066" t="s">
        <v>20</v>
      </c>
      <c r="N1066">
        <v>103</v>
      </c>
      <c r="O1066">
        <v>32</v>
      </c>
      <c r="P1066">
        <v>64861.630000000005</v>
      </c>
      <c r="Q1066">
        <v>0</v>
      </c>
    </row>
    <row r="1067" spans="7:17" x14ac:dyDescent="0.25">
      <c r="G1067" t="str">
        <f t="shared" si="16"/>
        <v/>
      </c>
      <c r="H1067" t="s">
        <v>46</v>
      </c>
      <c r="I1067" t="s">
        <v>11</v>
      </c>
      <c r="J1067" t="s">
        <v>3</v>
      </c>
      <c r="K1067" t="s">
        <v>27</v>
      </c>
      <c r="L1067" t="s">
        <v>42</v>
      </c>
      <c r="M1067" t="s">
        <v>19</v>
      </c>
      <c r="N1067">
        <v>134</v>
      </c>
      <c r="O1067">
        <v>12</v>
      </c>
      <c r="P1067">
        <v>11981.879999999996</v>
      </c>
      <c r="Q1067">
        <v>11929.939999999995</v>
      </c>
    </row>
    <row r="1068" spans="7:17" x14ac:dyDescent="0.25">
      <c r="G1068" t="str">
        <f t="shared" si="16"/>
        <v/>
      </c>
      <c r="H1068" t="s">
        <v>46</v>
      </c>
      <c r="I1068" t="s">
        <v>11</v>
      </c>
      <c r="J1068" t="s">
        <v>3</v>
      </c>
      <c r="K1068" t="s">
        <v>27</v>
      </c>
      <c r="L1068" t="s">
        <v>42</v>
      </c>
      <c r="M1068" t="s">
        <v>20</v>
      </c>
      <c r="N1068">
        <v>74</v>
      </c>
      <c r="O1068">
        <v>3</v>
      </c>
      <c r="P1068">
        <v>4460.1300000000019</v>
      </c>
      <c r="Q1068">
        <v>0</v>
      </c>
    </row>
    <row r="1069" spans="7:17" x14ac:dyDescent="0.25">
      <c r="G1069" t="str">
        <f t="shared" si="16"/>
        <v/>
      </c>
      <c r="H1069" t="s">
        <v>46</v>
      </c>
      <c r="I1069" t="s">
        <v>11</v>
      </c>
      <c r="J1069" t="s">
        <v>3</v>
      </c>
      <c r="K1069" t="s">
        <v>27</v>
      </c>
      <c r="L1069" t="s">
        <v>43</v>
      </c>
      <c r="M1069" t="s">
        <v>19</v>
      </c>
      <c r="N1069">
        <v>29</v>
      </c>
      <c r="O1069">
        <v>8</v>
      </c>
      <c r="P1069">
        <v>11430.930000000002</v>
      </c>
      <c r="Q1069">
        <v>11413.67</v>
      </c>
    </row>
    <row r="1070" spans="7:17" x14ac:dyDescent="0.25">
      <c r="G1070" t="str">
        <f t="shared" si="16"/>
        <v/>
      </c>
      <c r="H1070" t="s">
        <v>46</v>
      </c>
      <c r="I1070" t="s">
        <v>11</v>
      </c>
      <c r="J1070" t="s">
        <v>3</v>
      </c>
      <c r="K1070" t="s">
        <v>27</v>
      </c>
      <c r="L1070" t="s">
        <v>43</v>
      </c>
      <c r="M1070" t="s">
        <v>20</v>
      </c>
      <c r="N1070">
        <v>10</v>
      </c>
      <c r="O1070">
        <v>0</v>
      </c>
      <c r="P1070">
        <v>4596.5</v>
      </c>
      <c r="Q1070">
        <v>0</v>
      </c>
    </row>
    <row r="1071" spans="7:17" x14ac:dyDescent="0.25">
      <c r="G1071" t="str">
        <f t="shared" si="16"/>
        <v/>
      </c>
      <c r="H1071" t="s">
        <v>46</v>
      </c>
      <c r="I1071" t="s">
        <v>11</v>
      </c>
      <c r="J1071" t="s">
        <v>3</v>
      </c>
      <c r="K1071" t="s">
        <v>27</v>
      </c>
      <c r="L1071" t="s">
        <v>44</v>
      </c>
      <c r="M1071" t="s">
        <v>19</v>
      </c>
      <c r="N1071">
        <v>2</v>
      </c>
      <c r="O1071">
        <v>0</v>
      </c>
      <c r="P1071">
        <v>1377.48</v>
      </c>
      <c r="Q1071">
        <v>1377.48</v>
      </c>
    </row>
    <row r="1072" spans="7:17" x14ac:dyDescent="0.25">
      <c r="G1072" t="str">
        <f t="shared" si="16"/>
        <v/>
      </c>
      <c r="H1072" t="s">
        <v>46</v>
      </c>
      <c r="I1072" t="s">
        <v>11</v>
      </c>
      <c r="J1072" t="s">
        <v>3</v>
      </c>
      <c r="K1072" t="s">
        <v>27</v>
      </c>
      <c r="L1072" t="s">
        <v>44</v>
      </c>
      <c r="M1072" t="s">
        <v>20</v>
      </c>
      <c r="N1072">
        <v>27</v>
      </c>
      <c r="O1072">
        <v>3</v>
      </c>
      <c r="P1072">
        <v>5951.03</v>
      </c>
      <c r="Q1072">
        <v>0</v>
      </c>
    </row>
    <row r="1073" spans="7:17" x14ac:dyDescent="0.25">
      <c r="G1073" t="str">
        <f t="shared" si="16"/>
        <v/>
      </c>
      <c r="H1073" t="s">
        <v>46</v>
      </c>
      <c r="I1073" t="s">
        <v>11</v>
      </c>
      <c r="J1073" t="s">
        <v>3</v>
      </c>
      <c r="K1073" t="s">
        <v>27</v>
      </c>
      <c r="L1073" t="s">
        <v>39</v>
      </c>
      <c r="M1073" t="s">
        <v>19</v>
      </c>
      <c r="N1073">
        <v>12</v>
      </c>
      <c r="O1073">
        <v>2</v>
      </c>
      <c r="P1073">
        <v>13802.869999999999</v>
      </c>
      <c r="Q1073">
        <v>9071.98</v>
      </c>
    </row>
    <row r="1074" spans="7:17" x14ac:dyDescent="0.25">
      <c r="G1074" t="str">
        <f t="shared" si="16"/>
        <v/>
      </c>
      <c r="H1074" t="s">
        <v>46</v>
      </c>
      <c r="I1074" t="s">
        <v>11</v>
      </c>
      <c r="J1074" t="s">
        <v>3</v>
      </c>
      <c r="K1074" t="s">
        <v>27</v>
      </c>
      <c r="L1074" t="s">
        <v>39</v>
      </c>
      <c r="M1074" t="s">
        <v>20</v>
      </c>
      <c r="N1074">
        <v>11</v>
      </c>
      <c r="O1074">
        <v>4</v>
      </c>
      <c r="P1074">
        <v>8619.31</v>
      </c>
      <c r="Q1074">
        <v>0</v>
      </c>
    </row>
    <row r="1075" spans="7:17" x14ac:dyDescent="0.25">
      <c r="G1075" t="str">
        <f t="shared" si="16"/>
        <v/>
      </c>
      <c r="H1075" t="s">
        <v>46</v>
      </c>
      <c r="I1075" t="s">
        <v>11</v>
      </c>
      <c r="J1075" t="s">
        <v>3</v>
      </c>
      <c r="K1075" t="s">
        <v>27</v>
      </c>
      <c r="L1075" t="s">
        <v>40</v>
      </c>
      <c r="M1075" t="s">
        <v>20</v>
      </c>
      <c r="N1075">
        <v>5</v>
      </c>
      <c r="O1075">
        <v>0</v>
      </c>
      <c r="P1075">
        <v>1648.88</v>
      </c>
      <c r="Q1075">
        <v>0</v>
      </c>
    </row>
    <row r="1076" spans="7:17" x14ac:dyDescent="0.25">
      <c r="G1076" t="str">
        <f t="shared" si="16"/>
        <v/>
      </c>
      <c r="H1076" t="s">
        <v>46</v>
      </c>
      <c r="I1076" t="s">
        <v>11</v>
      </c>
      <c r="J1076" t="s">
        <v>3</v>
      </c>
      <c r="K1076" t="s">
        <v>27</v>
      </c>
      <c r="L1076" t="s">
        <v>41</v>
      </c>
      <c r="M1076" t="s">
        <v>20</v>
      </c>
      <c r="N1076">
        <v>3</v>
      </c>
      <c r="O1076">
        <v>0</v>
      </c>
      <c r="P1076">
        <v>487.07</v>
      </c>
      <c r="Q1076">
        <v>0</v>
      </c>
    </row>
    <row r="1077" spans="7:17" x14ac:dyDescent="0.25">
      <c r="G1077" t="str">
        <f t="shared" si="16"/>
        <v/>
      </c>
      <c r="H1077" t="s">
        <v>46</v>
      </c>
      <c r="I1077" t="s">
        <v>11</v>
      </c>
      <c r="J1077" t="s">
        <v>3</v>
      </c>
      <c r="K1077" t="s">
        <v>27</v>
      </c>
      <c r="L1077" t="s">
        <v>45</v>
      </c>
      <c r="M1077" t="s">
        <v>20</v>
      </c>
      <c r="N1077">
        <v>31</v>
      </c>
      <c r="O1077">
        <v>5</v>
      </c>
      <c r="P1077">
        <v>10876.800000000001</v>
      </c>
      <c r="Q1077">
        <v>0</v>
      </c>
    </row>
    <row r="1078" spans="7:17" x14ac:dyDescent="0.25">
      <c r="G1078" t="str">
        <f t="shared" si="16"/>
        <v/>
      </c>
      <c r="H1078" t="s">
        <v>46</v>
      </c>
      <c r="I1078" t="s">
        <v>11</v>
      </c>
      <c r="J1078" t="s">
        <v>3</v>
      </c>
      <c r="K1078" t="s">
        <v>28</v>
      </c>
      <c r="L1078" t="s">
        <v>42</v>
      </c>
      <c r="M1078" t="s">
        <v>19</v>
      </c>
      <c r="N1078">
        <v>121</v>
      </c>
      <c r="O1078">
        <v>13</v>
      </c>
      <c r="P1078">
        <v>13531.939999999995</v>
      </c>
      <c r="Q1078">
        <v>13144.959999999995</v>
      </c>
    </row>
    <row r="1079" spans="7:17" x14ac:dyDescent="0.25">
      <c r="G1079" t="str">
        <f t="shared" si="16"/>
        <v/>
      </c>
      <c r="H1079" t="s">
        <v>46</v>
      </c>
      <c r="I1079" t="s">
        <v>11</v>
      </c>
      <c r="J1079" t="s">
        <v>3</v>
      </c>
      <c r="K1079" t="s">
        <v>28</v>
      </c>
      <c r="L1079" t="s">
        <v>42</v>
      </c>
      <c r="M1079" t="s">
        <v>20</v>
      </c>
      <c r="N1079">
        <v>28</v>
      </c>
      <c r="O1079">
        <v>4</v>
      </c>
      <c r="P1079">
        <v>1679.7099999999996</v>
      </c>
      <c r="Q1079">
        <v>0</v>
      </c>
    </row>
    <row r="1080" spans="7:17" x14ac:dyDescent="0.25">
      <c r="G1080" t="str">
        <f t="shared" si="16"/>
        <v/>
      </c>
      <c r="H1080" t="s">
        <v>46</v>
      </c>
      <c r="I1080" t="s">
        <v>11</v>
      </c>
      <c r="J1080" t="s">
        <v>3</v>
      </c>
      <c r="K1080" t="s">
        <v>28</v>
      </c>
      <c r="L1080" t="s">
        <v>43</v>
      </c>
      <c r="M1080" t="s">
        <v>19</v>
      </c>
      <c r="N1080">
        <v>135</v>
      </c>
      <c r="O1080">
        <v>11</v>
      </c>
      <c r="P1080">
        <v>80580.239999999976</v>
      </c>
      <c r="Q1080">
        <v>70982.81999999992</v>
      </c>
    </row>
    <row r="1081" spans="7:17" x14ac:dyDescent="0.25">
      <c r="G1081" t="str">
        <f t="shared" si="16"/>
        <v/>
      </c>
      <c r="H1081" t="s">
        <v>46</v>
      </c>
      <c r="I1081" t="s">
        <v>11</v>
      </c>
      <c r="J1081" t="s">
        <v>3</v>
      </c>
      <c r="K1081" t="s">
        <v>28</v>
      </c>
      <c r="L1081" t="s">
        <v>43</v>
      </c>
      <c r="M1081" t="s">
        <v>20</v>
      </c>
      <c r="N1081">
        <v>36</v>
      </c>
      <c r="O1081">
        <v>5</v>
      </c>
      <c r="P1081">
        <v>17207.5</v>
      </c>
      <c r="Q1081">
        <v>0</v>
      </c>
    </row>
    <row r="1082" spans="7:17" x14ac:dyDescent="0.25">
      <c r="G1082" t="str">
        <f t="shared" si="16"/>
        <v/>
      </c>
      <c r="H1082" t="s">
        <v>46</v>
      </c>
      <c r="I1082" t="s">
        <v>11</v>
      </c>
      <c r="J1082" t="s">
        <v>3</v>
      </c>
      <c r="K1082" t="s">
        <v>28</v>
      </c>
      <c r="L1082" t="s">
        <v>44</v>
      </c>
      <c r="M1082" t="s">
        <v>19</v>
      </c>
      <c r="N1082">
        <v>39</v>
      </c>
      <c r="O1082">
        <v>8</v>
      </c>
      <c r="P1082">
        <v>59979.069999999985</v>
      </c>
      <c r="Q1082">
        <v>47121.77</v>
      </c>
    </row>
    <row r="1083" spans="7:17" x14ac:dyDescent="0.25">
      <c r="G1083" t="str">
        <f t="shared" si="16"/>
        <v/>
      </c>
      <c r="H1083" t="s">
        <v>46</v>
      </c>
      <c r="I1083" t="s">
        <v>11</v>
      </c>
      <c r="J1083" t="s">
        <v>3</v>
      </c>
      <c r="K1083" t="s">
        <v>28</v>
      </c>
      <c r="L1083" t="s">
        <v>44</v>
      </c>
      <c r="M1083" t="s">
        <v>20</v>
      </c>
      <c r="N1083">
        <v>18</v>
      </c>
      <c r="O1083">
        <v>8</v>
      </c>
      <c r="P1083">
        <v>13293.149999999998</v>
      </c>
      <c r="Q1083">
        <v>0</v>
      </c>
    </row>
    <row r="1084" spans="7:17" x14ac:dyDescent="0.25">
      <c r="G1084" t="str">
        <f t="shared" si="16"/>
        <v/>
      </c>
      <c r="H1084" t="s">
        <v>46</v>
      </c>
      <c r="I1084" t="s">
        <v>11</v>
      </c>
      <c r="J1084" t="s">
        <v>3</v>
      </c>
      <c r="K1084" t="s">
        <v>28</v>
      </c>
      <c r="L1084" t="s">
        <v>39</v>
      </c>
      <c r="M1084" t="s">
        <v>19</v>
      </c>
      <c r="N1084">
        <v>1</v>
      </c>
      <c r="O1084">
        <v>1</v>
      </c>
      <c r="P1084">
        <v>1773.15</v>
      </c>
      <c r="Q1084">
        <v>1400</v>
      </c>
    </row>
    <row r="1085" spans="7:17" x14ac:dyDescent="0.25">
      <c r="G1085" t="str">
        <f t="shared" si="16"/>
        <v/>
      </c>
      <c r="H1085" t="s">
        <v>46</v>
      </c>
      <c r="I1085" t="s">
        <v>11</v>
      </c>
      <c r="J1085" t="s">
        <v>3</v>
      </c>
      <c r="K1085" t="s">
        <v>28</v>
      </c>
      <c r="L1085" t="s">
        <v>39</v>
      </c>
      <c r="M1085" t="s">
        <v>20</v>
      </c>
      <c r="N1085">
        <v>6</v>
      </c>
      <c r="O1085">
        <v>3</v>
      </c>
      <c r="P1085">
        <v>6796.2699999999995</v>
      </c>
      <c r="Q1085">
        <v>0</v>
      </c>
    </row>
    <row r="1086" spans="7:17" x14ac:dyDescent="0.25">
      <c r="G1086" t="str">
        <f t="shared" si="16"/>
        <v/>
      </c>
      <c r="H1086" t="s">
        <v>46</v>
      </c>
      <c r="I1086" t="s">
        <v>11</v>
      </c>
      <c r="J1086" t="s">
        <v>3</v>
      </c>
      <c r="K1086" t="s">
        <v>28</v>
      </c>
      <c r="L1086" t="s">
        <v>40</v>
      </c>
      <c r="M1086" t="s">
        <v>19</v>
      </c>
      <c r="N1086">
        <v>1</v>
      </c>
      <c r="O1086">
        <v>1</v>
      </c>
      <c r="P1086">
        <v>791.91</v>
      </c>
      <c r="Q1086">
        <v>791.91</v>
      </c>
    </row>
    <row r="1087" spans="7:17" x14ac:dyDescent="0.25">
      <c r="G1087" t="str">
        <f t="shared" si="16"/>
        <v/>
      </c>
      <c r="H1087" t="s">
        <v>46</v>
      </c>
      <c r="I1087" t="s">
        <v>11</v>
      </c>
      <c r="J1087" t="s">
        <v>3</v>
      </c>
      <c r="K1087" t="s">
        <v>28</v>
      </c>
      <c r="L1087" t="s">
        <v>40</v>
      </c>
      <c r="M1087" t="s">
        <v>20</v>
      </c>
      <c r="N1087">
        <v>7</v>
      </c>
      <c r="O1087">
        <v>1</v>
      </c>
      <c r="P1087">
        <v>2175.75</v>
      </c>
      <c r="Q1087">
        <v>0</v>
      </c>
    </row>
    <row r="1088" spans="7:17" x14ac:dyDescent="0.25">
      <c r="G1088" t="str">
        <f t="shared" si="16"/>
        <v/>
      </c>
      <c r="H1088" t="s">
        <v>46</v>
      </c>
      <c r="I1088" t="s">
        <v>11</v>
      </c>
      <c r="J1088" t="s">
        <v>3</v>
      </c>
      <c r="K1088" t="s">
        <v>28</v>
      </c>
      <c r="L1088" t="s">
        <v>41</v>
      </c>
      <c r="M1088" t="s">
        <v>19</v>
      </c>
      <c r="N1088">
        <v>1</v>
      </c>
      <c r="O1088">
        <v>0</v>
      </c>
      <c r="P1088">
        <v>23.15</v>
      </c>
      <c r="Q1088">
        <v>0.46</v>
      </c>
    </row>
    <row r="1089" spans="7:17" x14ac:dyDescent="0.25">
      <c r="G1089" t="str">
        <f t="shared" si="16"/>
        <v/>
      </c>
      <c r="H1089" t="s">
        <v>46</v>
      </c>
      <c r="I1089" t="s">
        <v>11</v>
      </c>
      <c r="J1089" t="s">
        <v>3</v>
      </c>
      <c r="K1089" t="s">
        <v>28</v>
      </c>
      <c r="L1089" t="s">
        <v>41</v>
      </c>
      <c r="M1089" t="s">
        <v>20</v>
      </c>
      <c r="N1089">
        <v>3</v>
      </c>
      <c r="O1089">
        <v>1</v>
      </c>
      <c r="P1089">
        <v>1054.83</v>
      </c>
      <c r="Q1089">
        <v>0</v>
      </c>
    </row>
    <row r="1090" spans="7:17" x14ac:dyDescent="0.25">
      <c r="G1090" t="str">
        <f t="shared" ref="G1090:G1153" si="17">IF(G$1="Overall","Overall",IF(G$1=L1090,L1090,""))</f>
        <v/>
      </c>
      <c r="H1090" t="s">
        <v>46</v>
      </c>
      <c r="I1090" t="s">
        <v>11</v>
      </c>
      <c r="J1090" t="s">
        <v>3</v>
      </c>
      <c r="K1090" t="s">
        <v>28</v>
      </c>
      <c r="L1090" t="s">
        <v>45</v>
      </c>
      <c r="M1090" t="s">
        <v>20</v>
      </c>
      <c r="N1090">
        <v>39</v>
      </c>
      <c r="O1090">
        <v>12</v>
      </c>
      <c r="P1090">
        <v>26250.71</v>
      </c>
      <c r="Q1090">
        <v>0</v>
      </c>
    </row>
    <row r="1091" spans="7:17" x14ac:dyDescent="0.25">
      <c r="G1091" t="str">
        <f t="shared" si="17"/>
        <v/>
      </c>
      <c r="H1091" t="s">
        <v>46</v>
      </c>
      <c r="I1091" t="s">
        <v>11</v>
      </c>
      <c r="J1091" t="s">
        <v>3</v>
      </c>
      <c r="K1091" t="s">
        <v>29</v>
      </c>
      <c r="L1091" t="s">
        <v>42</v>
      </c>
      <c r="M1091" t="s">
        <v>19</v>
      </c>
      <c r="N1091">
        <v>144</v>
      </c>
      <c r="O1091">
        <v>8</v>
      </c>
      <c r="P1091">
        <v>22664.480000000007</v>
      </c>
      <c r="Q1091">
        <v>22590.900000000009</v>
      </c>
    </row>
    <row r="1092" spans="7:17" x14ac:dyDescent="0.25">
      <c r="G1092" t="str">
        <f t="shared" si="17"/>
        <v/>
      </c>
      <c r="H1092" t="s">
        <v>46</v>
      </c>
      <c r="I1092" t="s">
        <v>11</v>
      </c>
      <c r="J1092" t="s">
        <v>3</v>
      </c>
      <c r="K1092" t="s">
        <v>29</v>
      </c>
      <c r="L1092" t="s">
        <v>42</v>
      </c>
      <c r="M1092" t="s">
        <v>20</v>
      </c>
      <c r="N1092">
        <v>79</v>
      </c>
      <c r="O1092">
        <v>3</v>
      </c>
      <c r="P1092">
        <v>3775.3500000000008</v>
      </c>
      <c r="Q1092">
        <v>0</v>
      </c>
    </row>
    <row r="1093" spans="7:17" x14ac:dyDescent="0.25">
      <c r="G1093" t="str">
        <f t="shared" si="17"/>
        <v/>
      </c>
      <c r="H1093" t="s">
        <v>46</v>
      </c>
      <c r="I1093" t="s">
        <v>11</v>
      </c>
      <c r="J1093" t="s">
        <v>3</v>
      </c>
      <c r="K1093" t="s">
        <v>29</v>
      </c>
      <c r="L1093" t="s">
        <v>43</v>
      </c>
      <c r="M1093" t="s">
        <v>19</v>
      </c>
      <c r="N1093">
        <v>112</v>
      </c>
      <c r="O1093">
        <v>9</v>
      </c>
      <c r="P1093">
        <v>52645.360000000022</v>
      </c>
      <c r="Q1093">
        <v>51129.340000000004</v>
      </c>
    </row>
    <row r="1094" spans="7:17" x14ac:dyDescent="0.25">
      <c r="G1094" t="str">
        <f t="shared" si="17"/>
        <v/>
      </c>
      <c r="H1094" t="s">
        <v>46</v>
      </c>
      <c r="I1094" t="s">
        <v>11</v>
      </c>
      <c r="J1094" t="s">
        <v>3</v>
      </c>
      <c r="K1094" t="s">
        <v>29</v>
      </c>
      <c r="L1094" t="s">
        <v>43</v>
      </c>
      <c r="M1094" t="s">
        <v>20</v>
      </c>
      <c r="N1094">
        <v>39</v>
      </c>
      <c r="O1094">
        <v>2</v>
      </c>
      <c r="P1094">
        <v>12473.630000000001</v>
      </c>
      <c r="Q1094">
        <v>0</v>
      </c>
    </row>
    <row r="1095" spans="7:17" x14ac:dyDescent="0.25">
      <c r="G1095" t="str">
        <f t="shared" si="17"/>
        <v/>
      </c>
      <c r="H1095" t="s">
        <v>46</v>
      </c>
      <c r="I1095" t="s">
        <v>11</v>
      </c>
      <c r="J1095" t="s">
        <v>3</v>
      </c>
      <c r="K1095" t="s">
        <v>29</v>
      </c>
      <c r="L1095" t="s">
        <v>44</v>
      </c>
      <c r="M1095" t="s">
        <v>19</v>
      </c>
      <c r="N1095">
        <v>29</v>
      </c>
      <c r="O1095">
        <v>8</v>
      </c>
      <c r="P1095">
        <v>31333.56</v>
      </c>
      <c r="Q1095">
        <v>29135.52</v>
      </c>
    </row>
    <row r="1096" spans="7:17" x14ac:dyDescent="0.25">
      <c r="G1096" t="str">
        <f t="shared" si="17"/>
        <v/>
      </c>
      <c r="H1096" t="s">
        <v>46</v>
      </c>
      <c r="I1096" t="s">
        <v>11</v>
      </c>
      <c r="J1096" t="s">
        <v>3</v>
      </c>
      <c r="K1096" t="s">
        <v>29</v>
      </c>
      <c r="L1096" t="s">
        <v>44</v>
      </c>
      <c r="M1096" t="s">
        <v>20</v>
      </c>
      <c r="N1096">
        <v>23</v>
      </c>
      <c r="O1096">
        <v>9</v>
      </c>
      <c r="P1096">
        <v>19212.79</v>
      </c>
      <c r="Q1096">
        <v>0</v>
      </c>
    </row>
    <row r="1097" spans="7:17" x14ac:dyDescent="0.25">
      <c r="G1097" t="str">
        <f t="shared" si="17"/>
        <v/>
      </c>
      <c r="H1097" t="s">
        <v>46</v>
      </c>
      <c r="I1097" t="s">
        <v>11</v>
      </c>
      <c r="J1097" t="s">
        <v>3</v>
      </c>
      <c r="K1097" t="s">
        <v>29</v>
      </c>
      <c r="L1097" t="s">
        <v>39</v>
      </c>
      <c r="M1097" t="s">
        <v>19</v>
      </c>
      <c r="N1097">
        <v>6</v>
      </c>
      <c r="O1097">
        <v>4</v>
      </c>
      <c r="P1097">
        <v>9384.59</v>
      </c>
      <c r="Q1097">
        <v>8636.31</v>
      </c>
    </row>
    <row r="1098" spans="7:17" x14ac:dyDescent="0.25">
      <c r="G1098" t="str">
        <f t="shared" si="17"/>
        <v/>
      </c>
      <c r="H1098" t="s">
        <v>46</v>
      </c>
      <c r="I1098" t="s">
        <v>11</v>
      </c>
      <c r="J1098" t="s">
        <v>3</v>
      </c>
      <c r="K1098" t="s">
        <v>29</v>
      </c>
      <c r="L1098" t="s">
        <v>39</v>
      </c>
      <c r="M1098" t="s">
        <v>20</v>
      </c>
      <c r="N1098">
        <v>4</v>
      </c>
      <c r="O1098">
        <v>2</v>
      </c>
      <c r="P1098">
        <v>1777.88</v>
      </c>
      <c r="Q1098">
        <v>0</v>
      </c>
    </row>
    <row r="1099" spans="7:17" x14ac:dyDescent="0.25">
      <c r="G1099" t="str">
        <f t="shared" si="17"/>
        <v/>
      </c>
      <c r="H1099" t="s">
        <v>46</v>
      </c>
      <c r="I1099" t="s">
        <v>11</v>
      </c>
      <c r="J1099" t="s">
        <v>3</v>
      </c>
      <c r="K1099" t="s">
        <v>29</v>
      </c>
      <c r="L1099" t="s">
        <v>40</v>
      </c>
      <c r="M1099" t="s">
        <v>20</v>
      </c>
      <c r="N1099">
        <v>10</v>
      </c>
      <c r="O1099">
        <v>1</v>
      </c>
      <c r="P1099">
        <v>3257.4599999999991</v>
      </c>
      <c r="Q1099">
        <v>0</v>
      </c>
    </row>
    <row r="1100" spans="7:17" x14ac:dyDescent="0.25">
      <c r="G1100" t="str">
        <f t="shared" si="17"/>
        <v/>
      </c>
      <c r="H1100" t="s">
        <v>46</v>
      </c>
      <c r="I1100" t="s">
        <v>11</v>
      </c>
      <c r="J1100" t="s">
        <v>3</v>
      </c>
      <c r="K1100" t="s">
        <v>29</v>
      </c>
      <c r="L1100" t="s">
        <v>41</v>
      </c>
      <c r="M1100" t="s">
        <v>20</v>
      </c>
      <c r="N1100">
        <v>1</v>
      </c>
      <c r="O1100">
        <v>0</v>
      </c>
      <c r="P1100">
        <v>401.96</v>
      </c>
      <c r="Q1100">
        <v>0</v>
      </c>
    </row>
    <row r="1101" spans="7:17" x14ac:dyDescent="0.25">
      <c r="G1101" t="str">
        <f t="shared" si="17"/>
        <v/>
      </c>
      <c r="H1101" t="s">
        <v>46</v>
      </c>
      <c r="I1101" t="s">
        <v>11</v>
      </c>
      <c r="J1101" t="s">
        <v>3</v>
      </c>
      <c r="K1101" t="s">
        <v>29</v>
      </c>
      <c r="L1101" t="s">
        <v>45</v>
      </c>
      <c r="M1101" t="s">
        <v>20</v>
      </c>
      <c r="N1101">
        <v>69</v>
      </c>
      <c r="O1101">
        <v>11</v>
      </c>
      <c r="P1101">
        <v>32521.210000000003</v>
      </c>
      <c r="Q1101">
        <v>0</v>
      </c>
    </row>
    <row r="1102" spans="7:17" x14ac:dyDescent="0.25">
      <c r="G1102" t="str">
        <f t="shared" si="17"/>
        <v/>
      </c>
      <c r="H1102" t="s">
        <v>46</v>
      </c>
      <c r="I1102" t="s">
        <v>11</v>
      </c>
      <c r="J1102" t="s">
        <v>3</v>
      </c>
      <c r="K1102" t="s">
        <v>30</v>
      </c>
      <c r="L1102" t="s">
        <v>42</v>
      </c>
      <c r="M1102" t="s">
        <v>19</v>
      </c>
      <c r="N1102">
        <v>43</v>
      </c>
      <c r="O1102">
        <v>1</v>
      </c>
      <c r="P1102">
        <v>15244.640000000001</v>
      </c>
      <c r="Q1102">
        <v>14041.06</v>
      </c>
    </row>
    <row r="1103" spans="7:17" x14ac:dyDescent="0.25">
      <c r="G1103" t="str">
        <f t="shared" si="17"/>
        <v/>
      </c>
      <c r="H1103" t="s">
        <v>46</v>
      </c>
      <c r="I1103" t="s">
        <v>11</v>
      </c>
      <c r="J1103" t="s">
        <v>3</v>
      </c>
      <c r="K1103" t="s">
        <v>30</v>
      </c>
      <c r="L1103" t="s">
        <v>42</v>
      </c>
      <c r="M1103" t="s">
        <v>20</v>
      </c>
      <c r="N1103">
        <v>27</v>
      </c>
      <c r="O1103">
        <v>1</v>
      </c>
      <c r="P1103">
        <v>5127.5300000000007</v>
      </c>
      <c r="Q1103">
        <v>0</v>
      </c>
    </row>
    <row r="1104" spans="7:17" x14ac:dyDescent="0.25">
      <c r="G1104" t="str">
        <f t="shared" si="17"/>
        <v/>
      </c>
      <c r="H1104" t="s">
        <v>46</v>
      </c>
      <c r="I1104" t="s">
        <v>11</v>
      </c>
      <c r="J1104" t="s">
        <v>3</v>
      </c>
      <c r="K1104" t="s">
        <v>30</v>
      </c>
      <c r="L1104" t="s">
        <v>43</v>
      </c>
      <c r="M1104" t="s">
        <v>19</v>
      </c>
      <c r="N1104">
        <v>3</v>
      </c>
      <c r="O1104">
        <v>1</v>
      </c>
      <c r="P1104">
        <v>1912.5</v>
      </c>
      <c r="Q1104">
        <v>1767.0500000000002</v>
      </c>
    </row>
    <row r="1105" spans="7:17" x14ac:dyDescent="0.25">
      <c r="G1105" t="str">
        <f t="shared" si="17"/>
        <v/>
      </c>
      <c r="H1105" t="s">
        <v>46</v>
      </c>
      <c r="I1105" t="s">
        <v>11</v>
      </c>
      <c r="J1105" t="s">
        <v>3</v>
      </c>
      <c r="K1105" t="s">
        <v>30</v>
      </c>
      <c r="L1105" t="s">
        <v>44</v>
      </c>
      <c r="M1105" t="s">
        <v>19</v>
      </c>
      <c r="N1105">
        <v>17</v>
      </c>
      <c r="O1105">
        <v>2</v>
      </c>
      <c r="P1105">
        <v>23776.739999999998</v>
      </c>
      <c r="Q1105">
        <v>23187.289999999997</v>
      </c>
    </row>
    <row r="1106" spans="7:17" x14ac:dyDescent="0.25">
      <c r="G1106" t="str">
        <f t="shared" si="17"/>
        <v/>
      </c>
      <c r="H1106" t="s">
        <v>46</v>
      </c>
      <c r="I1106" t="s">
        <v>11</v>
      </c>
      <c r="J1106" t="s">
        <v>3</v>
      </c>
      <c r="K1106" t="s">
        <v>30</v>
      </c>
      <c r="L1106" t="s">
        <v>44</v>
      </c>
      <c r="M1106" t="s">
        <v>20</v>
      </c>
      <c r="N1106">
        <v>3</v>
      </c>
      <c r="O1106">
        <v>0</v>
      </c>
      <c r="P1106">
        <v>2113.96</v>
      </c>
      <c r="Q1106">
        <v>0</v>
      </c>
    </row>
    <row r="1107" spans="7:17" x14ac:dyDescent="0.25">
      <c r="G1107" t="str">
        <f t="shared" si="17"/>
        <v/>
      </c>
      <c r="H1107" t="s">
        <v>46</v>
      </c>
      <c r="I1107" t="s">
        <v>11</v>
      </c>
      <c r="J1107" t="s">
        <v>3</v>
      </c>
      <c r="K1107" t="s">
        <v>30</v>
      </c>
      <c r="L1107" t="s">
        <v>39</v>
      </c>
      <c r="M1107" t="s">
        <v>19</v>
      </c>
      <c r="N1107">
        <v>1</v>
      </c>
      <c r="O1107">
        <v>0</v>
      </c>
      <c r="P1107">
        <v>465.82</v>
      </c>
      <c r="Q1107">
        <v>465.82</v>
      </c>
    </row>
    <row r="1108" spans="7:17" x14ac:dyDescent="0.25">
      <c r="G1108" t="str">
        <f t="shared" si="17"/>
        <v/>
      </c>
      <c r="H1108" t="s">
        <v>46</v>
      </c>
      <c r="I1108" t="s">
        <v>11</v>
      </c>
      <c r="J1108" t="s">
        <v>3</v>
      </c>
      <c r="K1108" t="s">
        <v>30</v>
      </c>
      <c r="L1108" t="s">
        <v>40</v>
      </c>
      <c r="M1108" t="s">
        <v>20</v>
      </c>
      <c r="N1108">
        <v>1</v>
      </c>
      <c r="O1108">
        <v>0</v>
      </c>
      <c r="P1108">
        <v>7.0000000000000007E-2</v>
      </c>
      <c r="Q1108">
        <v>0</v>
      </c>
    </row>
    <row r="1109" spans="7:17" x14ac:dyDescent="0.25">
      <c r="G1109" t="str">
        <f t="shared" si="17"/>
        <v/>
      </c>
      <c r="H1109" t="s">
        <v>46</v>
      </c>
      <c r="I1109" t="s">
        <v>11</v>
      </c>
      <c r="J1109" t="s">
        <v>3</v>
      </c>
      <c r="K1109" t="s">
        <v>30</v>
      </c>
      <c r="L1109" t="s">
        <v>45</v>
      </c>
      <c r="M1109" t="s">
        <v>20</v>
      </c>
      <c r="N1109">
        <v>3</v>
      </c>
      <c r="O1109">
        <v>1</v>
      </c>
      <c r="P1109">
        <v>4143.08</v>
      </c>
      <c r="Q1109">
        <v>0</v>
      </c>
    </row>
    <row r="1110" spans="7:17" x14ac:dyDescent="0.25">
      <c r="G1110" t="str">
        <f t="shared" si="17"/>
        <v/>
      </c>
      <c r="H1110" t="s">
        <v>46</v>
      </c>
      <c r="I1110" t="s">
        <v>11</v>
      </c>
      <c r="J1110" t="s">
        <v>3</v>
      </c>
      <c r="K1110" t="s">
        <v>31</v>
      </c>
      <c r="L1110" t="s">
        <v>42</v>
      </c>
      <c r="M1110" t="s">
        <v>20</v>
      </c>
      <c r="N1110">
        <v>3</v>
      </c>
      <c r="O1110">
        <v>3</v>
      </c>
      <c r="P1110">
        <v>1530.28</v>
      </c>
      <c r="Q1110">
        <v>0</v>
      </c>
    </row>
    <row r="1111" spans="7:17" x14ac:dyDescent="0.25">
      <c r="G1111" t="str">
        <f t="shared" si="17"/>
        <v/>
      </c>
      <c r="H1111" t="s">
        <v>46</v>
      </c>
      <c r="I1111" t="s">
        <v>11</v>
      </c>
      <c r="J1111" t="s">
        <v>3</v>
      </c>
      <c r="K1111" t="s">
        <v>31</v>
      </c>
      <c r="L1111" t="s">
        <v>43</v>
      </c>
      <c r="M1111" t="s">
        <v>19</v>
      </c>
      <c r="N1111">
        <v>96</v>
      </c>
      <c r="O1111">
        <v>0</v>
      </c>
      <c r="P1111">
        <v>39214.270000000011</v>
      </c>
      <c r="Q1111">
        <v>33226</v>
      </c>
    </row>
    <row r="1112" spans="7:17" x14ac:dyDescent="0.25">
      <c r="G1112" t="str">
        <f t="shared" si="17"/>
        <v/>
      </c>
      <c r="H1112" t="s">
        <v>46</v>
      </c>
      <c r="I1112" t="s">
        <v>11</v>
      </c>
      <c r="J1112" t="s">
        <v>3</v>
      </c>
      <c r="K1112" t="s">
        <v>31</v>
      </c>
      <c r="L1112" t="s">
        <v>44</v>
      </c>
      <c r="M1112" t="s">
        <v>19</v>
      </c>
      <c r="N1112">
        <v>3</v>
      </c>
      <c r="O1112">
        <v>1</v>
      </c>
      <c r="P1112">
        <v>4439.62</v>
      </c>
      <c r="Q1112">
        <v>4382.99</v>
      </c>
    </row>
    <row r="1113" spans="7:17" x14ac:dyDescent="0.25">
      <c r="G1113" t="str">
        <f t="shared" si="17"/>
        <v/>
      </c>
      <c r="H1113" t="s">
        <v>46</v>
      </c>
      <c r="I1113" t="s">
        <v>11</v>
      </c>
      <c r="J1113" t="s">
        <v>3</v>
      </c>
      <c r="K1113" t="s">
        <v>31</v>
      </c>
      <c r="L1113" t="s">
        <v>44</v>
      </c>
      <c r="M1113" t="s">
        <v>20</v>
      </c>
      <c r="N1113">
        <v>1</v>
      </c>
      <c r="O1113">
        <v>1</v>
      </c>
      <c r="P1113">
        <v>437.74</v>
      </c>
      <c r="Q1113">
        <v>0</v>
      </c>
    </row>
    <row r="1114" spans="7:17" x14ac:dyDescent="0.25">
      <c r="G1114" t="str">
        <f t="shared" si="17"/>
        <v/>
      </c>
      <c r="H1114" t="s">
        <v>46</v>
      </c>
      <c r="I1114" t="s">
        <v>11</v>
      </c>
      <c r="J1114" t="s">
        <v>3</v>
      </c>
      <c r="K1114" t="s">
        <v>31</v>
      </c>
      <c r="L1114" t="s">
        <v>45</v>
      </c>
      <c r="M1114" t="s">
        <v>20</v>
      </c>
      <c r="N1114">
        <v>2</v>
      </c>
      <c r="O1114">
        <v>1</v>
      </c>
      <c r="P1114">
        <v>0.04</v>
      </c>
      <c r="Q1114">
        <v>0</v>
      </c>
    </row>
    <row r="1115" spans="7:17" x14ac:dyDescent="0.25">
      <c r="G1115" t="str">
        <f t="shared" si="17"/>
        <v/>
      </c>
      <c r="H1115" t="s">
        <v>46</v>
      </c>
      <c r="I1115" t="s">
        <v>11</v>
      </c>
      <c r="J1115" t="s">
        <v>3</v>
      </c>
      <c r="K1115" t="s">
        <v>32</v>
      </c>
      <c r="L1115" t="s">
        <v>42</v>
      </c>
      <c r="M1115" t="s">
        <v>19</v>
      </c>
      <c r="N1115">
        <v>66</v>
      </c>
      <c r="O1115">
        <v>3</v>
      </c>
      <c r="P1115">
        <v>20511.019999999997</v>
      </c>
      <c r="Q1115">
        <v>20392.669999999995</v>
      </c>
    </row>
    <row r="1116" spans="7:17" x14ac:dyDescent="0.25">
      <c r="G1116" t="str">
        <f t="shared" si="17"/>
        <v/>
      </c>
      <c r="H1116" t="s">
        <v>46</v>
      </c>
      <c r="I1116" t="s">
        <v>11</v>
      </c>
      <c r="J1116" t="s">
        <v>3</v>
      </c>
      <c r="K1116" t="s">
        <v>32</v>
      </c>
      <c r="L1116" t="s">
        <v>42</v>
      </c>
      <c r="M1116" t="s">
        <v>20</v>
      </c>
      <c r="N1116">
        <v>98</v>
      </c>
      <c r="O1116">
        <v>1</v>
      </c>
      <c r="P1116">
        <v>34680.57</v>
      </c>
      <c r="Q1116">
        <v>0</v>
      </c>
    </row>
    <row r="1117" spans="7:17" x14ac:dyDescent="0.25">
      <c r="G1117" t="str">
        <f t="shared" si="17"/>
        <v/>
      </c>
      <c r="H1117" t="s">
        <v>46</v>
      </c>
      <c r="I1117" t="s">
        <v>11</v>
      </c>
      <c r="J1117" t="s">
        <v>3</v>
      </c>
      <c r="K1117" t="s">
        <v>32</v>
      </c>
      <c r="L1117" t="s">
        <v>43</v>
      </c>
      <c r="M1117" t="s">
        <v>19</v>
      </c>
      <c r="N1117">
        <v>80</v>
      </c>
      <c r="O1117">
        <v>2</v>
      </c>
      <c r="P1117">
        <v>42433.260000000017</v>
      </c>
      <c r="Q1117">
        <v>38973.85</v>
      </c>
    </row>
    <row r="1118" spans="7:17" x14ac:dyDescent="0.25">
      <c r="G1118" t="str">
        <f t="shared" si="17"/>
        <v/>
      </c>
      <c r="H1118" t="s">
        <v>46</v>
      </c>
      <c r="I1118" t="s">
        <v>11</v>
      </c>
      <c r="J1118" t="s">
        <v>3</v>
      </c>
      <c r="K1118" t="s">
        <v>32</v>
      </c>
      <c r="L1118" t="s">
        <v>43</v>
      </c>
      <c r="M1118" t="s">
        <v>20</v>
      </c>
      <c r="N1118">
        <v>34</v>
      </c>
      <c r="O1118">
        <v>0</v>
      </c>
      <c r="P1118">
        <v>19775.920000000002</v>
      </c>
      <c r="Q1118">
        <v>0</v>
      </c>
    </row>
    <row r="1119" spans="7:17" x14ac:dyDescent="0.25">
      <c r="G1119" t="str">
        <f t="shared" si="17"/>
        <v/>
      </c>
      <c r="H1119" t="s">
        <v>46</v>
      </c>
      <c r="I1119" t="s">
        <v>11</v>
      </c>
      <c r="J1119" t="s">
        <v>3</v>
      </c>
      <c r="K1119" t="s">
        <v>32</v>
      </c>
      <c r="L1119" t="s">
        <v>44</v>
      </c>
      <c r="M1119" t="s">
        <v>20</v>
      </c>
      <c r="N1119">
        <v>2</v>
      </c>
      <c r="O1119">
        <v>1</v>
      </c>
      <c r="P1119">
        <v>1687.29</v>
      </c>
      <c r="Q1119">
        <v>0</v>
      </c>
    </row>
    <row r="1120" spans="7:17" x14ac:dyDescent="0.25">
      <c r="G1120" t="str">
        <f t="shared" si="17"/>
        <v/>
      </c>
      <c r="H1120" t="s">
        <v>46</v>
      </c>
      <c r="I1120" t="s">
        <v>11</v>
      </c>
      <c r="J1120" t="s">
        <v>3</v>
      </c>
      <c r="K1120" t="s">
        <v>32</v>
      </c>
      <c r="L1120" t="s">
        <v>45</v>
      </c>
      <c r="M1120" t="s">
        <v>20</v>
      </c>
      <c r="N1120">
        <v>6</v>
      </c>
      <c r="O1120">
        <v>2</v>
      </c>
      <c r="P1120">
        <v>1424.69</v>
      </c>
      <c r="Q1120">
        <v>0</v>
      </c>
    </row>
    <row r="1121" spans="7:17" x14ac:dyDescent="0.25">
      <c r="G1121" t="str">
        <f t="shared" si="17"/>
        <v/>
      </c>
      <c r="H1121" t="s">
        <v>46</v>
      </c>
      <c r="I1121" t="s">
        <v>11</v>
      </c>
      <c r="J1121" t="s">
        <v>3</v>
      </c>
      <c r="K1121" t="s">
        <v>33</v>
      </c>
      <c r="L1121" t="s">
        <v>42</v>
      </c>
      <c r="M1121" t="s">
        <v>19</v>
      </c>
      <c r="N1121">
        <v>173</v>
      </c>
      <c r="O1121">
        <v>17</v>
      </c>
      <c r="P1121">
        <v>39058.020000000011</v>
      </c>
      <c r="Q1121">
        <v>38885.69000000001</v>
      </c>
    </row>
    <row r="1122" spans="7:17" x14ac:dyDescent="0.25">
      <c r="G1122" t="str">
        <f t="shared" si="17"/>
        <v/>
      </c>
      <c r="H1122" t="s">
        <v>46</v>
      </c>
      <c r="I1122" t="s">
        <v>11</v>
      </c>
      <c r="J1122" t="s">
        <v>3</v>
      </c>
      <c r="K1122" t="s">
        <v>33</v>
      </c>
      <c r="L1122" t="s">
        <v>42</v>
      </c>
      <c r="M1122" t="s">
        <v>20</v>
      </c>
      <c r="N1122">
        <v>15</v>
      </c>
      <c r="O1122">
        <v>3</v>
      </c>
      <c r="P1122">
        <v>620.99</v>
      </c>
      <c r="Q1122">
        <v>0</v>
      </c>
    </row>
    <row r="1123" spans="7:17" x14ac:dyDescent="0.25">
      <c r="G1123" t="str">
        <f t="shared" si="17"/>
        <v/>
      </c>
      <c r="H1123" t="s">
        <v>46</v>
      </c>
      <c r="I1123" t="s">
        <v>11</v>
      </c>
      <c r="J1123" t="s">
        <v>3</v>
      </c>
      <c r="K1123" t="s">
        <v>33</v>
      </c>
      <c r="L1123" t="s">
        <v>43</v>
      </c>
      <c r="M1123" t="s">
        <v>19</v>
      </c>
      <c r="N1123">
        <v>29</v>
      </c>
      <c r="O1123">
        <v>6</v>
      </c>
      <c r="P1123">
        <v>15596.15</v>
      </c>
      <c r="Q1123">
        <v>15118.44</v>
      </c>
    </row>
    <row r="1124" spans="7:17" x14ac:dyDescent="0.25">
      <c r="G1124" t="str">
        <f t="shared" si="17"/>
        <v/>
      </c>
      <c r="H1124" t="s">
        <v>46</v>
      </c>
      <c r="I1124" t="s">
        <v>11</v>
      </c>
      <c r="J1124" t="s">
        <v>3</v>
      </c>
      <c r="K1124" t="s">
        <v>33</v>
      </c>
      <c r="L1124" t="s">
        <v>43</v>
      </c>
      <c r="M1124" t="s">
        <v>20</v>
      </c>
      <c r="N1124">
        <v>16</v>
      </c>
      <c r="O1124">
        <v>3</v>
      </c>
      <c r="P1124">
        <v>7394.93</v>
      </c>
      <c r="Q1124">
        <v>0</v>
      </c>
    </row>
    <row r="1125" spans="7:17" x14ac:dyDescent="0.25">
      <c r="G1125" t="str">
        <f t="shared" si="17"/>
        <v/>
      </c>
      <c r="H1125" t="s">
        <v>46</v>
      </c>
      <c r="I1125" t="s">
        <v>11</v>
      </c>
      <c r="J1125" t="s">
        <v>3</v>
      </c>
      <c r="K1125" t="s">
        <v>33</v>
      </c>
      <c r="L1125" t="s">
        <v>44</v>
      </c>
      <c r="M1125" t="s">
        <v>19</v>
      </c>
      <c r="N1125">
        <v>10</v>
      </c>
      <c r="O1125">
        <v>2</v>
      </c>
      <c r="P1125">
        <v>12309.23</v>
      </c>
      <c r="Q1125">
        <v>12309.23</v>
      </c>
    </row>
    <row r="1126" spans="7:17" x14ac:dyDescent="0.25">
      <c r="G1126" t="str">
        <f t="shared" si="17"/>
        <v/>
      </c>
      <c r="H1126" t="s">
        <v>46</v>
      </c>
      <c r="I1126" t="s">
        <v>11</v>
      </c>
      <c r="J1126" t="s">
        <v>3</v>
      </c>
      <c r="K1126" t="s">
        <v>33</v>
      </c>
      <c r="L1126" t="s">
        <v>44</v>
      </c>
      <c r="M1126" t="s">
        <v>20</v>
      </c>
      <c r="N1126">
        <v>7</v>
      </c>
      <c r="O1126">
        <v>1</v>
      </c>
      <c r="P1126">
        <v>3833.2000000000003</v>
      </c>
      <c r="Q1126">
        <v>0</v>
      </c>
    </row>
    <row r="1127" spans="7:17" x14ac:dyDescent="0.25">
      <c r="G1127" t="str">
        <f t="shared" si="17"/>
        <v/>
      </c>
      <c r="H1127" t="s">
        <v>46</v>
      </c>
      <c r="I1127" t="s">
        <v>11</v>
      </c>
      <c r="J1127" t="s">
        <v>3</v>
      </c>
      <c r="K1127" t="s">
        <v>33</v>
      </c>
      <c r="L1127" t="s">
        <v>39</v>
      </c>
      <c r="M1127" t="s">
        <v>20</v>
      </c>
      <c r="N1127">
        <v>8</v>
      </c>
      <c r="O1127">
        <v>3</v>
      </c>
      <c r="P1127">
        <v>2513.2200000000003</v>
      </c>
      <c r="Q1127">
        <v>0</v>
      </c>
    </row>
    <row r="1128" spans="7:17" x14ac:dyDescent="0.25">
      <c r="G1128" t="str">
        <f t="shared" si="17"/>
        <v/>
      </c>
      <c r="H1128" t="s">
        <v>46</v>
      </c>
      <c r="I1128" t="s">
        <v>11</v>
      </c>
      <c r="J1128" t="s">
        <v>3</v>
      </c>
      <c r="K1128" t="s">
        <v>33</v>
      </c>
      <c r="L1128" t="s">
        <v>40</v>
      </c>
      <c r="M1128" t="s">
        <v>20</v>
      </c>
      <c r="N1128">
        <v>2</v>
      </c>
      <c r="O1128">
        <v>0</v>
      </c>
      <c r="P1128">
        <v>1466.95</v>
      </c>
      <c r="Q1128">
        <v>0</v>
      </c>
    </row>
    <row r="1129" spans="7:17" x14ac:dyDescent="0.25">
      <c r="G1129" t="str">
        <f t="shared" si="17"/>
        <v/>
      </c>
      <c r="H1129" t="s">
        <v>46</v>
      </c>
      <c r="I1129" t="s">
        <v>11</v>
      </c>
      <c r="J1129" t="s">
        <v>3</v>
      </c>
      <c r="K1129" t="s">
        <v>33</v>
      </c>
      <c r="L1129" t="s">
        <v>41</v>
      </c>
      <c r="M1129" t="s">
        <v>20</v>
      </c>
      <c r="N1129">
        <v>1</v>
      </c>
      <c r="O1129">
        <v>0</v>
      </c>
      <c r="P1129">
        <v>6101.43</v>
      </c>
      <c r="Q1129">
        <v>0</v>
      </c>
    </row>
    <row r="1130" spans="7:17" x14ac:dyDescent="0.25">
      <c r="G1130" t="str">
        <f t="shared" si="17"/>
        <v/>
      </c>
      <c r="H1130" t="s">
        <v>46</v>
      </c>
      <c r="I1130" t="s">
        <v>11</v>
      </c>
      <c r="J1130" t="s">
        <v>3</v>
      </c>
      <c r="K1130" t="s">
        <v>33</v>
      </c>
      <c r="L1130" t="s">
        <v>45</v>
      </c>
      <c r="M1130" t="s">
        <v>19</v>
      </c>
      <c r="N1130">
        <v>1</v>
      </c>
      <c r="O1130">
        <v>0</v>
      </c>
      <c r="P1130">
        <v>179.66</v>
      </c>
      <c r="Q1130">
        <v>179.66</v>
      </c>
    </row>
    <row r="1131" spans="7:17" x14ac:dyDescent="0.25">
      <c r="G1131" t="str">
        <f t="shared" si="17"/>
        <v/>
      </c>
      <c r="H1131" t="s">
        <v>46</v>
      </c>
      <c r="I1131" t="s">
        <v>11</v>
      </c>
      <c r="J1131" t="s">
        <v>3</v>
      </c>
      <c r="K1131" t="s">
        <v>33</v>
      </c>
      <c r="L1131" t="s">
        <v>45</v>
      </c>
      <c r="M1131" t="s">
        <v>20</v>
      </c>
      <c r="N1131">
        <v>44</v>
      </c>
      <c r="O1131">
        <v>19</v>
      </c>
      <c r="P1131">
        <v>32423.790000000005</v>
      </c>
      <c r="Q1131">
        <v>0</v>
      </c>
    </row>
    <row r="1132" spans="7:17" x14ac:dyDescent="0.25">
      <c r="G1132" t="str">
        <f t="shared" si="17"/>
        <v/>
      </c>
      <c r="H1132" t="s">
        <v>46</v>
      </c>
      <c r="I1132" t="s">
        <v>11</v>
      </c>
      <c r="J1132" t="s">
        <v>3</v>
      </c>
      <c r="K1132" t="s">
        <v>34</v>
      </c>
      <c r="L1132" t="s">
        <v>42</v>
      </c>
      <c r="M1132" t="s">
        <v>19</v>
      </c>
      <c r="N1132">
        <v>188</v>
      </c>
      <c r="O1132">
        <v>3</v>
      </c>
      <c r="P1132">
        <v>61755.820000000022</v>
      </c>
      <c r="Q1132">
        <v>61631.260000000009</v>
      </c>
    </row>
    <row r="1133" spans="7:17" x14ac:dyDescent="0.25">
      <c r="G1133" t="str">
        <f t="shared" si="17"/>
        <v/>
      </c>
      <c r="H1133" t="s">
        <v>46</v>
      </c>
      <c r="I1133" t="s">
        <v>11</v>
      </c>
      <c r="J1133" t="s">
        <v>3</v>
      </c>
      <c r="K1133" t="s">
        <v>34</v>
      </c>
      <c r="L1133" t="s">
        <v>42</v>
      </c>
      <c r="M1133" t="s">
        <v>20</v>
      </c>
      <c r="N1133">
        <v>60</v>
      </c>
      <c r="O1133">
        <v>4</v>
      </c>
      <c r="P1133">
        <v>6312.7200000000012</v>
      </c>
      <c r="Q1133">
        <v>0</v>
      </c>
    </row>
    <row r="1134" spans="7:17" x14ac:dyDescent="0.25">
      <c r="G1134" t="str">
        <f t="shared" si="17"/>
        <v/>
      </c>
      <c r="H1134" t="s">
        <v>46</v>
      </c>
      <c r="I1134" t="s">
        <v>11</v>
      </c>
      <c r="J1134" t="s">
        <v>3</v>
      </c>
      <c r="K1134" t="s">
        <v>34</v>
      </c>
      <c r="L1134" t="s">
        <v>43</v>
      </c>
      <c r="M1134" t="s">
        <v>19</v>
      </c>
      <c r="N1134">
        <v>175</v>
      </c>
      <c r="O1134">
        <v>11</v>
      </c>
      <c r="P1134">
        <v>86831.2</v>
      </c>
      <c r="Q1134">
        <v>80497.710000000006</v>
      </c>
    </row>
    <row r="1135" spans="7:17" x14ac:dyDescent="0.25">
      <c r="G1135" t="str">
        <f t="shared" si="17"/>
        <v/>
      </c>
      <c r="H1135" t="s">
        <v>46</v>
      </c>
      <c r="I1135" t="s">
        <v>11</v>
      </c>
      <c r="J1135" t="s">
        <v>3</v>
      </c>
      <c r="K1135" t="s">
        <v>34</v>
      </c>
      <c r="L1135" t="s">
        <v>43</v>
      </c>
      <c r="M1135" t="s">
        <v>20</v>
      </c>
      <c r="N1135">
        <v>12</v>
      </c>
      <c r="O1135">
        <v>1</v>
      </c>
      <c r="P1135">
        <v>2554.5500000000002</v>
      </c>
      <c r="Q1135">
        <v>0</v>
      </c>
    </row>
    <row r="1136" spans="7:17" x14ac:dyDescent="0.25">
      <c r="G1136" t="str">
        <f t="shared" si="17"/>
        <v/>
      </c>
      <c r="H1136" t="s">
        <v>46</v>
      </c>
      <c r="I1136" t="s">
        <v>11</v>
      </c>
      <c r="J1136" t="s">
        <v>3</v>
      </c>
      <c r="K1136" t="s">
        <v>34</v>
      </c>
      <c r="L1136" t="s">
        <v>44</v>
      </c>
      <c r="M1136" t="s">
        <v>19</v>
      </c>
      <c r="N1136">
        <v>48</v>
      </c>
      <c r="O1136">
        <v>3</v>
      </c>
      <c r="P1136">
        <v>57653.099999999984</v>
      </c>
      <c r="Q1136">
        <v>33857.42</v>
      </c>
    </row>
    <row r="1137" spans="7:17" x14ac:dyDescent="0.25">
      <c r="G1137" t="str">
        <f t="shared" si="17"/>
        <v/>
      </c>
      <c r="H1137" t="s">
        <v>46</v>
      </c>
      <c r="I1137" t="s">
        <v>11</v>
      </c>
      <c r="J1137" t="s">
        <v>3</v>
      </c>
      <c r="K1137" t="s">
        <v>34</v>
      </c>
      <c r="L1137" t="s">
        <v>44</v>
      </c>
      <c r="M1137" t="s">
        <v>20</v>
      </c>
      <c r="N1137">
        <v>6</v>
      </c>
      <c r="O1137">
        <v>2</v>
      </c>
      <c r="P1137">
        <v>2473.3500000000004</v>
      </c>
      <c r="Q1137">
        <v>0</v>
      </c>
    </row>
    <row r="1138" spans="7:17" x14ac:dyDescent="0.25">
      <c r="G1138" t="str">
        <f t="shared" si="17"/>
        <v/>
      </c>
      <c r="H1138" t="s">
        <v>46</v>
      </c>
      <c r="I1138" t="s">
        <v>11</v>
      </c>
      <c r="J1138" t="s">
        <v>3</v>
      </c>
      <c r="K1138" t="s">
        <v>34</v>
      </c>
      <c r="L1138" t="s">
        <v>39</v>
      </c>
      <c r="M1138" t="s">
        <v>19</v>
      </c>
      <c r="N1138">
        <v>7</v>
      </c>
      <c r="O1138">
        <v>2</v>
      </c>
      <c r="P1138">
        <v>7993.8400000000011</v>
      </c>
      <c r="Q1138">
        <v>6161.04</v>
      </c>
    </row>
    <row r="1139" spans="7:17" x14ac:dyDescent="0.25">
      <c r="G1139" t="str">
        <f t="shared" si="17"/>
        <v/>
      </c>
      <c r="H1139" t="s">
        <v>46</v>
      </c>
      <c r="I1139" t="s">
        <v>11</v>
      </c>
      <c r="J1139" t="s">
        <v>3</v>
      </c>
      <c r="K1139" t="s">
        <v>34</v>
      </c>
      <c r="L1139" t="s">
        <v>39</v>
      </c>
      <c r="M1139" t="s">
        <v>20</v>
      </c>
      <c r="N1139">
        <v>5</v>
      </c>
      <c r="O1139">
        <v>3</v>
      </c>
      <c r="P1139">
        <v>1937.6800000000003</v>
      </c>
      <c r="Q1139">
        <v>0</v>
      </c>
    </row>
    <row r="1140" spans="7:17" x14ac:dyDescent="0.25">
      <c r="G1140" t="str">
        <f t="shared" si="17"/>
        <v/>
      </c>
      <c r="H1140" t="s">
        <v>46</v>
      </c>
      <c r="I1140" t="s">
        <v>11</v>
      </c>
      <c r="J1140" t="s">
        <v>3</v>
      </c>
      <c r="K1140" t="s">
        <v>34</v>
      </c>
      <c r="L1140" t="s">
        <v>40</v>
      </c>
      <c r="M1140" t="s">
        <v>20</v>
      </c>
      <c r="N1140">
        <v>4</v>
      </c>
      <c r="O1140">
        <v>1</v>
      </c>
      <c r="P1140">
        <v>2540.9499999999998</v>
      </c>
      <c r="Q1140">
        <v>0</v>
      </c>
    </row>
    <row r="1141" spans="7:17" x14ac:dyDescent="0.25">
      <c r="G1141" t="str">
        <f t="shared" si="17"/>
        <v/>
      </c>
      <c r="H1141" t="s">
        <v>46</v>
      </c>
      <c r="I1141" t="s">
        <v>11</v>
      </c>
      <c r="J1141" t="s">
        <v>3</v>
      </c>
      <c r="K1141" t="s">
        <v>34</v>
      </c>
      <c r="L1141" t="s">
        <v>41</v>
      </c>
      <c r="M1141" t="s">
        <v>19</v>
      </c>
      <c r="N1141">
        <v>1</v>
      </c>
      <c r="O1141">
        <v>0</v>
      </c>
      <c r="P1141">
        <v>1429.66</v>
      </c>
      <c r="Q1141">
        <v>1429.66</v>
      </c>
    </row>
    <row r="1142" spans="7:17" x14ac:dyDescent="0.25">
      <c r="G1142" t="str">
        <f t="shared" si="17"/>
        <v/>
      </c>
      <c r="H1142" t="s">
        <v>46</v>
      </c>
      <c r="I1142" t="s">
        <v>11</v>
      </c>
      <c r="J1142" t="s">
        <v>3</v>
      </c>
      <c r="K1142" t="s">
        <v>34</v>
      </c>
      <c r="L1142" t="s">
        <v>41</v>
      </c>
      <c r="M1142" t="s">
        <v>20</v>
      </c>
      <c r="N1142">
        <v>3</v>
      </c>
      <c r="O1142">
        <v>1</v>
      </c>
      <c r="P1142">
        <v>700.54</v>
      </c>
      <c r="Q1142">
        <v>0</v>
      </c>
    </row>
    <row r="1143" spans="7:17" x14ac:dyDescent="0.25">
      <c r="G1143" t="str">
        <f t="shared" si="17"/>
        <v/>
      </c>
      <c r="H1143" t="s">
        <v>46</v>
      </c>
      <c r="I1143" t="s">
        <v>11</v>
      </c>
      <c r="J1143" t="s">
        <v>3</v>
      </c>
      <c r="K1143" t="s">
        <v>34</v>
      </c>
      <c r="L1143" t="s">
        <v>45</v>
      </c>
      <c r="M1143" t="s">
        <v>20</v>
      </c>
      <c r="N1143">
        <v>59</v>
      </c>
      <c r="O1143">
        <v>10</v>
      </c>
      <c r="P1143">
        <v>9354.3200000000015</v>
      </c>
      <c r="Q1143">
        <v>0</v>
      </c>
    </row>
    <row r="1144" spans="7:17" x14ac:dyDescent="0.25">
      <c r="G1144" t="str">
        <f t="shared" si="17"/>
        <v/>
      </c>
      <c r="H1144" t="s">
        <v>46</v>
      </c>
      <c r="I1144" t="s">
        <v>11</v>
      </c>
      <c r="J1144" t="s">
        <v>3</v>
      </c>
      <c r="K1144" t="s">
        <v>35</v>
      </c>
      <c r="L1144" t="s">
        <v>42</v>
      </c>
      <c r="M1144" t="s">
        <v>19</v>
      </c>
      <c r="N1144">
        <v>245</v>
      </c>
      <c r="O1144">
        <v>20</v>
      </c>
      <c r="P1144">
        <v>56989.040000000015</v>
      </c>
      <c r="Q1144">
        <v>56982.220000000016</v>
      </c>
    </row>
    <row r="1145" spans="7:17" x14ac:dyDescent="0.25">
      <c r="G1145" t="str">
        <f t="shared" si="17"/>
        <v/>
      </c>
      <c r="H1145" t="s">
        <v>46</v>
      </c>
      <c r="I1145" t="s">
        <v>11</v>
      </c>
      <c r="J1145" t="s">
        <v>3</v>
      </c>
      <c r="K1145" t="s">
        <v>35</v>
      </c>
      <c r="L1145" t="s">
        <v>42</v>
      </c>
      <c r="M1145" t="s">
        <v>20</v>
      </c>
      <c r="N1145">
        <v>17</v>
      </c>
      <c r="O1145">
        <v>2</v>
      </c>
      <c r="P1145">
        <v>454.76999999999987</v>
      </c>
      <c r="Q1145">
        <v>0</v>
      </c>
    </row>
    <row r="1146" spans="7:17" x14ac:dyDescent="0.25">
      <c r="G1146" t="str">
        <f t="shared" si="17"/>
        <v/>
      </c>
      <c r="H1146" t="s">
        <v>46</v>
      </c>
      <c r="I1146" t="s">
        <v>11</v>
      </c>
      <c r="J1146" t="s">
        <v>3</v>
      </c>
      <c r="K1146" t="s">
        <v>35</v>
      </c>
      <c r="L1146" t="s">
        <v>43</v>
      </c>
      <c r="M1146" t="s">
        <v>19</v>
      </c>
      <c r="N1146">
        <v>52</v>
      </c>
      <c r="O1146">
        <v>16</v>
      </c>
      <c r="P1146">
        <v>27857.14</v>
      </c>
      <c r="Q1146">
        <v>24225.64</v>
      </c>
    </row>
    <row r="1147" spans="7:17" x14ac:dyDescent="0.25">
      <c r="G1147" t="str">
        <f t="shared" si="17"/>
        <v/>
      </c>
      <c r="H1147" t="s">
        <v>46</v>
      </c>
      <c r="I1147" t="s">
        <v>11</v>
      </c>
      <c r="J1147" t="s">
        <v>3</v>
      </c>
      <c r="K1147" t="s">
        <v>35</v>
      </c>
      <c r="L1147" t="s">
        <v>43</v>
      </c>
      <c r="M1147" t="s">
        <v>20</v>
      </c>
      <c r="N1147">
        <v>15</v>
      </c>
      <c r="O1147">
        <v>2</v>
      </c>
      <c r="P1147">
        <v>6180.5300000000007</v>
      </c>
      <c r="Q1147">
        <v>0</v>
      </c>
    </row>
    <row r="1148" spans="7:17" x14ac:dyDescent="0.25">
      <c r="G1148" t="str">
        <f t="shared" si="17"/>
        <v/>
      </c>
      <c r="H1148" t="s">
        <v>46</v>
      </c>
      <c r="I1148" t="s">
        <v>11</v>
      </c>
      <c r="J1148" t="s">
        <v>3</v>
      </c>
      <c r="K1148" t="s">
        <v>35</v>
      </c>
      <c r="L1148" t="s">
        <v>44</v>
      </c>
      <c r="M1148" t="s">
        <v>19</v>
      </c>
      <c r="N1148">
        <v>46</v>
      </c>
      <c r="O1148">
        <v>7</v>
      </c>
      <c r="P1148">
        <v>48465.31</v>
      </c>
      <c r="Q1148">
        <v>42372.9</v>
      </c>
    </row>
    <row r="1149" spans="7:17" x14ac:dyDescent="0.25">
      <c r="G1149" t="str">
        <f t="shared" si="17"/>
        <v/>
      </c>
      <c r="H1149" t="s">
        <v>46</v>
      </c>
      <c r="I1149" t="s">
        <v>11</v>
      </c>
      <c r="J1149" t="s">
        <v>3</v>
      </c>
      <c r="K1149" t="s">
        <v>35</v>
      </c>
      <c r="L1149" t="s">
        <v>44</v>
      </c>
      <c r="M1149" t="s">
        <v>20</v>
      </c>
      <c r="N1149">
        <v>21</v>
      </c>
      <c r="O1149">
        <v>9</v>
      </c>
      <c r="P1149">
        <v>57972.989999999991</v>
      </c>
      <c r="Q1149">
        <v>0</v>
      </c>
    </row>
    <row r="1150" spans="7:17" x14ac:dyDescent="0.25">
      <c r="G1150" t="str">
        <f t="shared" si="17"/>
        <v/>
      </c>
      <c r="H1150" t="s">
        <v>46</v>
      </c>
      <c r="I1150" t="s">
        <v>11</v>
      </c>
      <c r="J1150" t="s">
        <v>3</v>
      </c>
      <c r="K1150" t="s">
        <v>35</v>
      </c>
      <c r="L1150" t="s">
        <v>39</v>
      </c>
      <c r="M1150" t="s">
        <v>19</v>
      </c>
      <c r="N1150">
        <v>9</v>
      </c>
      <c r="O1150">
        <v>5</v>
      </c>
      <c r="P1150">
        <v>9663.15</v>
      </c>
      <c r="Q1150">
        <v>8101.95</v>
      </c>
    </row>
    <row r="1151" spans="7:17" x14ac:dyDescent="0.25">
      <c r="G1151" t="str">
        <f t="shared" si="17"/>
        <v/>
      </c>
      <c r="H1151" t="s">
        <v>46</v>
      </c>
      <c r="I1151" t="s">
        <v>11</v>
      </c>
      <c r="J1151" t="s">
        <v>3</v>
      </c>
      <c r="K1151" t="s">
        <v>35</v>
      </c>
      <c r="L1151" t="s">
        <v>39</v>
      </c>
      <c r="M1151" t="s">
        <v>20</v>
      </c>
      <c r="N1151">
        <v>5</v>
      </c>
      <c r="O1151">
        <v>3</v>
      </c>
      <c r="P1151">
        <v>6782.6100000000006</v>
      </c>
      <c r="Q1151">
        <v>0</v>
      </c>
    </row>
    <row r="1152" spans="7:17" x14ac:dyDescent="0.25">
      <c r="G1152" t="str">
        <f t="shared" si="17"/>
        <v/>
      </c>
      <c r="H1152" t="s">
        <v>46</v>
      </c>
      <c r="I1152" t="s">
        <v>11</v>
      </c>
      <c r="J1152" t="s">
        <v>3</v>
      </c>
      <c r="K1152" t="s">
        <v>35</v>
      </c>
      <c r="L1152" t="s">
        <v>40</v>
      </c>
      <c r="M1152" t="s">
        <v>19</v>
      </c>
      <c r="N1152">
        <v>2</v>
      </c>
      <c r="O1152">
        <v>0</v>
      </c>
      <c r="P1152">
        <v>2696.4300000000003</v>
      </c>
      <c r="Q1152">
        <v>808.59</v>
      </c>
    </row>
    <row r="1153" spans="7:17" x14ac:dyDescent="0.25">
      <c r="G1153" t="str">
        <f t="shared" si="17"/>
        <v/>
      </c>
      <c r="H1153" t="s">
        <v>46</v>
      </c>
      <c r="I1153" t="s">
        <v>11</v>
      </c>
      <c r="J1153" t="s">
        <v>3</v>
      </c>
      <c r="K1153" t="s">
        <v>35</v>
      </c>
      <c r="L1153" t="s">
        <v>40</v>
      </c>
      <c r="M1153" t="s">
        <v>20</v>
      </c>
      <c r="N1153">
        <v>5</v>
      </c>
      <c r="O1153">
        <v>1</v>
      </c>
      <c r="P1153">
        <v>5190.18</v>
      </c>
      <c r="Q1153">
        <v>0</v>
      </c>
    </row>
    <row r="1154" spans="7:17" x14ac:dyDescent="0.25">
      <c r="G1154" t="str">
        <f t="shared" ref="G1154:G1217" si="18">IF(G$1="Overall","Overall",IF(G$1=L1154,L1154,""))</f>
        <v/>
      </c>
      <c r="H1154" t="s">
        <v>46</v>
      </c>
      <c r="I1154" t="s">
        <v>11</v>
      </c>
      <c r="J1154" t="s">
        <v>3</v>
      </c>
      <c r="K1154" t="s">
        <v>35</v>
      </c>
      <c r="L1154" t="s">
        <v>41</v>
      </c>
      <c r="M1154" t="s">
        <v>20</v>
      </c>
      <c r="N1154">
        <v>12</v>
      </c>
      <c r="O1154">
        <v>2</v>
      </c>
      <c r="P1154">
        <v>6196.6600000000008</v>
      </c>
      <c r="Q1154">
        <v>0</v>
      </c>
    </row>
    <row r="1155" spans="7:17" x14ac:dyDescent="0.25">
      <c r="G1155" t="str">
        <f t="shared" si="18"/>
        <v/>
      </c>
      <c r="H1155" t="s">
        <v>46</v>
      </c>
      <c r="I1155" t="s">
        <v>11</v>
      </c>
      <c r="J1155" t="s">
        <v>3</v>
      </c>
      <c r="K1155" t="s">
        <v>35</v>
      </c>
      <c r="L1155" t="s">
        <v>45</v>
      </c>
      <c r="M1155" t="s">
        <v>20</v>
      </c>
      <c r="N1155">
        <v>57</v>
      </c>
      <c r="O1155">
        <v>30</v>
      </c>
      <c r="P1155">
        <v>41464.21</v>
      </c>
      <c r="Q1155">
        <v>0</v>
      </c>
    </row>
    <row r="1156" spans="7:17" x14ac:dyDescent="0.25">
      <c r="G1156" t="str">
        <f t="shared" si="18"/>
        <v/>
      </c>
      <c r="H1156" t="s">
        <v>46</v>
      </c>
      <c r="I1156" t="s">
        <v>11</v>
      </c>
      <c r="J1156" t="s">
        <v>3</v>
      </c>
      <c r="K1156" t="s">
        <v>36</v>
      </c>
      <c r="L1156" t="s">
        <v>42</v>
      </c>
      <c r="M1156" t="s">
        <v>19</v>
      </c>
      <c r="N1156">
        <v>291</v>
      </c>
      <c r="O1156">
        <v>23</v>
      </c>
      <c r="P1156">
        <v>62174.550000000017</v>
      </c>
      <c r="Q1156">
        <v>62170.700000000012</v>
      </c>
    </row>
    <row r="1157" spans="7:17" x14ac:dyDescent="0.25">
      <c r="G1157" t="str">
        <f t="shared" si="18"/>
        <v/>
      </c>
      <c r="H1157" t="s">
        <v>46</v>
      </c>
      <c r="I1157" t="s">
        <v>11</v>
      </c>
      <c r="J1157" t="s">
        <v>3</v>
      </c>
      <c r="K1157" t="s">
        <v>36</v>
      </c>
      <c r="L1157" t="s">
        <v>42</v>
      </c>
      <c r="M1157" t="s">
        <v>20</v>
      </c>
      <c r="N1157">
        <v>65</v>
      </c>
      <c r="O1157">
        <v>5</v>
      </c>
      <c r="P1157">
        <v>11778.920000000004</v>
      </c>
      <c r="Q1157">
        <v>0</v>
      </c>
    </row>
    <row r="1158" spans="7:17" x14ac:dyDescent="0.25">
      <c r="G1158" t="str">
        <f t="shared" si="18"/>
        <v/>
      </c>
      <c r="H1158" t="s">
        <v>46</v>
      </c>
      <c r="I1158" t="s">
        <v>11</v>
      </c>
      <c r="J1158" t="s">
        <v>3</v>
      </c>
      <c r="K1158" t="s">
        <v>36</v>
      </c>
      <c r="L1158" t="s">
        <v>43</v>
      </c>
      <c r="M1158" t="s">
        <v>19</v>
      </c>
      <c r="N1158">
        <v>88</v>
      </c>
      <c r="O1158">
        <v>10</v>
      </c>
      <c r="P1158">
        <v>81337.78</v>
      </c>
      <c r="Q1158">
        <v>74107.51999999999</v>
      </c>
    </row>
    <row r="1159" spans="7:17" x14ac:dyDescent="0.25">
      <c r="G1159" t="str">
        <f t="shared" si="18"/>
        <v/>
      </c>
      <c r="H1159" t="s">
        <v>46</v>
      </c>
      <c r="I1159" t="s">
        <v>11</v>
      </c>
      <c r="J1159" t="s">
        <v>3</v>
      </c>
      <c r="K1159" t="s">
        <v>36</v>
      </c>
      <c r="L1159" t="s">
        <v>43</v>
      </c>
      <c r="M1159" t="s">
        <v>20</v>
      </c>
      <c r="N1159">
        <v>52</v>
      </c>
      <c r="O1159">
        <v>7</v>
      </c>
      <c r="P1159">
        <v>21625.600000000009</v>
      </c>
      <c r="Q1159">
        <v>0</v>
      </c>
    </row>
    <row r="1160" spans="7:17" x14ac:dyDescent="0.25">
      <c r="G1160" t="str">
        <f t="shared" si="18"/>
        <v/>
      </c>
      <c r="H1160" t="s">
        <v>46</v>
      </c>
      <c r="I1160" t="s">
        <v>11</v>
      </c>
      <c r="J1160" t="s">
        <v>3</v>
      </c>
      <c r="K1160" t="s">
        <v>36</v>
      </c>
      <c r="L1160" t="s">
        <v>44</v>
      </c>
      <c r="M1160" t="s">
        <v>19</v>
      </c>
      <c r="N1160">
        <v>46</v>
      </c>
      <c r="O1160">
        <v>14</v>
      </c>
      <c r="P1160">
        <v>51585.69000000001</v>
      </c>
      <c r="Q1160">
        <v>50980.070000000014</v>
      </c>
    </row>
    <row r="1161" spans="7:17" x14ac:dyDescent="0.25">
      <c r="G1161" t="str">
        <f t="shared" si="18"/>
        <v/>
      </c>
      <c r="H1161" t="s">
        <v>46</v>
      </c>
      <c r="I1161" t="s">
        <v>11</v>
      </c>
      <c r="J1161" t="s">
        <v>3</v>
      </c>
      <c r="K1161" t="s">
        <v>36</v>
      </c>
      <c r="L1161" t="s">
        <v>44</v>
      </c>
      <c r="M1161" t="s">
        <v>20</v>
      </c>
      <c r="N1161">
        <v>35</v>
      </c>
      <c r="O1161">
        <v>10</v>
      </c>
      <c r="P1161">
        <v>28963.250000000004</v>
      </c>
      <c r="Q1161">
        <v>0</v>
      </c>
    </row>
    <row r="1162" spans="7:17" x14ac:dyDescent="0.25">
      <c r="G1162" t="str">
        <f t="shared" si="18"/>
        <v/>
      </c>
      <c r="H1162" t="s">
        <v>46</v>
      </c>
      <c r="I1162" t="s">
        <v>11</v>
      </c>
      <c r="J1162" t="s">
        <v>3</v>
      </c>
      <c r="K1162" t="s">
        <v>36</v>
      </c>
      <c r="L1162" t="s">
        <v>39</v>
      </c>
      <c r="M1162" t="s">
        <v>19</v>
      </c>
      <c r="N1162">
        <v>6</v>
      </c>
      <c r="O1162">
        <v>3</v>
      </c>
      <c r="P1162">
        <v>14734.750000000002</v>
      </c>
      <c r="Q1162">
        <v>14734.750000000002</v>
      </c>
    </row>
    <row r="1163" spans="7:17" x14ac:dyDescent="0.25">
      <c r="G1163" t="str">
        <f t="shared" si="18"/>
        <v/>
      </c>
      <c r="H1163" t="s">
        <v>46</v>
      </c>
      <c r="I1163" t="s">
        <v>11</v>
      </c>
      <c r="J1163" t="s">
        <v>3</v>
      </c>
      <c r="K1163" t="s">
        <v>36</v>
      </c>
      <c r="L1163" t="s">
        <v>39</v>
      </c>
      <c r="M1163" t="s">
        <v>20</v>
      </c>
      <c r="N1163">
        <v>17</v>
      </c>
      <c r="O1163">
        <v>9</v>
      </c>
      <c r="P1163">
        <v>13520.24</v>
      </c>
      <c r="Q1163">
        <v>0</v>
      </c>
    </row>
    <row r="1164" spans="7:17" x14ac:dyDescent="0.25">
      <c r="G1164" t="str">
        <f t="shared" si="18"/>
        <v/>
      </c>
      <c r="H1164" t="s">
        <v>46</v>
      </c>
      <c r="I1164" t="s">
        <v>11</v>
      </c>
      <c r="J1164" t="s">
        <v>3</v>
      </c>
      <c r="K1164" t="s">
        <v>36</v>
      </c>
      <c r="L1164" t="s">
        <v>40</v>
      </c>
      <c r="M1164" t="s">
        <v>19</v>
      </c>
      <c r="N1164">
        <v>7</v>
      </c>
      <c r="O1164">
        <v>2</v>
      </c>
      <c r="P1164">
        <v>12954.849999999999</v>
      </c>
      <c r="Q1164">
        <v>6264.0300000000007</v>
      </c>
    </row>
    <row r="1165" spans="7:17" x14ac:dyDescent="0.25">
      <c r="G1165" t="str">
        <f t="shared" si="18"/>
        <v/>
      </c>
      <c r="H1165" t="s">
        <v>46</v>
      </c>
      <c r="I1165" t="s">
        <v>11</v>
      </c>
      <c r="J1165" t="s">
        <v>3</v>
      </c>
      <c r="K1165" t="s">
        <v>36</v>
      </c>
      <c r="L1165" t="s">
        <v>40</v>
      </c>
      <c r="M1165" t="s">
        <v>20</v>
      </c>
      <c r="N1165">
        <v>9</v>
      </c>
      <c r="O1165">
        <v>0</v>
      </c>
      <c r="P1165">
        <v>3500.0100000000007</v>
      </c>
      <c r="Q1165">
        <v>0</v>
      </c>
    </row>
    <row r="1166" spans="7:17" x14ac:dyDescent="0.25">
      <c r="G1166" t="str">
        <f t="shared" si="18"/>
        <v/>
      </c>
      <c r="H1166" t="s">
        <v>46</v>
      </c>
      <c r="I1166" t="s">
        <v>11</v>
      </c>
      <c r="J1166" t="s">
        <v>3</v>
      </c>
      <c r="K1166" t="s">
        <v>36</v>
      </c>
      <c r="L1166" t="s">
        <v>41</v>
      </c>
      <c r="M1166" t="s">
        <v>20</v>
      </c>
      <c r="N1166">
        <v>8</v>
      </c>
      <c r="O1166">
        <v>1</v>
      </c>
      <c r="P1166">
        <v>2327.2100000000005</v>
      </c>
      <c r="Q1166">
        <v>0</v>
      </c>
    </row>
    <row r="1167" spans="7:17" x14ac:dyDescent="0.25">
      <c r="G1167" t="str">
        <f t="shared" si="18"/>
        <v/>
      </c>
      <c r="H1167" t="s">
        <v>46</v>
      </c>
      <c r="I1167" t="s">
        <v>11</v>
      </c>
      <c r="J1167" t="s">
        <v>3</v>
      </c>
      <c r="K1167" t="s">
        <v>36</v>
      </c>
      <c r="L1167" t="s">
        <v>45</v>
      </c>
      <c r="M1167" t="s">
        <v>19</v>
      </c>
      <c r="N1167">
        <v>1</v>
      </c>
      <c r="O1167">
        <v>0</v>
      </c>
      <c r="P1167">
        <v>56.33</v>
      </c>
      <c r="Q1167">
        <v>56.33</v>
      </c>
    </row>
    <row r="1168" spans="7:17" x14ac:dyDescent="0.25">
      <c r="G1168" t="str">
        <f t="shared" si="18"/>
        <v/>
      </c>
      <c r="H1168" t="s">
        <v>46</v>
      </c>
      <c r="I1168" t="s">
        <v>11</v>
      </c>
      <c r="J1168" t="s">
        <v>3</v>
      </c>
      <c r="K1168" t="s">
        <v>36</v>
      </c>
      <c r="L1168" t="s">
        <v>45</v>
      </c>
      <c r="M1168" t="s">
        <v>20</v>
      </c>
      <c r="N1168">
        <v>42</v>
      </c>
      <c r="O1168">
        <v>9</v>
      </c>
      <c r="P1168">
        <v>11287.589999999998</v>
      </c>
      <c r="Q1168">
        <v>0</v>
      </c>
    </row>
    <row r="1169" spans="7:17" x14ac:dyDescent="0.25">
      <c r="G1169" t="str">
        <f t="shared" si="18"/>
        <v/>
      </c>
      <c r="H1169" t="s">
        <v>46</v>
      </c>
      <c r="I1169" t="s">
        <v>11</v>
      </c>
      <c r="J1169" t="s">
        <v>3</v>
      </c>
      <c r="K1169" t="s">
        <v>37</v>
      </c>
      <c r="L1169" t="s">
        <v>42</v>
      </c>
      <c r="M1169" t="s">
        <v>19</v>
      </c>
      <c r="N1169">
        <v>473</v>
      </c>
      <c r="O1169">
        <v>17</v>
      </c>
      <c r="P1169">
        <v>100284.99000000009</v>
      </c>
      <c r="Q1169">
        <v>98825.820000000094</v>
      </c>
    </row>
    <row r="1170" spans="7:17" x14ac:dyDescent="0.25">
      <c r="G1170" t="str">
        <f t="shared" si="18"/>
        <v/>
      </c>
      <c r="H1170" t="s">
        <v>46</v>
      </c>
      <c r="I1170" t="s">
        <v>11</v>
      </c>
      <c r="J1170" t="s">
        <v>3</v>
      </c>
      <c r="K1170" t="s">
        <v>37</v>
      </c>
      <c r="L1170" t="s">
        <v>42</v>
      </c>
      <c r="M1170" t="s">
        <v>20</v>
      </c>
      <c r="N1170">
        <v>121</v>
      </c>
      <c r="O1170">
        <v>5</v>
      </c>
      <c r="P1170">
        <v>53201.449999999983</v>
      </c>
      <c r="Q1170">
        <v>0</v>
      </c>
    </row>
    <row r="1171" spans="7:17" x14ac:dyDescent="0.25">
      <c r="G1171" t="str">
        <f t="shared" si="18"/>
        <v/>
      </c>
      <c r="H1171" t="s">
        <v>46</v>
      </c>
      <c r="I1171" t="s">
        <v>11</v>
      </c>
      <c r="J1171" t="s">
        <v>3</v>
      </c>
      <c r="K1171" t="s">
        <v>37</v>
      </c>
      <c r="L1171" t="s">
        <v>43</v>
      </c>
      <c r="M1171" t="s">
        <v>19</v>
      </c>
      <c r="N1171">
        <v>296</v>
      </c>
      <c r="O1171">
        <v>17</v>
      </c>
      <c r="P1171">
        <v>222210.23000000071</v>
      </c>
      <c r="Q1171">
        <v>122534.34000000052</v>
      </c>
    </row>
    <row r="1172" spans="7:17" x14ac:dyDescent="0.25">
      <c r="G1172" t="str">
        <f t="shared" si="18"/>
        <v/>
      </c>
      <c r="H1172" t="s">
        <v>46</v>
      </c>
      <c r="I1172" t="s">
        <v>11</v>
      </c>
      <c r="J1172" t="s">
        <v>3</v>
      </c>
      <c r="K1172" t="s">
        <v>37</v>
      </c>
      <c r="L1172" t="s">
        <v>43</v>
      </c>
      <c r="M1172" t="s">
        <v>20</v>
      </c>
      <c r="N1172">
        <v>34</v>
      </c>
      <c r="O1172">
        <v>5</v>
      </c>
      <c r="P1172">
        <v>15065.72</v>
      </c>
      <c r="Q1172">
        <v>0</v>
      </c>
    </row>
    <row r="1173" spans="7:17" x14ac:dyDescent="0.25">
      <c r="G1173" t="str">
        <f t="shared" si="18"/>
        <v/>
      </c>
      <c r="H1173" t="s">
        <v>46</v>
      </c>
      <c r="I1173" t="s">
        <v>11</v>
      </c>
      <c r="J1173" t="s">
        <v>3</v>
      </c>
      <c r="K1173" t="s">
        <v>37</v>
      </c>
      <c r="L1173" t="s">
        <v>44</v>
      </c>
      <c r="M1173" t="s">
        <v>19</v>
      </c>
      <c r="N1173">
        <v>64</v>
      </c>
      <c r="O1173">
        <v>4</v>
      </c>
      <c r="P1173">
        <v>60948.129999999968</v>
      </c>
      <c r="Q1173">
        <v>48065.86</v>
      </c>
    </row>
    <row r="1174" spans="7:17" x14ac:dyDescent="0.25">
      <c r="G1174" t="str">
        <f t="shared" si="18"/>
        <v/>
      </c>
      <c r="H1174" t="s">
        <v>46</v>
      </c>
      <c r="I1174" t="s">
        <v>11</v>
      </c>
      <c r="J1174" t="s">
        <v>3</v>
      </c>
      <c r="K1174" t="s">
        <v>37</v>
      </c>
      <c r="L1174" t="s">
        <v>44</v>
      </c>
      <c r="M1174" t="s">
        <v>20</v>
      </c>
      <c r="N1174">
        <v>43</v>
      </c>
      <c r="O1174">
        <v>9</v>
      </c>
      <c r="P1174">
        <v>25167.009999999995</v>
      </c>
      <c r="Q1174">
        <v>0</v>
      </c>
    </row>
    <row r="1175" spans="7:17" x14ac:dyDescent="0.25">
      <c r="G1175" t="str">
        <f t="shared" si="18"/>
        <v/>
      </c>
      <c r="H1175" t="s">
        <v>46</v>
      </c>
      <c r="I1175" t="s">
        <v>11</v>
      </c>
      <c r="J1175" t="s">
        <v>3</v>
      </c>
      <c r="K1175" t="s">
        <v>37</v>
      </c>
      <c r="L1175" t="s">
        <v>39</v>
      </c>
      <c r="M1175" t="s">
        <v>19</v>
      </c>
      <c r="N1175">
        <v>3</v>
      </c>
      <c r="O1175">
        <v>1</v>
      </c>
      <c r="P1175">
        <v>2658.25</v>
      </c>
      <c r="Q1175">
        <v>2628.8599999999997</v>
      </c>
    </row>
    <row r="1176" spans="7:17" x14ac:dyDescent="0.25">
      <c r="G1176" t="str">
        <f t="shared" si="18"/>
        <v/>
      </c>
      <c r="H1176" t="s">
        <v>46</v>
      </c>
      <c r="I1176" t="s">
        <v>11</v>
      </c>
      <c r="J1176" t="s">
        <v>3</v>
      </c>
      <c r="K1176" t="s">
        <v>37</v>
      </c>
      <c r="L1176" t="s">
        <v>39</v>
      </c>
      <c r="M1176" t="s">
        <v>20</v>
      </c>
      <c r="N1176">
        <v>14</v>
      </c>
      <c r="O1176">
        <v>7</v>
      </c>
      <c r="P1176">
        <v>9769.7500000000018</v>
      </c>
      <c r="Q1176">
        <v>0</v>
      </c>
    </row>
    <row r="1177" spans="7:17" x14ac:dyDescent="0.25">
      <c r="G1177" t="str">
        <f t="shared" si="18"/>
        <v/>
      </c>
      <c r="H1177" t="s">
        <v>46</v>
      </c>
      <c r="I1177" t="s">
        <v>11</v>
      </c>
      <c r="J1177" t="s">
        <v>3</v>
      </c>
      <c r="K1177" t="s">
        <v>37</v>
      </c>
      <c r="L1177" t="s">
        <v>40</v>
      </c>
      <c r="M1177" t="s">
        <v>20</v>
      </c>
      <c r="N1177">
        <v>22</v>
      </c>
      <c r="O1177">
        <v>3</v>
      </c>
      <c r="P1177">
        <v>14382.65</v>
      </c>
      <c r="Q1177">
        <v>0</v>
      </c>
    </row>
    <row r="1178" spans="7:17" x14ac:dyDescent="0.25">
      <c r="G1178" t="str">
        <f t="shared" si="18"/>
        <v/>
      </c>
      <c r="H1178" t="s">
        <v>46</v>
      </c>
      <c r="I1178" t="s">
        <v>11</v>
      </c>
      <c r="J1178" t="s">
        <v>3</v>
      </c>
      <c r="K1178" t="s">
        <v>37</v>
      </c>
      <c r="L1178" t="s">
        <v>41</v>
      </c>
      <c r="M1178" t="s">
        <v>20</v>
      </c>
      <c r="N1178">
        <v>12</v>
      </c>
      <c r="O1178">
        <v>0</v>
      </c>
      <c r="P1178">
        <v>3265.21</v>
      </c>
      <c r="Q1178">
        <v>0</v>
      </c>
    </row>
    <row r="1179" spans="7:17" x14ac:dyDescent="0.25">
      <c r="G1179" t="str">
        <f t="shared" si="18"/>
        <v/>
      </c>
      <c r="H1179" t="s">
        <v>46</v>
      </c>
      <c r="I1179" t="s">
        <v>11</v>
      </c>
      <c r="J1179" t="s">
        <v>3</v>
      </c>
      <c r="K1179" t="s">
        <v>37</v>
      </c>
      <c r="L1179" t="s">
        <v>45</v>
      </c>
      <c r="M1179" t="s">
        <v>19</v>
      </c>
      <c r="N1179">
        <v>2</v>
      </c>
      <c r="O1179">
        <v>0</v>
      </c>
      <c r="P1179">
        <v>1692.74</v>
      </c>
      <c r="Q1179">
        <v>901.83999999999992</v>
      </c>
    </row>
    <row r="1180" spans="7:17" x14ac:dyDescent="0.25">
      <c r="G1180" t="str">
        <f t="shared" si="18"/>
        <v/>
      </c>
      <c r="H1180" t="s">
        <v>46</v>
      </c>
      <c r="I1180" t="s">
        <v>11</v>
      </c>
      <c r="J1180" t="s">
        <v>3</v>
      </c>
      <c r="K1180" t="s">
        <v>37</v>
      </c>
      <c r="L1180" t="s">
        <v>45</v>
      </c>
      <c r="M1180" t="s">
        <v>20</v>
      </c>
      <c r="N1180">
        <v>183</v>
      </c>
      <c r="O1180">
        <v>33</v>
      </c>
      <c r="P1180">
        <v>131074.75</v>
      </c>
      <c r="Q1180">
        <v>0</v>
      </c>
    </row>
    <row r="1181" spans="7:17" x14ac:dyDescent="0.25">
      <c r="G1181" t="str">
        <f t="shared" si="18"/>
        <v/>
      </c>
      <c r="H1181" t="s">
        <v>46</v>
      </c>
      <c r="I1181" t="s">
        <v>11</v>
      </c>
      <c r="J1181" t="s">
        <v>3</v>
      </c>
      <c r="K1181" t="s">
        <v>38</v>
      </c>
      <c r="L1181" t="s">
        <v>42</v>
      </c>
      <c r="M1181" t="s">
        <v>19</v>
      </c>
      <c r="N1181">
        <v>81</v>
      </c>
      <c r="O1181">
        <v>6</v>
      </c>
      <c r="P1181">
        <v>14794.499999999996</v>
      </c>
      <c r="Q1181">
        <v>14790.899999999994</v>
      </c>
    </row>
    <row r="1182" spans="7:17" x14ac:dyDescent="0.25">
      <c r="G1182" t="str">
        <f t="shared" si="18"/>
        <v/>
      </c>
      <c r="H1182" t="s">
        <v>46</v>
      </c>
      <c r="I1182" t="s">
        <v>11</v>
      </c>
      <c r="J1182" t="s">
        <v>3</v>
      </c>
      <c r="K1182" t="s">
        <v>38</v>
      </c>
      <c r="L1182" t="s">
        <v>42</v>
      </c>
      <c r="M1182" t="s">
        <v>20</v>
      </c>
      <c r="N1182">
        <v>12</v>
      </c>
      <c r="O1182">
        <v>2</v>
      </c>
      <c r="P1182">
        <v>1629.84</v>
      </c>
      <c r="Q1182">
        <v>0</v>
      </c>
    </row>
    <row r="1183" spans="7:17" x14ac:dyDescent="0.25">
      <c r="G1183" t="str">
        <f t="shared" si="18"/>
        <v/>
      </c>
      <c r="H1183" t="s">
        <v>46</v>
      </c>
      <c r="I1183" t="s">
        <v>11</v>
      </c>
      <c r="J1183" t="s">
        <v>3</v>
      </c>
      <c r="K1183" t="s">
        <v>38</v>
      </c>
      <c r="L1183" t="s">
        <v>43</v>
      </c>
      <c r="M1183" t="s">
        <v>19</v>
      </c>
      <c r="N1183">
        <v>18</v>
      </c>
      <c r="O1183">
        <v>3</v>
      </c>
      <c r="P1183">
        <v>16855.429999999997</v>
      </c>
      <c r="Q1183">
        <v>11265.81</v>
      </c>
    </row>
    <row r="1184" spans="7:17" x14ac:dyDescent="0.25">
      <c r="G1184" t="str">
        <f t="shared" si="18"/>
        <v/>
      </c>
      <c r="H1184" t="s">
        <v>46</v>
      </c>
      <c r="I1184" t="s">
        <v>11</v>
      </c>
      <c r="J1184" t="s">
        <v>3</v>
      </c>
      <c r="K1184" t="s">
        <v>38</v>
      </c>
      <c r="L1184" t="s">
        <v>43</v>
      </c>
      <c r="M1184" t="s">
        <v>20</v>
      </c>
      <c r="N1184">
        <v>8</v>
      </c>
      <c r="O1184">
        <v>2</v>
      </c>
      <c r="P1184">
        <v>2222.7600000000002</v>
      </c>
      <c r="Q1184">
        <v>0</v>
      </c>
    </row>
    <row r="1185" spans="7:17" x14ac:dyDescent="0.25">
      <c r="G1185" t="str">
        <f t="shared" si="18"/>
        <v/>
      </c>
      <c r="H1185" t="s">
        <v>46</v>
      </c>
      <c r="I1185" t="s">
        <v>11</v>
      </c>
      <c r="J1185" t="s">
        <v>3</v>
      </c>
      <c r="K1185" t="s">
        <v>38</v>
      </c>
      <c r="L1185" t="s">
        <v>44</v>
      </c>
      <c r="M1185" t="s">
        <v>19</v>
      </c>
      <c r="N1185">
        <v>14</v>
      </c>
      <c r="O1185">
        <v>5</v>
      </c>
      <c r="P1185">
        <v>17655.57</v>
      </c>
      <c r="Q1185">
        <v>14775.270000000002</v>
      </c>
    </row>
    <row r="1186" spans="7:17" x14ac:dyDescent="0.25">
      <c r="G1186" t="str">
        <f t="shared" si="18"/>
        <v/>
      </c>
      <c r="H1186" t="s">
        <v>46</v>
      </c>
      <c r="I1186" t="s">
        <v>11</v>
      </c>
      <c r="J1186" t="s">
        <v>3</v>
      </c>
      <c r="K1186" t="s">
        <v>38</v>
      </c>
      <c r="L1186" t="s">
        <v>44</v>
      </c>
      <c r="M1186" t="s">
        <v>20</v>
      </c>
      <c r="N1186">
        <v>15</v>
      </c>
      <c r="O1186">
        <v>4</v>
      </c>
      <c r="P1186">
        <v>11220.75</v>
      </c>
      <c r="Q1186">
        <v>0</v>
      </c>
    </row>
    <row r="1187" spans="7:17" x14ac:dyDescent="0.25">
      <c r="G1187" t="str">
        <f t="shared" si="18"/>
        <v/>
      </c>
      <c r="H1187" t="s">
        <v>46</v>
      </c>
      <c r="I1187" t="s">
        <v>11</v>
      </c>
      <c r="J1187" t="s">
        <v>3</v>
      </c>
      <c r="K1187" t="s">
        <v>38</v>
      </c>
      <c r="L1187" t="s">
        <v>39</v>
      </c>
      <c r="M1187" t="s">
        <v>19</v>
      </c>
      <c r="N1187">
        <v>1</v>
      </c>
      <c r="O1187">
        <v>1</v>
      </c>
      <c r="P1187">
        <v>751.27</v>
      </c>
      <c r="Q1187">
        <v>751.27</v>
      </c>
    </row>
    <row r="1188" spans="7:17" x14ac:dyDescent="0.25">
      <c r="G1188" t="str">
        <f t="shared" si="18"/>
        <v/>
      </c>
      <c r="H1188" t="s">
        <v>46</v>
      </c>
      <c r="I1188" t="s">
        <v>11</v>
      </c>
      <c r="J1188" t="s">
        <v>3</v>
      </c>
      <c r="K1188" t="s">
        <v>38</v>
      </c>
      <c r="L1188" t="s">
        <v>39</v>
      </c>
      <c r="M1188" t="s">
        <v>20</v>
      </c>
      <c r="N1188">
        <v>11</v>
      </c>
      <c r="O1188">
        <v>5</v>
      </c>
      <c r="P1188">
        <v>10095.43</v>
      </c>
      <c r="Q1188">
        <v>0</v>
      </c>
    </row>
    <row r="1189" spans="7:17" x14ac:dyDescent="0.25">
      <c r="G1189" t="str">
        <f t="shared" si="18"/>
        <v/>
      </c>
      <c r="H1189" t="s">
        <v>46</v>
      </c>
      <c r="I1189" t="s">
        <v>11</v>
      </c>
      <c r="J1189" t="s">
        <v>3</v>
      </c>
      <c r="K1189" t="s">
        <v>38</v>
      </c>
      <c r="L1189" t="s">
        <v>40</v>
      </c>
      <c r="M1189" t="s">
        <v>20</v>
      </c>
      <c r="N1189">
        <v>7</v>
      </c>
      <c r="O1189">
        <v>1</v>
      </c>
      <c r="P1189">
        <v>6102.33</v>
      </c>
      <c r="Q1189">
        <v>0</v>
      </c>
    </row>
    <row r="1190" spans="7:17" x14ac:dyDescent="0.25">
      <c r="G1190" t="str">
        <f t="shared" si="18"/>
        <v/>
      </c>
      <c r="H1190" t="s">
        <v>46</v>
      </c>
      <c r="I1190" t="s">
        <v>11</v>
      </c>
      <c r="J1190" t="s">
        <v>3</v>
      </c>
      <c r="K1190" t="s">
        <v>38</v>
      </c>
      <c r="L1190" t="s">
        <v>41</v>
      </c>
      <c r="M1190" t="s">
        <v>20</v>
      </c>
      <c r="N1190">
        <v>3</v>
      </c>
      <c r="O1190">
        <v>0</v>
      </c>
      <c r="P1190">
        <v>554.39</v>
      </c>
      <c r="Q1190">
        <v>0</v>
      </c>
    </row>
    <row r="1191" spans="7:17" x14ac:dyDescent="0.25">
      <c r="G1191" t="str">
        <f t="shared" si="18"/>
        <v/>
      </c>
      <c r="H1191" t="s">
        <v>46</v>
      </c>
      <c r="I1191" t="s">
        <v>11</v>
      </c>
      <c r="J1191" t="s">
        <v>3</v>
      </c>
      <c r="K1191" t="s">
        <v>38</v>
      </c>
      <c r="L1191" t="s">
        <v>45</v>
      </c>
      <c r="M1191" t="s">
        <v>20</v>
      </c>
      <c r="N1191">
        <v>39</v>
      </c>
      <c r="O1191">
        <v>6</v>
      </c>
      <c r="P1191">
        <v>18751.809999999998</v>
      </c>
      <c r="Q1191">
        <v>0</v>
      </c>
    </row>
    <row r="1192" spans="7:17" x14ac:dyDescent="0.25">
      <c r="G1192" t="str">
        <f t="shared" si="18"/>
        <v/>
      </c>
      <c r="H1192" t="s">
        <v>46</v>
      </c>
      <c r="I1192" t="s">
        <v>11</v>
      </c>
      <c r="J1192" t="s">
        <v>5</v>
      </c>
      <c r="K1192" t="s">
        <v>23</v>
      </c>
      <c r="L1192" t="s">
        <v>42</v>
      </c>
      <c r="M1192" t="s">
        <v>19</v>
      </c>
      <c r="N1192">
        <v>989</v>
      </c>
      <c r="O1192">
        <v>21</v>
      </c>
      <c r="P1192">
        <v>303042.11000000016</v>
      </c>
      <c r="Q1192">
        <v>294329.67000000033</v>
      </c>
    </row>
    <row r="1193" spans="7:17" x14ac:dyDescent="0.25">
      <c r="G1193" t="str">
        <f t="shared" si="18"/>
        <v/>
      </c>
      <c r="H1193" t="s">
        <v>46</v>
      </c>
      <c r="I1193" t="s">
        <v>11</v>
      </c>
      <c r="J1193" t="s">
        <v>5</v>
      </c>
      <c r="K1193" t="s">
        <v>23</v>
      </c>
      <c r="L1193" t="s">
        <v>42</v>
      </c>
      <c r="M1193" t="s">
        <v>20</v>
      </c>
      <c r="N1193">
        <v>117</v>
      </c>
      <c r="O1193">
        <v>9</v>
      </c>
      <c r="P1193">
        <v>41486.759999999995</v>
      </c>
      <c r="Q1193">
        <v>0</v>
      </c>
    </row>
    <row r="1194" spans="7:17" x14ac:dyDescent="0.25">
      <c r="G1194" t="str">
        <f t="shared" si="18"/>
        <v/>
      </c>
      <c r="H1194" t="s">
        <v>46</v>
      </c>
      <c r="I1194" t="s">
        <v>11</v>
      </c>
      <c r="J1194" t="s">
        <v>5</v>
      </c>
      <c r="K1194" t="s">
        <v>23</v>
      </c>
      <c r="L1194" t="s">
        <v>43</v>
      </c>
      <c r="M1194" t="s">
        <v>19</v>
      </c>
      <c r="N1194">
        <v>252</v>
      </c>
      <c r="O1194">
        <v>10</v>
      </c>
      <c r="P1194">
        <v>295778.31000000029</v>
      </c>
      <c r="Q1194">
        <v>177621.74999999997</v>
      </c>
    </row>
    <row r="1195" spans="7:17" x14ac:dyDescent="0.25">
      <c r="G1195" t="str">
        <f t="shared" si="18"/>
        <v/>
      </c>
      <c r="H1195" t="s">
        <v>46</v>
      </c>
      <c r="I1195" t="s">
        <v>11</v>
      </c>
      <c r="J1195" t="s">
        <v>5</v>
      </c>
      <c r="K1195" t="s">
        <v>23</v>
      </c>
      <c r="L1195" t="s">
        <v>43</v>
      </c>
      <c r="M1195" t="s">
        <v>20</v>
      </c>
      <c r="N1195">
        <v>80</v>
      </c>
      <c r="O1195">
        <v>10</v>
      </c>
      <c r="P1195">
        <v>72565.119999999995</v>
      </c>
      <c r="Q1195">
        <v>0</v>
      </c>
    </row>
    <row r="1196" spans="7:17" x14ac:dyDescent="0.25">
      <c r="G1196" t="str">
        <f t="shared" si="18"/>
        <v/>
      </c>
      <c r="H1196" t="s">
        <v>46</v>
      </c>
      <c r="I1196" t="s">
        <v>11</v>
      </c>
      <c r="J1196" t="s">
        <v>5</v>
      </c>
      <c r="K1196" t="s">
        <v>23</v>
      </c>
      <c r="L1196" t="s">
        <v>44</v>
      </c>
      <c r="M1196" t="s">
        <v>19</v>
      </c>
      <c r="N1196">
        <v>103</v>
      </c>
      <c r="O1196">
        <v>13</v>
      </c>
      <c r="P1196">
        <v>158076.09999999995</v>
      </c>
      <c r="Q1196">
        <v>95502.310000000085</v>
      </c>
    </row>
    <row r="1197" spans="7:17" x14ac:dyDescent="0.25">
      <c r="G1197" t="str">
        <f t="shared" si="18"/>
        <v/>
      </c>
      <c r="H1197" t="s">
        <v>46</v>
      </c>
      <c r="I1197" t="s">
        <v>11</v>
      </c>
      <c r="J1197" t="s">
        <v>5</v>
      </c>
      <c r="K1197" t="s">
        <v>23</v>
      </c>
      <c r="L1197" t="s">
        <v>44</v>
      </c>
      <c r="M1197" t="s">
        <v>20</v>
      </c>
      <c r="N1197">
        <v>42</v>
      </c>
      <c r="O1197">
        <v>10</v>
      </c>
      <c r="P1197">
        <v>31204.179999999997</v>
      </c>
      <c r="Q1197">
        <v>0</v>
      </c>
    </row>
    <row r="1198" spans="7:17" x14ac:dyDescent="0.25">
      <c r="G1198" t="str">
        <f t="shared" si="18"/>
        <v/>
      </c>
      <c r="H1198" t="s">
        <v>46</v>
      </c>
      <c r="I1198" t="s">
        <v>11</v>
      </c>
      <c r="J1198" t="s">
        <v>5</v>
      </c>
      <c r="K1198" t="s">
        <v>23</v>
      </c>
      <c r="L1198" t="s">
        <v>39</v>
      </c>
      <c r="M1198" t="s">
        <v>19</v>
      </c>
      <c r="N1198">
        <v>54</v>
      </c>
      <c r="O1198">
        <v>12</v>
      </c>
      <c r="P1198">
        <v>88117.680000000008</v>
      </c>
      <c r="Q1198">
        <v>44003.76</v>
      </c>
    </row>
    <row r="1199" spans="7:17" x14ac:dyDescent="0.25">
      <c r="G1199" t="str">
        <f t="shared" si="18"/>
        <v/>
      </c>
      <c r="H1199" t="s">
        <v>46</v>
      </c>
      <c r="I1199" t="s">
        <v>11</v>
      </c>
      <c r="J1199" t="s">
        <v>5</v>
      </c>
      <c r="K1199" t="s">
        <v>23</v>
      </c>
      <c r="L1199" t="s">
        <v>39</v>
      </c>
      <c r="M1199" t="s">
        <v>20</v>
      </c>
      <c r="N1199">
        <v>10</v>
      </c>
      <c r="O1199">
        <v>7</v>
      </c>
      <c r="P1199">
        <v>4933.0599999999995</v>
      </c>
      <c r="Q1199">
        <v>0</v>
      </c>
    </row>
    <row r="1200" spans="7:17" x14ac:dyDescent="0.25">
      <c r="G1200" t="str">
        <f t="shared" si="18"/>
        <v/>
      </c>
      <c r="H1200" t="s">
        <v>46</v>
      </c>
      <c r="I1200" t="s">
        <v>11</v>
      </c>
      <c r="J1200" t="s">
        <v>5</v>
      </c>
      <c r="K1200" t="s">
        <v>23</v>
      </c>
      <c r="L1200" t="s">
        <v>40</v>
      </c>
      <c r="M1200" t="s">
        <v>19</v>
      </c>
      <c r="N1200">
        <v>4</v>
      </c>
      <c r="O1200">
        <v>0</v>
      </c>
      <c r="P1200">
        <v>4055.73</v>
      </c>
      <c r="Q1200">
        <v>3879.3</v>
      </c>
    </row>
    <row r="1201" spans="7:17" x14ac:dyDescent="0.25">
      <c r="G1201" t="str">
        <f t="shared" si="18"/>
        <v/>
      </c>
      <c r="H1201" t="s">
        <v>46</v>
      </c>
      <c r="I1201" t="s">
        <v>11</v>
      </c>
      <c r="J1201" t="s">
        <v>5</v>
      </c>
      <c r="K1201" t="s">
        <v>23</v>
      </c>
      <c r="L1201" t="s">
        <v>40</v>
      </c>
      <c r="M1201" t="s">
        <v>20</v>
      </c>
      <c r="N1201">
        <v>22</v>
      </c>
      <c r="O1201">
        <v>2</v>
      </c>
      <c r="P1201">
        <v>9692.9500000000007</v>
      </c>
      <c r="Q1201">
        <v>0</v>
      </c>
    </row>
    <row r="1202" spans="7:17" x14ac:dyDescent="0.25">
      <c r="G1202" t="str">
        <f t="shared" si="18"/>
        <v/>
      </c>
      <c r="H1202" t="s">
        <v>46</v>
      </c>
      <c r="I1202" t="s">
        <v>11</v>
      </c>
      <c r="J1202" t="s">
        <v>5</v>
      </c>
      <c r="K1202" t="s">
        <v>23</v>
      </c>
      <c r="L1202" t="s">
        <v>41</v>
      </c>
      <c r="M1202" t="s">
        <v>19</v>
      </c>
      <c r="N1202">
        <v>2</v>
      </c>
      <c r="O1202">
        <v>0</v>
      </c>
      <c r="P1202">
        <v>606.33999999999992</v>
      </c>
      <c r="Q1202">
        <v>606.33999999999992</v>
      </c>
    </row>
    <row r="1203" spans="7:17" x14ac:dyDescent="0.25">
      <c r="G1203" t="str">
        <f t="shared" si="18"/>
        <v/>
      </c>
      <c r="H1203" t="s">
        <v>46</v>
      </c>
      <c r="I1203" t="s">
        <v>11</v>
      </c>
      <c r="J1203" t="s">
        <v>5</v>
      </c>
      <c r="K1203" t="s">
        <v>23</v>
      </c>
      <c r="L1203" t="s">
        <v>41</v>
      </c>
      <c r="M1203" t="s">
        <v>20</v>
      </c>
      <c r="N1203">
        <v>35</v>
      </c>
      <c r="O1203">
        <v>4</v>
      </c>
      <c r="P1203">
        <v>18611.939999999999</v>
      </c>
      <c r="Q1203">
        <v>0</v>
      </c>
    </row>
    <row r="1204" spans="7:17" x14ac:dyDescent="0.25">
      <c r="G1204" t="str">
        <f t="shared" si="18"/>
        <v/>
      </c>
      <c r="H1204" t="s">
        <v>46</v>
      </c>
      <c r="I1204" t="s">
        <v>11</v>
      </c>
      <c r="J1204" t="s">
        <v>5</v>
      </c>
      <c r="K1204" t="s">
        <v>23</v>
      </c>
      <c r="L1204" t="s">
        <v>45</v>
      </c>
      <c r="M1204" t="s">
        <v>19</v>
      </c>
      <c r="N1204">
        <v>1</v>
      </c>
      <c r="O1204">
        <v>0</v>
      </c>
      <c r="P1204">
        <v>1975.03</v>
      </c>
      <c r="Q1204">
        <v>125.19</v>
      </c>
    </row>
    <row r="1205" spans="7:17" x14ac:dyDescent="0.25">
      <c r="G1205" t="str">
        <f t="shared" si="18"/>
        <v/>
      </c>
      <c r="H1205" t="s">
        <v>46</v>
      </c>
      <c r="I1205" t="s">
        <v>11</v>
      </c>
      <c r="J1205" t="s">
        <v>5</v>
      </c>
      <c r="K1205" t="s">
        <v>23</v>
      </c>
      <c r="L1205" t="s">
        <v>45</v>
      </c>
      <c r="M1205" t="s">
        <v>20</v>
      </c>
      <c r="N1205">
        <v>200</v>
      </c>
      <c r="O1205">
        <v>36</v>
      </c>
      <c r="P1205">
        <v>165017.56000000003</v>
      </c>
      <c r="Q1205">
        <v>0</v>
      </c>
    </row>
    <row r="1206" spans="7:17" x14ac:dyDescent="0.25">
      <c r="G1206" t="str">
        <f t="shared" si="18"/>
        <v/>
      </c>
      <c r="H1206" t="s">
        <v>46</v>
      </c>
      <c r="I1206" t="s">
        <v>11</v>
      </c>
      <c r="J1206" t="s">
        <v>5</v>
      </c>
      <c r="K1206" t="s">
        <v>24</v>
      </c>
      <c r="L1206" t="s">
        <v>42</v>
      </c>
      <c r="M1206" t="s">
        <v>19</v>
      </c>
      <c r="N1206">
        <v>339</v>
      </c>
      <c r="O1206">
        <v>13</v>
      </c>
      <c r="P1206">
        <v>104967.16000000027</v>
      </c>
      <c r="Q1206">
        <v>102939.10000000025</v>
      </c>
    </row>
    <row r="1207" spans="7:17" x14ac:dyDescent="0.25">
      <c r="G1207" t="str">
        <f t="shared" si="18"/>
        <v/>
      </c>
      <c r="H1207" t="s">
        <v>46</v>
      </c>
      <c r="I1207" t="s">
        <v>11</v>
      </c>
      <c r="J1207" t="s">
        <v>5</v>
      </c>
      <c r="K1207" t="s">
        <v>24</v>
      </c>
      <c r="L1207" t="s">
        <v>42</v>
      </c>
      <c r="M1207" t="s">
        <v>20</v>
      </c>
      <c r="N1207">
        <v>199</v>
      </c>
      <c r="O1207">
        <v>6</v>
      </c>
      <c r="P1207">
        <v>92147.830000000104</v>
      </c>
      <c r="Q1207">
        <v>0</v>
      </c>
    </row>
    <row r="1208" spans="7:17" x14ac:dyDescent="0.25">
      <c r="G1208" t="str">
        <f t="shared" si="18"/>
        <v/>
      </c>
      <c r="H1208" t="s">
        <v>46</v>
      </c>
      <c r="I1208" t="s">
        <v>11</v>
      </c>
      <c r="J1208" t="s">
        <v>5</v>
      </c>
      <c r="K1208" t="s">
        <v>24</v>
      </c>
      <c r="L1208" t="s">
        <v>43</v>
      </c>
      <c r="M1208" t="s">
        <v>19</v>
      </c>
      <c r="N1208">
        <v>234</v>
      </c>
      <c r="O1208">
        <v>5</v>
      </c>
      <c r="P1208">
        <v>157216.32000000027</v>
      </c>
      <c r="Q1208">
        <v>136087.80000000028</v>
      </c>
    </row>
    <row r="1209" spans="7:17" x14ac:dyDescent="0.25">
      <c r="G1209" t="str">
        <f t="shared" si="18"/>
        <v/>
      </c>
      <c r="H1209" t="s">
        <v>46</v>
      </c>
      <c r="I1209" t="s">
        <v>11</v>
      </c>
      <c r="J1209" t="s">
        <v>5</v>
      </c>
      <c r="K1209" t="s">
        <v>24</v>
      </c>
      <c r="L1209" t="s">
        <v>43</v>
      </c>
      <c r="M1209" t="s">
        <v>20</v>
      </c>
      <c r="N1209">
        <v>56</v>
      </c>
      <c r="O1209">
        <v>8</v>
      </c>
      <c r="P1209">
        <v>43598.890000000007</v>
      </c>
      <c r="Q1209">
        <v>0</v>
      </c>
    </row>
    <row r="1210" spans="7:17" x14ac:dyDescent="0.25">
      <c r="G1210" t="str">
        <f t="shared" si="18"/>
        <v/>
      </c>
      <c r="H1210" t="s">
        <v>46</v>
      </c>
      <c r="I1210" t="s">
        <v>11</v>
      </c>
      <c r="J1210" t="s">
        <v>5</v>
      </c>
      <c r="K1210" t="s">
        <v>24</v>
      </c>
      <c r="L1210" t="s">
        <v>44</v>
      </c>
      <c r="M1210" t="s">
        <v>19</v>
      </c>
      <c r="N1210">
        <v>55</v>
      </c>
      <c r="O1210">
        <v>6</v>
      </c>
      <c r="P1210">
        <v>57874.259999999995</v>
      </c>
      <c r="Q1210">
        <v>37777.169999999991</v>
      </c>
    </row>
    <row r="1211" spans="7:17" x14ac:dyDescent="0.25">
      <c r="G1211" t="str">
        <f t="shared" si="18"/>
        <v/>
      </c>
      <c r="H1211" t="s">
        <v>46</v>
      </c>
      <c r="I1211" t="s">
        <v>11</v>
      </c>
      <c r="J1211" t="s">
        <v>5</v>
      </c>
      <c r="K1211" t="s">
        <v>24</v>
      </c>
      <c r="L1211" t="s">
        <v>44</v>
      </c>
      <c r="M1211" t="s">
        <v>20</v>
      </c>
      <c r="N1211">
        <v>5</v>
      </c>
      <c r="O1211">
        <v>2</v>
      </c>
      <c r="P1211">
        <v>7523.9699999999993</v>
      </c>
      <c r="Q1211">
        <v>0</v>
      </c>
    </row>
    <row r="1212" spans="7:17" x14ac:dyDescent="0.25">
      <c r="G1212" t="str">
        <f t="shared" si="18"/>
        <v/>
      </c>
      <c r="H1212" t="s">
        <v>46</v>
      </c>
      <c r="I1212" t="s">
        <v>11</v>
      </c>
      <c r="J1212" t="s">
        <v>5</v>
      </c>
      <c r="K1212" t="s">
        <v>24</v>
      </c>
      <c r="L1212" t="s">
        <v>39</v>
      </c>
      <c r="M1212" t="s">
        <v>19</v>
      </c>
      <c r="N1212">
        <v>54</v>
      </c>
      <c r="O1212">
        <v>4</v>
      </c>
      <c r="P1212">
        <v>60499.49</v>
      </c>
      <c r="Q1212">
        <v>37036.840000000004</v>
      </c>
    </row>
    <row r="1213" spans="7:17" x14ac:dyDescent="0.25">
      <c r="G1213" t="str">
        <f t="shared" si="18"/>
        <v/>
      </c>
      <c r="H1213" t="s">
        <v>46</v>
      </c>
      <c r="I1213" t="s">
        <v>11</v>
      </c>
      <c r="J1213" t="s">
        <v>5</v>
      </c>
      <c r="K1213" t="s">
        <v>24</v>
      </c>
      <c r="L1213" t="s">
        <v>39</v>
      </c>
      <c r="M1213" t="s">
        <v>20</v>
      </c>
      <c r="N1213">
        <v>20</v>
      </c>
      <c r="O1213">
        <v>4</v>
      </c>
      <c r="P1213">
        <v>24972.969999999998</v>
      </c>
      <c r="Q1213">
        <v>0</v>
      </c>
    </row>
    <row r="1214" spans="7:17" x14ac:dyDescent="0.25">
      <c r="G1214" t="str">
        <f t="shared" si="18"/>
        <v/>
      </c>
      <c r="H1214" t="s">
        <v>46</v>
      </c>
      <c r="I1214" t="s">
        <v>11</v>
      </c>
      <c r="J1214" t="s">
        <v>5</v>
      </c>
      <c r="K1214" t="s">
        <v>24</v>
      </c>
      <c r="L1214" t="s">
        <v>40</v>
      </c>
      <c r="M1214" t="s">
        <v>19</v>
      </c>
      <c r="N1214">
        <v>89</v>
      </c>
      <c r="O1214">
        <v>0</v>
      </c>
      <c r="P1214">
        <v>33740.490000000005</v>
      </c>
      <c r="Q1214">
        <v>21974.399999999998</v>
      </c>
    </row>
    <row r="1215" spans="7:17" x14ac:dyDescent="0.25">
      <c r="G1215" t="str">
        <f t="shared" si="18"/>
        <v/>
      </c>
      <c r="H1215" t="s">
        <v>46</v>
      </c>
      <c r="I1215" t="s">
        <v>11</v>
      </c>
      <c r="J1215" t="s">
        <v>5</v>
      </c>
      <c r="K1215" t="s">
        <v>24</v>
      </c>
      <c r="L1215" t="s">
        <v>40</v>
      </c>
      <c r="M1215" t="s">
        <v>20</v>
      </c>
      <c r="N1215">
        <v>11</v>
      </c>
      <c r="O1215">
        <v>0</v>
      </c>
      <c r="P1215">
        <v>11959.63</v>
      </c>
      <c r="Q1215">
        <v>0</v>
      </c>
    </row>
    <row r="1216" spans="7:17" x14ac:dyDescent="0.25">
      <c r="G1216" t="str">
        <f t="shared" si="18"/>
        <v/>
      </c>
      <c r="H1216" t="s">
        <v>46</v>
      </c>
      <c r="I1216" t="s">
        <v>11</v>
      </c>
      <c r="J1216" t="s">
        <v>5</v>
      </c>
      <c r="K1216" t="s">
        <v>24</v>
      </c>
      <c r="L1216" t="s">
        <v>41</v>
      </c>
      <c r="M1216" t="s">
        <v>19</v>
      </c>
      <c r="N1216">
        <v>1</v>
      </c>
      <c r="O1216">
        <v>0</v>
      </c>
      <c r="P1216">
        <v>1376.15</v>
      </c>
      <c r="Q1216">
        <v>1376</v>
      </c>
    </row>
    <row r="1217" spans="7:17" x14ac:dyDescent="0.25">
      <c r="G1217" t="str">
        <f t="shared" si="18"/>
        <v/>
      </c>
      <c r="H1217" t="s">
        <v>46</v>
      </c>
      <c r="I1217" t="s">
        <v>11</v>
      </c>
      <c r="J1217" t="s">
        <v>5</v>
      </c>
      <c r="K1217" t="s">
        <v>24</v>
      </c>
      <c r="L1217" t="s">
        <v>41</v>
      </c>
      <c r="M1217" t="s">
        <v>20</v>
      </c>
      <c r="N1217">
        <v>4</v>
      </c>
      <c r="O1217">
        <v>0</v>
      </c>
      <c r="P1217">
        <v>9311.0300000000007</v>
      </c>
      <c r="Q1217">
        <v>0</v>
      </c>
    </row>
    <row r="1218" spans="7:17" x14ac:dyDescent="0.25">
      <c r="G1218" t="str">
        <f t="shared" ref="G1218:G1281" si="19">IF(G$1="Overall","Overall",IF(G$1=L1218,L1218,""))</f>
        <v/>
      </c>
      <c r="H1218" t="s">
        <v>46</v>
      </c>
      <c r="I1218" t="s">
        <v>11</v>
      </c>
      <c r="J1218" t="s">
        <v>5</v>
      </c>
      <c r="K1218" t="s">
        <v>24</v>
      </c>
      <c r="L1218" t="s">
        <v>45</v>
      </c>
      <c r="M1218" t="s">
        <v>19</v>
      </c>
      <c r="N1218">
        <v>2</v>
      </c>
      <c r="O1218">
        <v>0</v>
      </c>
      <c r="P1218">
        <v>2679.87</v>
      </c>
      <c r="Q1218">
        <v>2679.87</v>
      </c>
    </row>
    <row r="1219" spans="7:17" x14ac:dyDescent="0.25">
      <c r="G1219" t="str">
        <f t="shared" si="19"/>
        <v/>
      </c>
      <c r="H1219" t="s">
        <v>46</v>
      </c>
      <c r="I1219" t="s">
        <v>11</v>
      </c>
      <c r="J1219" t="s">
        <v>5</v>
      </c>
      <c r="K1219" t="s">
        <v>24</v>
      </c>
      <c r="L1219" t="s">
        <v>45</v>
      </c>
      <c r="M1219" t="s">
        <v>20</v>
      </c>
      <c r="N1219">
        <v>40</v>
      </c>
      <c r="O1219">
        <v>11</v>
      </c>
      <c r="P1219">
        <v>49412.779999999984</v>
      </c>
      <c r="Q1219">
        <v>0</v>
      </c>
    </row>
    <row r="1220" spans="7:17" x14ac:dyDescent="0.25">
      <c r="G1220" t="str">
        <f t="shared" si="19"/>
        <v/>
      </c>
      <c r="H1220" t="s">
        <v>46</v>
      </c>
      <c r="I1220" t="s">
        <v>11</v>
      </c>
      <c r="J1220" t="s">
        <v>5</v>
      </c>
      <c r="K1220" t="s">
        <v>25</v>
      </c>
      <c r="L1220" t="s">
        <v>42</v>
      </c>
      <c r="M1220" t="s">
        <v>19</v>
      </c>
      <c r="N1220">
        <v>1045</v>
      </c>
      <c r="O1220">
        <v>43</v>
      </c>
      <c r="P1220">
        <v>314449.78000000148</v>
      </c>
      <c r="Q1220">
        <v>299621.73000000138</v>
      </c>
    </row>
    <row r="1221" spans="7:17" x14ac:dyDescent="0.25">
      <c r="G1221" t="str">
        <f t="shared" si="19"/>
        <v/>
      </c>
      <c r="H1221" t="s">
        <v>46</v>
      </c>
      <c r="I1221" t="s">
        <v>11</v>
      </c>
      <c r="J1221" t="s">
        <v>5</v>
      </c>
      <c r="K1221" t="s">
        <v>25</v>
      </c>
      <c r="L1221" t="s">
        <v>42</v>
      </c>
      <c r="M1221" t="s">
        <v>20</v>
      </c>
      <c r="N1221">
        <v>241</v>
      </c>
      <c r="O1221">
        <v>19</v>
      </c>
      <c r="P1221">
        <v>50255.05000000001</v>
      </c>
      <c r="Q1221">
        <v>0</v>
      </c>
    </row>
    <row r="1222" spans="7:17" x14ac:dyDescent="0.25">
      <c r="G1222" t="str">
        <f t="shared" si="19"/>
        <v/>
      </c>
      <c r="H1222" t="s">
        <v>46</v>
      </c>
      <c r="I1222" t="s">
        <v>11</v>
      </c>
      <c r="J1222" t="s">
        <v>5</v>
      </c>
      <c r="K1222" t="s">
        <v>25</v>
      </c>
      <c r="L1222" t="s">
        <v>43</v>
      </c>
      <c r="M1222" t="s">
        <v>19</v>
      </c>
      <c r="N1222">
        <v>487</v>
      </c>
      <c r="O1222">
        <v>16</v>
      </c>
      <c r="P1222">
        <v>360999.08999999985</v>
      </c>
      <c r="Q1222">
        <v>340768.40000000043</v>
      </c>
    </row>
    <row r="1223" spans="7:17" x14ac:dyDescent="0.25">
      <c r="G1223" t="str">
        <f t="shared" si="19"/>
        <v/>
      </c>
      <c r="H1223" t="s">
        <v>46</v>
      </c>
      <c r="I1223" t="s">
        <v>11</v>
      </c>
      <c r="J1223" t="s">
        <v>5</v>
      </c>
      <c r="K1223" t="s">
        <v>25</v>
      </c>
      <c r="L1223" t="s">
        <v>43</v>
      </c>
      <c r="M1223" t="s">
        <v>20</v>
      </c>
      <c r="N1223">
        <v>263</v>
      </c>
      <c r="O1223">
        <v>18</v>
      </c>
      <c r="P1223">
        <v>157715.30000000008</v>
      </c>
      <c r="Q1223">
        <v>0</v>
      </c>
    </row>
    <row r="1224" spans="7:17" x14ac:dyDescent="0.25">
      <c r="G1224" t="str">
        <f t="shared" si="19"/>
        <v/>
      </c>
      <c r="H1224" t="s">
        <v>46</v>
      </c>
      <c r="I1224" t="s">
        <v>11</v>
      </c>
      <c r="J1224" t="s">
        <v>5</v>
      </c>
      <c r="K1224" t="s">
        <v>25</v>
      </c>
      <c r="L1224" t="s">
        <v>44</v>
      </c>
      <c r="M1224" t="s">
        <v>19</v>
      </c>
      <c r="N1224">
        <v>307</v>
      </c>
      <c r="O1224">
        <v>21</v>
      </c>
      <c r="P1224">
        <v>204315.54999999984</v>
      </c>
      <c r="Q1224">
        <v>141941.53999999998</v>
      </c>
    </row>
    <row r="1225" spans="7:17" x14ac:dyDescent="0.25">
      <c r="G1225" t="str">
        <f t="shared" si="19"/>
        <v/>
      </c>
      <c r="H1225" t="s">
        <v>46</v>
      </c>
      <c r="I1225" t="s">
        <v>11</v>
      </c>
      <c r="J1225" t="s">
        <v>5</v>
      </c>
      <c r="K1225" t="s">
        <v>25</v>
      </c>
      <c r="L1225" t="s">
        <v>44</v>
      </c>
      <c r="M1225" t="s">
        <v>20</v>
      </c>
      <c r="N1225">
        <v>89</v>
      </c>
      <c r="O1225">
        <v>17</v>
      </c>
      <c r="P1225">
        <v>74955.909999999989</v>
      </c>
      <c r="Q1225">
        <v>0</v>
      </c>
    </row>
    <row r="1226" spans="7:17" x14ac:dyDescent="0.25">
      <c r="G1226" t="str">
        <f t="shared" si="19"/>
        <v/>
      </c>
      <c r="H1226" t="s">
        <v>46</v>
      </c>
      <c r="I1226" t="s">
        <v>11</v>
      </c>
      <c r="J1226" t="s">
        <v>5</v>
      </c>
      <c r="K1226" t="s">
        <v>25</v>
      </c>
      <c r="L1226" t="s">
        <v>39</v>
      </c>
      <c r="M1226" t="s">
        <v>19</v>
      </c>
      <c r="N1226">
        <v>35</v>
      </c>
      <c r="O1226">
        <v>17</v>
      </c>
      <c r="P1226">
        <v>35115.320000000007</v>
      </c>
      <c r="Q1226">
        <v>28078.110000000011</v>
      </c>
    </row>
    <row r="1227" spans="7:17" x14ac:dyDescent="0.25">
      <c r="G1227" t="str">
        <f t="shared" si="19"/>
        <v/>
      </c>
      <c r="H1227" t="s">
        <v>46</v>
      </c>
      <c r="I1227" t="s">
        <v>11</v>
      </c>
      <c r="J1227" t="s">
        <v>5</v>
      </c>
      <c r="K1227" t="s">
        <v>25</v>
      </c>
      <c r="L1227" t="s">
        <v>39</v>
      </c>
      <c r="M1227" t="s">
        <v>20</v>
      </c>
      <c r="N1227">
        <v>25</v>
      </c>
      <c r="O1227">
        <v>14</v>
      </c>
      <c r="P1227">
        <v>10288.270000000002</v>
      </c>
      <c r="Q1227">
        <v>0</v>
      </c>
    </row>
    <row r="1228" spans="7:17" x14ac:dyDescent="0.25">
      <c r="G1228" t="str">
        <f t="shared" si="19"/>
        <v/>
      </c>
      <c r="H1228" t="s">
        <v>46</v>
      </c>
      <c r="I1228" t="s">
        <v>11</v>
      </c>
      <c r="J1228" t="s">
        <v>5</v>
      </c>
      <c r="K1228" t="s">
        <v>25</v>
      </c>
      <c r="L1228" t="s">
        <v>40</v>
      </c>
      <c r="M1228" t="s">
        <v>19</v>
      </c>
      <c r="N1228">
        <v>20</v>
      </c>
      <c r="O1228">
        <v>0</v>
      </c>
      <c r="P1228">
        <v>16136.560000000005</v>
      </c>
      <c r="Q1228">
        <v>14353.249999999998</v>
      </c>
    </row>
    <row r="1229" spans="7:17" x14ac:dyDescent="0.25">
      <c r="G1229" t="str">
        <f t="shared" si="19"/>
        <v/>
      </c>
      <c r="H1229" t="s">
        <v>46</v>
      </c>
      <c r="I1229" t="s">
        <v>11</v>
      </c>
      <c r="J1229" t="s">
        <v>5</v>
      </c>
      <c r="K1229" t="s">
        <v>25</v>
      </c>
      <c r="L1229" t="s">
        <v>40</v>
      </c>
      <c r="M1229" t="s">
        <v>20</v>
      </c>
      <c r="N1229">
        <v>29</v>
      </c>
      <c r="O1229">
        <v>3</v>
      </c>
      <c r="P1229">
        <v>16070.030000000006</v>
      </c>
      <c r="Q1229">
        <v>0</v>
      </c>
    </row>
    <row r="1230" spans="7:17" x14ac:dyDescent="0.25">
      <c r="G1230" t="str">
        <f t="shared" si="19"/>
        <v/>
      </c>
      <c r="H1230" t="s">
        <v>46</v>
      </c>
      <c r="I1230" t="s">
        <v>11</v>
      </c>
      <c r="J1230" t="s">
        <v>5</v>
      </c>
      <c r="K1230" t="s">
        <v>25</v>
      </c>
      <c r="L1230" t="s">
        <v>41</v>
      </c>
      <c r="M1230" t="s">
        <v>19</v>
      </c>
      <c r="N1230">
        <v>4</v>
      </c>
      <c r="O1230">
        <v>0</v>
      </c>
      <c r="P1230">
        <v>4422.53</v>
      </c>
      <c r="Q1230">
        <v>2590.8500000000004</v>
      </c>
    </row>
    <row r="1231" spans="7:17" x14ac:dyDescent="0.25">
      <c r="G1231" t="str">
        <f t="shared" si="19"/>
        <v/>
      </c>
      <c r="H1231" t="s">
        <v>46</v>
      </c>
      <c r="I1231" t="s">
        <v>11</v>
      </c>
      <c r="J1231" t="s">
        <v>5</v>
      </c>
      <c r="K1231" t="s">
        <v>25</v>
      </c>
      <c r="L1231" t="s">
        <v>41</v>
      </c>
      <c r="M1231" t="s">
        <v>20</v>
      </c>
      <c r="N1231">
        <v>24</v>
      </c>
      <c r="O1231">
        <v>3</v>
      </c>
      <c r="P1231">
        <v>9466.9599999999991</v>
      </c>
      <c r="Q1231">
        <v>0</v>
      </c>
    </row>
    <row r="1232" spans="7:17" x14ac:dyDescent="0.25">
      <c r="G1232" t="str">
        <f t="shared" si="19"/>
        <v/>
      </c>
      <c r="H1232" t="s">
        <v>46</v>
      </c>
      <c r="I1232" t="s">
        <v>11</v>
      </c>
      <c r="J1232" t="s">
        <v>5</v>
      </c>
      <c r="K1232" t="s">
        <v>25</v>
      </c>
      <c r="L1232" t="s">
        <v>45</v>
      </c>
      <c r="M1232" t="s">
        <v>20</v>
      </c>
      <c r="N1232">
        <v>295</v>
      </c>
      <c r="O1232">
        <v>49</v>
      </c>
      <c r="P1232">
        <v>132883.38999999987</v>
      </c>
      <c r="Q1232">
        <v>0</v>
      </c>
    </row>
    <row r="1233" spans="7:17" x14ac:dyDescent="0.25">
      <c r="G1233" t="str">
        <f t="shared" si="19"/>
        <v/>
      </c>
      <c r="H1233" t="s">
        <v>46</v>
      </c>
      <c r="I1233" t="s">
        <v>11</v>
      </c>
      <c r="J1233" t="s">
        <v>5</v>
      </c>
      <c r="K1233" t="s">
        <v>26</v>
      </c>
      <c r="L1233" t="s">
        <v>42</v>
      </c>
      <c r="M1233" t="s">
        <v>19</v>
      </c>
      <c r="N1233">
        <v>959</v>
      </c>
      <c r="O1233">
        <v>38</v>
      </c>
      <c r="P1233">
        <v>198681.49000000226</v>
      </c>
      <c r="Q1233">
        <v>193915.55000000237</v>
      </c>
    </row>
    <row r="1234" spans="7:17" x14ac:dyDescent="0.25">
      <c r="G1234" t="str">
        <f t="shared" si="19"/>
        <v/>
      </c>
      <c r="H1234" t="s">
        <v>46</v>
      </c>
      <c r="I1234" t="s">
        <v>11</v>
      </c>
      <c r="J1234" t="s">
        <v>5</v>
      </c>
      <c r="K1234" t="s">
        <v>26</v>
      </c>
      <c r="L1234" t="s">
        <v>42</v>
      </c>
      <c r="M1234" t="s">
        <v>20</v>
      </c>
      <c r="N1234">
        <v>428</v>
      </c>
      <c r="O1234">
        <v>28</v>
      </c>
      <c r="P1234">
        <v>106861.5200000004</v>
      </c>
      <c r="Q1234">
        <v>0</v>
      </c>
    </row>
    <row r="1235" spans="7:17" x14ac:dyDescent="0.25">
      <c r="G1235" t="str">
        <f t="shared" si="19"/>
        <v/>
      </c>
      <c r="H1235" t="s">
        <v>46</v>
      </c>
      <c r="I1235" t="s">
        <v>11</v>
      </c>
      <c r="J1235" t="s">
        <v>5</v>
      </c>
      <c r="K1235" t="s">
        <v>26</v>
      </c>
      <c r="L1235" t="s">
        <v>43</v>
      </c>
      <c r="M1235" t="s">
        <v>19</v>
      </c>
      <c r="N1235">
        <v>414</v>
      </c>
      <c r="O1235">
        <v>18</v>
      </c>
      <c r="P1235">
        <v>171237.51999999949</v>
      </c>
      <c r="Q1235">
        <v>119235.80000000054</v>
      </c>
    </row>
    <row r="1236" spans="7:17" x14ac:dyDescent="0.25">
      <c r="G1236" t="str">
        <f t="shared" si="19"/>
        <v/>
      </c>
      <c r="H1236" t="s">
        <v>46</v>
      </c>
      <c r="I1236" t="s">
        <v>11</v>
      </c>
      <c r="J1236" t="s">
        <v>5</v>
      </c>
      <c r="K1236" t="s">
        <v>26</v>
      </c>
      <c r="L1236" t="s">
        <v>43</v>
      </c>
      <c r="M1236" t="s">
        <v>20</v>
      </c>
      <c r="N1236">
        <v>46</v>
      </c>
      <c r="O1236">
        <v>12</v>
      </c>
      <c r="P1236">
        <v>30662.919999999991</v>
      </c>
      <c r="Q1236">
        <v>0</v>
      </c>
    </row>
    <row r="1237" spans="7:17" x14ac:dyDescent="0.25">
      <c r="G1237" t="str">
        <f t="shared" si="19"/>
        <v/>
      </c>
      <c r="H1237" t="s">
        <v>46</v>
      </c>
      <c r="I1237" t="s">
        <v>11</v>
      </c>
      <c r="J1237" t="s">
        <v>5</v>
      </c>
      <c r="K1237" t="s">
        <v>26</v>
      </c>
      <c r="L1237" t="s">
        <v>44</v>
      </c>
      <c r="M1237" t="s">
        <v>19</v>
      </c>
      <c r="N1237">
        <v>56</v>
      </c>
      <c r="O1237">
        <v>16</v>
      </c>
      <c r="P1237">
        <v>51964.1</v>
      </c>
      <c r="Q1237">
        <v>38683.879999999997</v>
      </c>
    </row>
    <row r="1238" spans="7:17" x14ac:dyDescent="0.25">
      <c r="G1238" t="str">
        <f t="shared" si="19"/>
        <v/>
      </c>
      <c r="H1238" t="s">
        <v>46</v>
      </c>
      <c r="I1238" t="s">
        <v>11</v>
      </c>
      <c r="J1238" t="s">
        <v>5</v>
      </c>
      <c r="K1238" t="s">
        <v>26</v>
      </c>
      <c r="L1238" t="s">
        <v>44</v>
      </c>
      <c r="M1238" t="s">
        <v>20</v>
      </c>
      <c r="N1238">
        <v>38</v>
      </c>
      <c r="O1238">
        <v>10</v>
      </c>
      <c r="P1238">
        <v>28242.86</v>
      </c>
      <c r="Q1238">
        <v>0</v>
      </c>
    </row>
    <row r="1239" spans="7:17" x14ac:dyDescent="0.25">
      <c r="G1239" t="str">
        <f t="shared" si="19"/>
        <v/>
      </c>
      <c r="H1239" t="s">
        <v>46</v>
      </c>
      <c r="I1239" t="s">
        <v>11</v>
      </c>
      <c r="J1239" t="s">
        <v>5</v>
      </c>
      <c r="K1239" t="s">
        <v>26</v>
      </c>
      <c r="L1239" t="s">
        <v>39</v>
      </c>
      <c r="M1239" t="s">
        <v>19</v>
      </c>
      <c r="N1239">
        <v>29</v>
      </c>
      <c r="O1239">
        <v>12</v>
      </c>
      <c r="P1239">
        <v>41819.530000000006</v>
      </c>
      <c r="Q1239">
        <v>27162.519999999997</v>
      </c>
    </row>
    <row r="1240" spans="7:17" x14ac:dyDescent="0.25">
      <c r="G1240" t="str">
        <f t="shared" si="19"/>
        <v/>
      </c>
      <c r="H1240" t="s">
        <v>46</v>
      </c>
      <c r="I1240" t="s">
        <v>11</v>
      </c>
      <c r="J1240" t="s">
        <v>5</v>
      </c>
      <c r="K1240" t="s">
        <v>26</v>
      </c>
      <c r="L1240" t="s">
        <v>39</v>
      </c>
      <c r="M1240" t="s">
        <v>20</v>
      </c>
      <c r="N1240">
        <v>20</v>
      </c>
      <c r="O1240">
        <v>9</v>
      </c>
      <c r="P1240">
        <v>12124.169999999996</v>
      </c>
      <c r="Q1240">
        <v>0</v>
      </c>
    </row>
    <row r="1241" spans="7:17" x14ac:dyDescent="0.25">
      <c r="G1241" t="str">
        <f t="shared" si="19"/>
        <v/>
      </c>
      <c r="H1241" t="s">
        <v>46</v>
      </c>
      <c r="I1241" t="s">
        <v>11</v>
      </c>
      <c r="J1241" t="s">
        <v>5</v>
      </c>
      <c r="K1241" t="s">
        <v>26</v>
      </c>
      <c r="L1241" t="s">
        <v>40</v>
      </c>
      <c r="M1241" t="s">
        <v>19</v>
      </c>
      <c r="N1241">
        <v>1</v>
      </c>
      <c r="O1241">
        <v>0</v>
      </c>
      <c r="P1241">
        <v>1029.79</v>
      </c>
      <c r="Q1241">
        <v>149</v>
      </c>
    </row>
    <row r="1242" spans="7:17" x14ac:dyDescent="0.25">
      <c r="G1242" t="str">
        <f t="shared" si="19"/>
        <v/>
      </c>
      <c r="H1242" t="s">
        <v>46</v>
      </c>
      <c r="I1242" t="s">
        <v>11</v>
      </c>
      <c r="J1242" t="s">
        <v>5</v>
      </c>
      <c r="K1242" t="s">
        <v>26</v>
      </c>
      <c r="L1242" t="s">
        <v>40</v>
      </c>
      <c r="M1242" t="s">
        <v>20</v>
      </c>
      <c r="N1242">
        <v>15</v>
      </c>
      <c r="O1242">
        <v>2</v>
      </c>
      <c r="P1242">
        <v>5545.07</v>
      </c>
      <c r="Q1242">
        <v>0</v>
      </c>
    </row>
    <row r="1243" spans="7:17" x14ac:dyDescent="0.25">
      <c r="G1243" t="str">
        <f t="shared" si="19"/>
        <v/>
      </c>
      <c r="H1243" t="s">
        <v>46</v>
      </c>
      <c r="I1243" t="s">
        <v>11</v>
      </c>
      <c r="J1243" t="s">
        <v>5</v>
      </c>
      <c r="K1243" t="s">
        <v>26</v>
      </c>
      <c r="L1243" t="s">
        <v>41</v>
      </c>
      <c r="M1243" t="s">
        <v>20</v>
      </c>
      <c r="N1243">
        <v>2</v>
      </c>
      <c r="O1243">
        <v>1</v>
      </c>
      <c r="P1243">
        <v>5360.67</v>
      </c>
      <c r="Q1243">
        <v>0</v>
      </c>
    </row>
    <row r="1244" spans="7:17" x14ac:dyDescent="0.25">
      <c r="G1244" t="str">
        <f t="shared" si="19"/>
        <v/>
      </c>
      <c r="H1244" t="s">
        <v>46</v>
      </c>
      <c r="I1244" t="s">
        <v>11</v>
      </c>
      <c r="J1244" t="s">
        <v>5</v>
      </c>
      <c r="K1244" t="s">
        <v>26</v>
      </c>
      <c r="L1244" t="s">
        <v>45</v>
      </c>
      <c r="M1244" t="s">
        <v>19</v>
      </c>
      <c r="N1244">
        <v>3</v>
      </c>
      <c r="O1244">
        <v>1</v>
      </c>
      <c r="P1244">
        <v>1782.47</v>
      </c>
      <c r="Q1244">
        <v>467.84999999999997</v>
      </c>
    </row>
    <row r="1245" spans="7:17" x14ac:dyDescent="0.25">
      <c r="G1245" t="str">
        <f t="shared" si="19"/>
        <v/>
      </c>
      <c r="H1245" t="s">
        <v>46</v>
      </c>
      <c r="I1245" t="s">
        <v>11</v>
      </c>
      <c r="J1245" t="s">
        <v>5</v>
      </c>
      <c r="K1245" t="s">
        <v>26</v>
      </c>
      <c r="L1245" t="s">
        <v>45</v>
      </c>
      <c r="M1245" t="s">
        <v>20</v>
      </c>
      <c r="N1245">
        <v>172</v>
      </c>
      <c r="O1245">
        <v>34</v>
      </c>
      <c r="P1245">
        <v>129350.31000000006</v>
      </c>
      <c r="Q1245">
        <v>0</v>
      </c>
    </row>
    <row r="1246" spans="7:17" x14ac:dyDescent="0.25">
      <c r="G1246" t="str">
        <f t="shared" si="19"/>
        <v/>
      </c>
      <c r="H1246" t="s">
        <v>46</v>
      </c>
      <c r="I1246" t="s">
        <v>11</v>
      </c>
      <c r="J1246" t="s">
        <v>5</v>
      </c>
      <c r="K1246" t="s">
        <v>27</v>
      </c>
      <c r="L1246" t="s">
        <v>42</v>
      </c>
      <c r="M1246" t="s">
        <v>19</v>
      </c>
      <c r="N1246">
        <v>51</v>
      </c>
      <c r="O1246">
        <v>8</v>
      </c>
      <c r="P1246">
        <v>476.65000000000003</v>
      </c>
      <c r="Q1246">
        <v>476.65000000000003</v>
      </c>
    </row>
    <row r="1247" spans="7:17" x14ac:dyDescent="0.25">
      <c r="G1247" t="str">
        <f t="shared" si="19"/>
        <v/>
      </c>
      <c r="H1247" t="s">
        <v>46</v>
      </c>
      <c r="I1247" t="s">
        <v>11</v>
      </c>
      <c r="J1247" t="s">
        <v>5</v>
      </c>
      <c r="K1247" t="s">
        <v>27</v>
      </c>
      <c r="L1247" t="s">
        <v>42</v>
      </c>
      <c r="M1247" t="s">
        <v>20</v>
      </c>
      <c r="N1247">
        <v>2</v>
      </c>
      <c r="O1247">
        <v>0</v>
      </c>
      <c r="P1247">
        <v>588.84</v>
      </c>
      <c r="Q1247">
        <v>0</v>
      </c>
    </row>
    <row r="1248" spans="7:17" x14ac:dyDescent="0.25">
      <c r="G1248" t="str">
        <f t="shared" si="19"/>
        <v/>
      </c>
      <c r="H1248" t="s">
        <v>46</v>
      </c>
      <c r="I1248" t="s">
        <v>11</v>
      </c>
      <c r="J1248" t="s">
        <v>5</v>
      </c>
      <c r="K1248" t="s">
        <v>27</v>
      </c>
      <c r="L1248" t="s">
        <v>43</v>
      </c>
      <c r="M1248" t="s">
        <v>19</v>
      </c>
      <c r="N1248">
        <v>2</v>
      </c>
      <c r="O1248">
        <v>1</v>
      </c>
      <c r="P1248">
        <v>1000.1600000000001</v>
      </c>
      <c r="Q1248">
        <v>1000.1600000000001</v>
      </c>
    </row>
    <row r="1249" spans="7:17" x14ac:dyDescent="0.25">
      <c r="G1249" t="str">
        <f t="shared" si="19"/>
        <v/>
      </c>
      <c r="H1249" t="s">
        <v>46</v>
      </c>
      <c r="I1249" t="s">
        <v>11</v>
      </c>
      <c r="J1249" t="s">
        <v>5</v>
      </c>
      <c r="K1249" t="s">
        <v>27</v>
      </c>
      <c r="L1249" t="s">
        <v>44</v>
      </c>
      <c r="M1249" t="s">
        <v>20</v>
      </c>
      <c r="N1249">
        <v>1</v>
      </c>
      <c r="O1249">
        <v>0</v>
      </c>
      <c r="P1249">
        <v>944.58</v>
      </c>
      <c r="Q1249">
        <v>0</v>
      </c>
    </row>
    <row r="1250" spans="7:17" x14ac:dyDescent="0.25">
      <c r="G1250" t="str">
        <f t="shared" si="19"/>
        <v/>
      </c>
      <c r="H1250" t="s">
        <v>46</v>
      </c>
      <c r="I1250" t="s">
        <v>11</v>
      </c>
      <c r="J1250" t="s">
        <v>5</v>
      </c>
      <c r="K1250" t="s">
        <v>27</v>
      </c>
      <c r="L1250" t="s">
        <v>39</v>
      </c>
      <c r="M1250" t="s">
        <v>20</v>
      </c>
      <c r="N1250">
        <v>11</v>
      </c>
      <c r="O1250">
        <v>1</v>
      </c>
      <c r="P1250">
        <v>3267.8600000000006</v>
      </c>
      <c r="Q1250">
        <v>0</v>
      </c>
    </row>
    <row r="1251" spans="7:17" x14ac:dyDescent="0.25">
      <c r="G1251" t="str">
        <f t="shared" si="19"/>
        <v/>
      </c>
      <c r="H1251" t="s">
        <v>46</v>
      </c>
      <c r="I1251" t="s">
        <v>11</v>
      </c>
      <c r="J1251" t="s">
        <v>5</v>
      </c>
      <c r="K1251" t="s">
        <v>27</v>
      </c>
      <c r="L1251" t="s">
        <v>45</v>
      </c>
      <c r="M1251" t="s">
        <v>20</v>
      </c>
      <c r="N1251">
        <v>1</v>
      </c>
      <c r="O1251">
        <v>1</v>
      </c>
      <c r="P1251">
        <v>547.12</v>
      </c>
      <c r="Q1251">
        <v>0</v>
      </c>
    </row>
    <row r="1252" spans="7:17" x14ac:dyDescent="0.25">
      <c r="G1252" t="str">
        <f t="shared" si="19"/>
        <v/>
      </c>
      <c r="H1252" t="s">
        <v>46</v>
      </c>
      <c r="I1252" t="s">
        <v>11</v>
      </c>
      <c r="J1252" t="s">
        <v>5</v>
      </c>
      <c r="K1252" t="s">
        <v>28</v>
      </c>
      <c r="L1252" t="s">
        <v>42</v>
      </c>
      <c r="M1252" t="s">
        <v>19</v>
      </c>
      <c r="N1252">
        <v>147</v>
      </c>
      <c r="O1252">
        <v>12</v>
      </c>
      <c r="P1252">
        <v>28394.26</v>
      </c>
      <c r="Q1252">
        <v>25743.14</v>
      </c>
    </row>
    <row r="1253" spans="7:17" x14ac:dyDescent="0.25">
      <c r="G1253" t="str">
        <f t="shared" si="19"/>
        <v/>
      </c>
      <c r="H1253" t="s">
        <v>46</v>
      </c>
      <c r="I1253" t="s">
        <v>11</v>
      </c>
      <c r="J1253" t="s">
        <v>5</v>
      </c>
      <c r="K1253" t="s">
        <v>28</v>
      </c>
      <c r="L1253" t="s">
        <v>42</v>
      </c>
      <c r="M1253" t="s">
        <v>20</v>
      </c>
      <c r="N1253">
        <v>32</v>
      </c>
      <c r="O1253">
        <v>6</v>
      </c>
      <c r="P1253">
        <v>4943.13</v>
      </c>
      <c r="Q1253">
        <v>0</v>
      </c>
    </row>
    <row r="1254" spans="7:17" x14ac:dyDescent="0.25">
      <c r="G1254" t="str">
        <f t="shared" si="19"/>
        <v/>
      </c>
      <c r="H1254" t="s">
        <v>46</v>
      </c>
      <c r="I1254" t="s">
        <v>11</v>
      </c>
      <c r="J1254" t="s">
        <v>5</v>
      </c>
      <c r="K1254" t="s">
        <v>28</v>
      </c>
      <c r="L1254" t="s">
        <v>43</v>
      </c>
      <c r="M1254" t="s">
        <v>19</v>
      </c>
      <c r="N1254">
        <v>54</v>
      </c>
      <c r="O1254">
        <v>7</v>
      </c>
      <c r="P1254">
        <v>26111.520000000011</v>
      </c>
      <c r="Q1254">
        <v>19342.410000000007</v>
      </c>
    </row>
    <row r="1255" spans="7:17" x14ac:dyDescent="0.25">
      <c r="G1255" t="str">
        <f t="shared" si="19"/>
        <v/>
      </c>
      <c r="H1255" t="s">
        <v>46</v>
      </c>
      <c r="I1255" t="s">
        <v>11</v>
      </c>
      <c r="J1255" t="s">
        <v>5</v>
      </c>
      <c r="K1255" t="s">
        <v>28</v>
      </c>
      <c r="L1255" t="s">
        <v>43</v>
      </c>
      <c r="M1255" t="s">
        <v>20</v>
      </c>
      <c r="N1255">
        <v>19</v>
      </c>
      <c r="O1255">
        <v>2</v>
      </c>
      <c r="P1255">
        <v>5606.9299999999994</v>
      </c>
      <c r="Q1255">
        <v>0</v>
      </c>
    </row>
    <row r="1256" spans="7:17" x14ac:dyDescent="0.25">
      <c r="G1256" t="str">
        <f t="shared" si="19"/>
        <v/>
      </c>
      <c r="H1256" t="s">
        <v>46</v>
      </c>
      <c r="I1256" t="s">
        <v>11</v>
      </c>
      <c r="J1256" t="s">
        <v>5</v>
      </c>
      <c r="K1256" t="s">
        <v>28</v>
      </c>
      <c r="L1256" t="s">
        <v>44</v>
      </c>
      <c r="M1256" t="s">
        <v>19</v>
      </c>
      <c r="N1256">
        <v>19</v>
      </c>
      <c r="O1256">
        <v>5</v>
      </c>
      <c r="P1256">
        <v>20159.329999999998</v>
      </c>
      <c r="Q1256">
        <v>15929.650000000003</v>
      </c>
    </row>
    <row r="1257" spans="7:17" x14ac:dyDescent="0.25">
      <c r="G1257" t="str">
        <f t="shared" si="19"/>
        <v/>
      </c>
      <c r="H1257" t="s">
        <v>46</v>
      </c>
      <c r="I1257" t="s">
        <v>11</v>
      </c>
      <c r="J1257" t="s">
        <v>5</v>
      </c>
      <c r="K1257" t="s">
        <v>28</v>
      </c>
      <c r="L1257" t="s">
        <v>44</v>
      </c>
      <c r="M1257" t="s">
        <v>20</v>
      </c>
      <c r="N1257">
        <v>9</v>
      </c>
      <c r="O1257">
        <v>6</v>
      </c>
      <c r="P1257">
        <v>4947.5600000000004</v>
      </c>
      <c r="Q1257">
        <v>0</v>
      </c>
    </row>
    <row r="1258" spans="7:17" x14ac:dyDescent="0.25">
      <c r="G1258" t="str">
        <f t="shared" si="19"/>
        <v/>
      </c>
      <c r="H1258" t="s">
        <v>46</v>
      </c>
      <c r="I1258" t="s">
        <v>11</v>
      </c>
      <c r="J1258" t="s">
        <v>5</v>
      </c>
      <c r="K1258" t="s">
        <v>28</v>
      </c>
      <c r="L1258" t="s">
        <v>39</v>
      </c>
      <c r="M1258" t="s">
        <v>19</v>
      </c>
      <c r="N1258">
        <v>1</v>
      </c>
      <c r="O1258">
        <v>0</v>
      </c>
      <c r="P1258">
        <v>1289.2</v>
      </c>
      <c r="Q1258">
        <v>1289.2</v>
      </c>
    </row>
    <row r="1259" spans="7:17" x14ac:dyDescent="0.25">
      <c r="G1259" t="str">
        <f t="shared" si="19"/>
        <v/>
      </c>
      <c r="H1259" t="s">
        <v>46</v>
      </c>
      <c r="I1259" t="s">
        <v>11</v>
      </c>
      <c r="J1259" t="s">
        <v>5</v>
      </c>
      <c r="K1259" t="s">
        <v>28</v>
      </c>
      <c r="L1259" t="s">
        <v>39</v>
      </c>
      <c r="M1259" t="s">
        <v>20</v>
      </c>
      <c r="N1259">
        <v>10</v>
      </c>
      <c r="O1259">
        <v>5</v>
      </c>
      <c r="P1259">
        <v>6124.93</v>
      </c>
      <c r="Q1259">
        <v>0</v>
      </c>
    </row>
    <row r="1260" spans="7:17" x14ac:dyDescent="0.25">
      <c r="G1260" t="str">
        <f t="shared" si="19"/>
        <v/>
      </c>
      <c r="H1260" t="s">
        <v>46</v>
      </c>
      <c r="I1260" t="s">
        <v>11</v>
      </c>
      <c r="J1260" t="s">
        <v>5</v>
      </c>
      <c r="K1260" t="s">
        <v>28</v>
      </c>
      <c r="L1260" t="s">
        <v>40</v>
      </c>
      <c r="M1260" t="s">
        <v>20</v>
      </c>
      <c r="N1260">
        <v>1</v>
      </c>
      <c r="O1260">
        <v>0</v>
      </c>
      <c r="P1260">
        <v>319.64</v>
      </c>
      <c r="Q1260">
        <v>0</v>
      </c>
    </row>
    <row r="1261" spans="7:17" x14ac:dyDescent="0.25">
      <c r="G1261" t="str">
        <f t="shared" si="19"/>
        <v/>
      </c>
      <c r="H1261" t="s">
        <v>46</v>
      </c>
      <c r="I1261" t="s">
        <v>11</v>
      </c>
      <c r="J1261" t="s">
        <v>5</v>
      </c>
      <c r="K1261" t="s">
        <v>28</v>
      </c>
      <c r="L1261" t="s">
        <v>41</v>
      </c>
      <c r="M1261" t="s">
        <v>20</v>
      </c>
      <c r="N1261">
        <v>10</v>
      </c>
      <c r="O1261">
        <v>0</v>
      </c>
      <c r="P1261">
        <v>2449.3500000000004</v>
      </c>
      <c r="Q1261">
        <v>0</v>
      </c>
    </row>
    <row r="1262" spans="7:17" x14ac:dyDescent="0.25">
      <c r="G1262" t="str">
        <f t="shared" si="19"/>
        <v/>
      </c>
      <c r="H1262" t="s">
        <v>46</v>
      </c>
      <c r="I1262" t="s">
        <v>11</v>
      </c>
      <c r="J1262" t="s">
        <v>5</v>
      </c>
      <c r="K1262" t="s">
        <v>28</v>
      </c>
      <c r="L1262" t="s">
        <v>45</v>
      </c>
      <c r="M1262" t="s">
        <v>20</v>
      </c>
      <c r="N1262">
        <v>31</v>
      </c>
      <c r="O1262">
        <v>8</v>
      </c>
      <c r="P1262">
        <v>2715.9399999999991</v>
      </c>
      <c r="Q1262">
        <v>0</v>
      </c>
    </row>
    <row r="1263" spans="7:17" x14ac:dyDescent="0.25">
      <c r="G1263" t="str">
        <f t="shared" si="19"/>
        <v/>
      </c>
      <c r="H1263" t="s">
        <v>46</v>
      </c>
      <c r="I1263" t="s">
        <v>11</v>
      </c>
      <c r="J1263" t="s">
        <v>5</v>
      </c>
      <c r="K1263" t="s">
        <v>29</v>
      </c>
      <c r="L1263" t="s">
        <v>42</v>
      </c>
      <c r="M1263" t="s">
        <v>19</v>
      </c>
      <c r="N1263">
        <v>28</v>
      </c>
      <c r="O1263">
        <v>4</v>
      </c>
      <c r="P1263">
        <v>9683.869999999999</v>
      </c>
      <c r="Q1263">
        <v>9683.15</v>
      </c>
    </row>
    <row r="1264" spans="7:17" x14ac:dyDescent="0.25">
      <c r="G1264" t="str">
        <f t="shared" si="19"/>
        <v/>
      </c>
      <c r="H1264" t="s">
        <v>46</v>
      </c>
      <c r="I1264" t="s">
        <v>11</v>
      </c>
      <c r="J1264" t="s">
        <v>5</v>
      </c>
      <c r="K1264" t="s">
        <v>29</v>
      </c>
      <c r="L1264" t="s">
        <v>42</v>
      </c>
      <c r="M1264" t="s">
        <v>20</v>
      </c>
      <c r="N1264">
        <v>110</v>
      </c>
      <c r="O1264">
        <v>3</v>
      </c>
      <c r="P1264">
        <v>14802.629999999996</v>
      </c>
      <c r="Q1264">
        <v>0</v>
      </c>
    </row>
    <row r="1265" spans="7:17" x14ac:dyDescent="0.25">
      <c r="G1265" t="str">
        <f t="shared" si="19"/>
        <v/>
      </c>
      <c r="H1265" t="s">
        <v>46</v>
      </c>
      <c r="I1265" t="s">
        <v>11</v>
      </c>
      <c r="J1265" t="s">
        <v>5</v>
      </c>
      <c r="K1265" t="s">
        <v>29</v>
      </c>
      <c r="L1265" t="s">
        <v>43</v>
      </c>
      <c r="M1265" t="s">
        <v>19</v>
      </c>
      <c r="N1265">
        <v>18</v>
      </c>
      <c r="O1265">
        <v>5</v>
      </c>
      <c r="P1265">
        <v>10640.000000000002</v>
      </c>
      <c r="Q1265">
        <v>10607.93</v>
      </c>
    </row>
    <row r="1266" spans="7:17" x14ac:dyDescent="0.25">
      <c r="G1266" t="str">
        <f t="shared" si="19"/>
        <v/>
      </c>
      <c r="H1266" t="s">
        <v>46</v>
      </c>
      <c r="I1266" t="s">
        <v>11</v>
      </c>
      <c r="J1266" t="s">
        <v>5</v>
      </c>
      <c r="K1266" t="s">
        <v>29</v>
      </c>
      <c r="L1266" t="s">
        <v>43</v>
      </c>
      <c r="M1266" t="s">
        <v>20</v>
      </c>
      <c r="N1266">
        <v>3</v>
      </c>
      <c r="O1266">
        <v>2</v>
      </c>
      <c r="P1266">
        <v>978.07</v>
      </c>
      <c r="Q1266">
        <v>0</v>
      </c>
    </row>
    <row r="1267" spans="7:17" x14ac:dyDescent="0.25">
      <c r="G1267" t="str">
        <f t="shared" si="19"/>
        <v/>
      </c>
      <c r="H1267" t="s">
        <v>46</v>
      </c>
      <c r="I1267" t="s">
        <v>11</v>
      </c>
      <c r="J1267" t="s">
        <v>5</v>
      </c>
      <c r="K1267" t="s">
        <v>29</v>
      </c>
      <c r="L1267" t="s">
        <v>44</v>
      </c>
      <c r="M1267" t="s">
        <v>19</v>
      </c>
      <c r="N1267">
        <v>4</v>
      </c>
      <c r="O1267">
        <v>3</v>
      </c>
      <c r="P1267">
        <v>2867.6400000000003</v>
      </c>
      <c r="Q1267">
        <v>2507.66</v>
      </c>
    </row>
    <row r="1268" spans="7:17" x14ac:dyDescent="0.25">
      <c r="G1268" t="str">
        <f t="shared" si="19"/>
        <v/>
      </c>
      <c r="H1268" t="s">
        <v>46</v>
      </c>
      <c r="I1268" t="s">
        <v>11</v>
      </c>
      <c r="J1268" t="s">
        <v>5</v>
      </c>
      <c r="K1268" t="s">
        <v>29</v>
      </c>
      <c r="L1268" t="s">
        <v>44</v>
      </c>
      <c r="M1268" t="s">
        <v>20</v>
      </c>
      <c r="N1268">
        <v>4</v>
      </c>
      <c r="O1268">
        <v>1</v>
      </c>
      <c r="P1268">
        <v>824.00999999999988</v>
      </c>
      <c r="Q1268">
        <v>0</v>
      </c>
    </row>
    <row r="1269" spans="7:17" x14ac:dyDescent="0.25">
      <c r="G1269" t="str">
        <f t="shared" si="19"/>
        <v/>
      </c>
      <c r="H1269" t="s">
        <v>46</v>
      </c>
      <c r="I1269" t="s">
        <v>11</v>
      </c>
      <c r="J1269" t="s">
        <v>5</v>
      </c>
      <c r="K1269" t="s">
        <v>29</v>
      </c>
      <c r="L1269" t="s">
        <v>39</v>
      </c>
      <c r="M1269" t="s">
        <v>19</v>
      </c>
      <c r="N1269">
        <v>6</v>
      </c>
      <c r="O1269">
        <v>2</v>
      </c>
      <c r="P1269">
        <v>5898.4599999999991</v>
      </c>
      <c r="Q1269">
        <v>5868.7099999999991</v>
      </c>
    </row>
    <row r="1270" spans="7:17" x14ac:dyDescent="0.25">
      <c r="G1270" t="str">
        <f t="shared" si="19"/>
        <v/>
      </c>
      <c r="H1270" t="s">
        <v>46</v>
      </c>
      <c r="I1270" t="s">
        <v>11</v>
      </c>
      <c r="J1270" t="s">
        <v>5</v>
      </c>
      <c r="K1270" t="s">
        <v>29</v>
      </c>
      <c r="L1270" t="s">
        <v>39</v>
      </c>
      <c r="M1270" t="s">
        <v>20</v>
      </c>
      <c r="N1270">
        <v>13</v>
      </c>
      <c r="O1270">
        <v>2</v>
      </c>
      <c r="P1270">
        <v>2377.2000000000003</v>
      </c>
      <c r="Q1270">
        <v>0</v>
      </c>
    </row>
    <row r="1271" spans="7:17" x14ac:dyDescent="0.25">
      <c r="G1271" t="str">
        <f t="shared" si="19"/>
        <v/>
      </c>
      <c r="H1271" t="s">
        <v>46</v>
      </c>
      <c r="I1271" t="s">
        <v>11</v>
      </c>
      <c r="J1271" t="s">
        <v>5</v>
      </c>
      <c r="K1271" t="s">
        <v>29</v>
      </c>
      <c r="L1271" t="s">
        <v>40</v>
      </c>
      <c r="M1271" t="s">
        <v>20</v>
      </c>
      <c r="N1271">
        <v>2</v>
      </c>
      <c r="O1271">
        <v>1</v>
      </c>
      <c r="P1271">
        <v>23.96</v>
      </c>
      <c r="Q1271">
        <v>0</v>
      </c>
    </row>
    <row r="1272" spans="7:17" x14ac:dyDescent="0.25">
      <c r="G1272" t="str">
        <f t="shared" si="19"/>
        <v/>
      </c>
      <c r="H1272" t="s">
        <v>46</v>
      </c>
      <c r="I1272" t="s">
        <v>11</v>
      </c>
      <c r="J1272" t="s">
        <v>5</v>
      </c>
      <c r="K1272" t="s">
        <v>29</v>
      </c>
      <c r="L1272" t="s">
        <v>41</v>
      </c>
      <c r="M1272" t="s">
        <v>20</v>
      </c>
      <c r="N1272">
        <v>2</v>
      </c>
      <c r="O1272">
        <v>1</v>
      </c>
      <c r="P1272">
        <v>297.14999999999998</v>
      </c>
      <c r="Q1272">
        <v>0</v>
      </c>
    </row>
    <row r="1273" spans="7:17" x14ac:dyDescent="0.25">
      <c r="G1273" t="str">
        <f t="shared" si="19"/>
        <v/>
      </c>
      <c r="H1273" t="s">
        <v>46</v>
      </c>
      <c r="I1273" t="s">
        <v>11</v>
      </c>
      <c r="J1273" t="s">
        <v>5</v>
      </c>
      <c r="K1273" t="s">
        <v>29</v>
      </c>
      <c r="L1273" t="s">
        <v>45</v>
      </c>
      <c r="M1273" t="s">
        <v>20</v>
      </c>
      <c r="N1273">
        <v>20</v>
      </c>
      <c r="O1273">
        <v>6</v>
      </c>
      <c r="P1273">
        <v>28808.469999999994</v>
      </c>
      <c r="Q1273">
        <v>0</v>
      </c>
    </row>
    <row r="1274" spans="7:17" x14ac:dyDescent="0.25">
      <c r="G1274" t="str">
        <f t="shared" si="19"/>
        <v/>
      </c>
      <c r="H1274" t="s">
        <v>46</v>
      </c>
      <c r="I1274" t="s">
        <v>11</v>
      </c>
      <c r="J1274" t="s">
        <v>5</v>
      </c>
      <c r="K1274" t="s">
        <v>30</v>
      </c>
      <c r="L1274" t="s">
        <v>42</v>
      </c>
      <c r="M1274" t="s">
        <v>19</v>
      </c>
      <c r="N1274">
        <v>10</v>
      </c>
      <c r="O1274">
        <v>0</v>
      </c>
      <c r="P1274">
        <v>1.8900000000000001</v>
      </c>
      <c r="Q1274">
        <v>1.8900000000000001</v>
      </c>
    </row>
    <row r="1275" spans="7:17" x14ac:dyDescent="0.25">
      <c r="G1275" t="str">
        <f t="shared" si="19"/>
        <v/>
      </c>
      <c r="H1275" t="s">
        <v>46</v>
      </c>
      <c r="I1275" t="s">
        <v>11</v>
      </c>
      <c r="J1275" t="s">
        <v>5</v>
      </c>
      <c r="K1275" t="s">
        <v>30</v>
      </c>
      <c r="L1275" t="s">
        <v>42</v>
      </c>
      <c r="M1275" t="s">
        <v>20</v>
      </c>
      <c r="N1275">
        <v>2</v>
      </c>
      <c r="O1275">
        <v>1</v>
      </c>
      <c r="P1275">
        <v>274.96000000000004</v>
      </c>
      <c r="Q1275">
        <v>0</v>
      </c>
    </row>
    <row r="1276" spans="7:17" x14ac:dyDescent="0.25">
      <c r="G1276" t="str">
        <f t="shared" si="19"/>
        <v/>
      </c>
      <c r="H1276" t="s">
        <v>46</v>
      </c>
      <c r="I1276" t="s">
        <v>11</v>
      </c>
      <c r="J1276" t="s">
        <v>5</v>
      </c>
      <c r="K1276" t="s">
        <v>30</v>
      </c>
      <c r="L1276" t="s">
        <v>43</v>
      </c>
      <c r="M1276" t="s">
        <v>19</v>
      </c>
      <c r="N1276">
        <v>9</v>
      </c>
      <c r="O1276">
        <v>0</v>
      </c>
      <c r="P1276">
        <v>10503.95</v>
      </c>
      <c r="Q1276">
        <v>9037.58</v>
      </c>
    </row>
    <row r="1277" spans="7:17" x14ac:dyDescent="0.25">
      <c r="G1277" t="str">
        <f t="shared" si="19"/>
        <v/>
      </c>
      <c r="H1277" t="s">
        <v>46</v>
      </c>
      <c r="I1277" t="s">
        <v>11</v>
      </c>
      <c r="J1277" t="s">
        <v>5</v>
      </c>
      <c r="K1277" t="s">
        <v>30</v>
      </c>
      <c r="L1277" t="s">
        <v>43</v>
      </c>
      <c r="M1277" t="s">
        <v>20</v>
      </c>
      <c r="N1277">
        <v>5</v>
      </c>
      <c r="O1277">
        <v>0</v>
      </c>
      <c r="P1277">
        <v>971.64</v>
      </c>
      <c r="Q1277">
        <v>0</v>
      </c>
    </row>
    <row r="1278" spans="7:17" x14ac:dyDescent="0.25">
      <c r="G1278" t="str">
        <f t="shared" si="19"/>
        <v/>
      </c>
      <c r="H1278" t="s">
        <v>46</v>
      </c>
      <c r="I1278" t="s">
        <v>11</v>
      </c>
      <c r="J1278" t="s">
        <v>5</v>
      </c>
      <c r="K1278" t="s">
        <v>30</v>
      </c>
      <c r="L1278" t="s">
        <v>44</v>
      </c>
      <c r="M1278" t="s">
        <v>19</v>
      </c>
      <c r="N1278">
        <v>2</v>
      </c>
      <c r="O1278">
        <v>1</v>
      </c>
      <c r="P1278">
        <v>2364.08</v>
      </c>
      <c r="Q1278">
        <v>2364.08</v>
      </c>
    </row>
    <row r="1279" spans="7:17" x14ac:dyDescent="0.25">
      <c r="G1279" t="str">
        <f t="shared" si="19"/>
        <v/>
      </c>
      <c r="H1279" t="s">
        <v>46</v>
      </c>
      <c r="I1279" t="s">
        <v>11</v>
      </c>
      <c r="J1279" t="s">
        <v>5</v>
      </c>
      <c r="K1279" t="s">
        <v>30</v>
      </c>
      <c r="L1279" t="s">
        <v>44</v>
      </c>
      <c r="M1279" t="s">
        <v>20</v>
      </c>
      <c r="N1279">
        <v>5</v>
      </c>
      <c r="O1279">
        <v>3</v>
      </c>
      <c r="P1279">
        <v>2575.1999999999998</v>
      </c>
      <c r="Q1279">
        <v>0</v>
      </c>
    </row>
    <row r="1280" spans="7:17" x14ac:dyDescent="0.25">
      <c r="G1280" t="str">
        <f t="shared" si="19"/>
        <v/>
      </c>
      <c r="H1280" t="s">
        <v>46</v>
      </c>
      <c r="I1280" t="s">
        <v>11</v>
      </c>
      <c r="J1280" t="s">
        <v>5</v>
      </c>
      <c r="K1280" t="s">
        <v>30</v>
      </c>
      <c r="L1280" t="s">
        <v>39</v>
      </c>
      <c r="M1280" t="s">
        <v>20</v>
      </c>
      <c r="N1280">
        <v>1</v>
      </c>
      <c r="O1280">
        <v>1</v>
      </c>
      <c r="P1280">
        <v>211.49</v>
      </c>
      <c r="Q1280">
        <v>0</v>
      </c>
    </row>
    <row r="1281" spans="7:17" x14ac:dyDescent="0.25">
      <c r="G1281" t="str">
        <f t="shared" si="19"/>
        <v/>
      </c>
      <c r="H1281" t="s">
        <v>46</v>
      </c>
      <c r="I1281" t="s">
        <v>11</v>
      </c>
      <c r="J1281" t="s">
        <v>5</v>
      </c>
      <c r="K1281" t="s">
        <v>30</v>
      </c>
      <c r="L1281" t="s">
        <v>40</v>
      </c>
      <c r="M1281" t="s">
        <v>20</v>
      </c>
      <c r="N1281">
        <v>1</v>
      </c>
      <c r="O1281">
        <v>0</v>
      </c>
      <c r="P1281">
        <v>235.86</v>
      </c>
      <c r="Q1281">
        <v>0</v>
      </c>
    </row>
    <row r="1282" spans="7:17" x14ac:dyDescent="0.25">
      <c r="G1282" t="str">
        <f t="shared" ref="G1282:G1345" si="20">IF(G$1="Overall","Overall",IF(G$1=L1282,L1282,""))</f>
        <v/>
      </c>
      <c r="H1282" t="s">
        <v>46</v>
      </c>
      <c r="I1282" t="s">
        <v>11</v>
      </c>
      <c r="J1282" t="s">
        <v>5</v>
      </c>
      <c r="K1282" t="s">
        <v>30</v>
      </c>
      <c r="L1282" t="s">
        <v>41</v>
      </c>
      <c r="M1282" t="s">
        <v>20</v>
      </c>
      <c r="N1282">
        <v>1</v>
      </c>
      <c r="O1282">
        <v>0</v>
      </c>
      <c r="P1282">
        <v>1733.7</v>
      </c>
      <c r="Q1282">
        <v>0</v>
      </c>
    </row>
    <row r="1283" spans="7:17" x14ac:dyDescent="0.25">
      <c r="G1283" t="str">
        <f t="shared" si="20"/>
        <v/>
      </c>
      <c r="H1283" t="s">
        <v>46</v>
      </c>
      <c r="I1283" t="s">
        <v>11</v>
      </c>
      <c r="J1283" t="s">
        <v>5</v>
      </c>
      <c r="K1283" t="s">
        <v>30</v>
      </c>
      <c r="L1283" t="s">
        <v>45</v>
      </c>
      <c r="M1283" t="s">
        <v>20</v>
      </c>
      <c r="N1283">
        <v>21</v>
      </c>
      <c r="O1283">
        <v>1</v>
      </c>
      <c r="P1283">
        <v>1436.3399999999997</v>
      </c>
      <c r="Q1283">
        <v>0</v>
      </c>
    </row>
    <row r="1284" spans="7:17" x14ac:dyDescent="0.25">
      <c r="G1284" t="str">
        <f t="shared" si="20"/>
        <v/>
      </c>
      <c r="H1284" t="s">
        <v>46</v>
      </c>
      <c r="I1284" t="s">
        <v>11</v>
      </c>
      <c r="J1284" t="s">
        <v>5</v>
      </c>
      <c r="K1284" t="s">
        <v>31</v>
      </c>
      <c r="L1284" t="s">
        <v>42</v>
      </c>
      <c r="M1284" t="s">
        <v>19</v>
      </c>
      <c r="N1284">
        <v>6</v>
      </c>
      <c r="O1284">
        <v>2</v>
      </c>
      <c r="P1284">
        <v>1.21</v>
      </c>
      <c r="Q1284">
        <v>1.21</v>
      </c>
    </row>
    <row r="1285" spans="7:17" x14ac:dyDescent="0.25">
      <c r="G1285" t="str">
        <f t="shared" si="20"/>
        <v/>
      </c>
      <c r="H1285" t="s">
        <v>46</v>
      </c>
      <c r="I1285" t="s">
        <v>11</v>
      </c>
      <c r="J1285" t="s">
        <v>5</v>
      </c>
      <c r="K1285" t="s">
        <v>31</v>
      </c>
      <c r="L1285" t="s">
        <v>42</v>
      </c>
      <c r="M1285" t="s">
        <v>20</v>
      </c>
      <c r="N1285">
        <v>2</v>
      </c>
      <c r="O1285">
        <v>2</v>
      </c>
      <c r="P1285">
        <v>825.13</v>
      </c>
      <c r="Q1285">
        <v>0</v>
      </c>
    </row>
    <row r="1286" spans="7:17" x14ac:dyDescent="0.25">
      <c r="G1286" t="str">
        <f t="shared" si="20"/>
        <v/>
      </c>
      <c r="H1286" t="s">
        <v>46</v>
      </c>
      <c r="I1286" t="s">
        <v>11</v>
      </c>
      <c r="J1286" t="s">
        <v>5</v>
      </c>
      <c r="K1286" t="s">
        <v>31</v>
      </c>
      <c r="L1286" t="s">
        <v>40</v>
      </c>
      <c r="M1286" t="s">
        <v>20</v>
      </c>
      <c r="N1286">
        <v>1</v>
      </c>
      <c r="O1286">
        <v>0</v>
      </c>
      <c r="P1286">
        <v>1559.77</v>
      </c>
      <c r="Q1286">
        <v>0</v>
      </c>
    </row>
    <row r="1287" spans="7:17" x14ac:dyDescent="0.25">
      <c r="G1287" t="str">
        <f t="shared" si="20"/>
        <v/>
      </c>
      <c r="H1287" t="s">
        <v>46</v>
      </c>
      <c r="I1287" t="s">
        <v>11</v>
      </c>
      <c r="J1287" t="s">
        <v>5</v>
      </c>
      <c r="K1287" t="s">
        <v>32</v>
      </c>
      <c r="L1287" t="s">
        <v>42</v>
      </c>
      <c r="M1287" t="s">
        <v>19</v>
      </c>
      <c r="N1287">
        <v>14</v>
      </c>
      <c r="O1287">
        <v>3</v>
      </c>
      <c r="P1287">
        <v>4505.09</v>
      </c>
      <c r="Q1287">
        <v>4494.18</v>
      </c>
    </row>
    <row r="1288" spans="7:17" x14ac:dyDescent="0.25">
      <c r="G1288" t="str">
        <f t="shared" si="20"/>
        <v/>
      </c>
      <c r="H1288" t="s">
        <v>46</v>
      </c>
      <c r="I1288" t="s">
        <v>11</v>
      </c>
      <c r="J1288" t="s">
        <v>5</v>
      </c>
      <c r="K1288" t="s">
        <v>32</v>
      </c>
      <c r="L1288" t="s">
        <v>43</v>
      </c>
      <c r="M1288" t="s">
        <v>19</v>
      </c>
      <c r="N1288">
        <v>7</v>
      </c>
      <c r="O1288">
        <v>1</v>
      </c>
      <c r="P1288">
        <v>4316.5300000000007</v>
      </c>
      <c r="Q1288">
        <v>4263</v>
      </c>
    </row>
    <row r="1289" spans="7:17" x14ac:dyDescent="0.25">
      <c r="G1289" t="str">
        <f t="shared" si="20"/>
        <v/>
      </c>
      <c r="H1289" t="s">
        <v>46</v>
      </c>
      <c r="I1289" t="s">
        <v>11</v>
      </c>
      <c r="J1289" t="s">
        <v>5</v>
      </c>
      <c r="K1289" t="s">
        <v>32</v>
      </c>
      <c r="L1289" t="s">
        <v>43</v>
      </c>
      <c r="M1289" t="s">
        <v>20</v>
      </c>
      <c r="N1289">
        <v>1</v>
      </c>
      <c r="O1289">
        <v>1</v>
      </c>
      <c r="P1289">
        <v>367.71</v>
      </c>
      <c r="Q1289">
        <v>0</v>
      </c>
    </row>
    <row r="1290" spans="7:17" x14ac:dyDescent="0.25">
      <c r="G1290" t="str">
        <f t="shared" si="20"/>
        <v/>
      </c>
      <c r="H1290" t="s">
        <v>46</v>
      </c>
      <c r="I1290" t="s">
        <v>11</v>
      </c>
      <c r="J1290" t="s">
        <v>5</v>
      </c>
      <c r="K1290" t="s">
        <v>32</v>
      </c>
      <c r="L1290" t="s">
        <v>44</v>
      </c>
      <c r="M1290" t="s">
        <v>20</v>
      </c>
      <c r="N1290">
        <v>4</v>
      </c>
      <c r="O1290">
        <v>2</v>
      </c>
      <c r="P1290">
        <v>2666.69</v>
      </c>
      <c r="Q1290">
        <v>0</v>
      </c>
    </row>
    <row r="1291" spans="7:17" x14ac:dyDescent="0.25">
      <c r="G1291" t="str">
        <f t="shared" si="20"/>
        <v/>
      </c>
      <c r="H1291" t="s">
        <v>46</v>
      </c>
      <c r="I1291" t="s">
        <v>11</v>
      </c>
      <c r="J1291" t="s">
        <v>5</v>
      </c>
      <c r="K1291" t="s">
        <v>32</v>
      </c>
      <c r="L1291" t="s">
        <v>45</v>
      </c>
      <c r="M1291" t="s">
        <v>20</v>
      </c>
      <c r="N1291">
        <v>2</v>
      </c>
      <c r="O1291">
        <v>0</v>
      </c>
      <c r="P1291">
        <v>2164.6000000000004</v>
      </c>
      <c r="Q1291">
        <v>0</v>
      </c>
    </row>
    <row r="1292" spans="7:17" x14ac:dyDescent="0.25">
      <c r="G1292" t="str">
        <f t="shared" si="20"/>
        <v/>
      </c>
      <c r="H1292" t="s">
        <v>46</v>
      </c>
      <c r="I1292" t="s">
        <v>11</v>
      </c>
      <c r="J1292" t="s">
        <v>5</v>
      </c>
      <c r="K1292" t="s">
        <v>33</v>
      </c>
      <c r="L1292" t="s">
        <v>42</v>
      </c>
      <c r="M1292" t="s">
        <v>19</v>
      </c>
      <c r="N1292">
        <v>83</v>
      </c>
      <c r="O1292">
        <v>5</v>
      </c>
      <c r="P1292">
        <v>23489.699999999986</v>
      </c>
      <c r="Q1292">
        <v>23489.439999999984</v>
      </c>
    </row>
    <row r="1293" spans="7:17" x14ac:dyDescent="0.25">
      <c r="G1293" t="str">
        <f t="shared" si="20"/>
        <v/>
      </c>
      <c r="H1293" t="s">
        <v>46</v>
      </c>
      <c r="I1293" t="s">
        <v>11</v>
      </c>
      <c r="J1293" t="s">
        <v>5</v>
      </c>
      <c r="K1293" t="s">
        <v>33</v>
      </c>
      <c r="L1293" t="s">
        <v>42</v>
      </c>
      <c r="M1293" t="s">
        <v>20</v>
      </c>
      <c r="N1293">
        <v>12</v>
      </c>
      <c r="O1293">
        <v>2</v>
      </c>
      <c r="P1293">
        <v>4481.5200000000004</v>
      </c>
      <c r="Q1293">
        <v>0</v>
      </c>
    </row>
    <row r="1294" spans="7:17" x14ac:dyDescent="0.25">
      <c r="G1294" t="str">
        <f t="shared" si="20"/>
        <v/>
      </c>
      <c r="H1294" t="s">
        <v>46</v>
      </c>
      <c r="I1294" t="s">
        <v>11</v>
      </c>
      <c r="J1294" t="s">
        <v>5</v>
      </c>
      <c r="K1294" t="s">
        <v>33</v>
      </c>
      <c r="L1294" t="s">
        <v>43</v>
      </c>
      <c r="M1294" t="s">
        <v>19</v>
      </c>
      <c r="N1294">
        <v>21</v>
      </c>
      <c r="O1294">
        <v>5</v>
      </c>
      <c r="P1294">
        <v>9947.3899999999976</v>
      </c>
      <c r="Q1294">
        <v>9938.6099999999988</v>
      </c>
    </row>
    <row r="1295" spans="7:17" x14ac:dyDescent="0.25">
      <c r="G1295" t="str">
        <f t="shared" si="20"/>
        <v/>
      </c>
      <c r="H1295" t="s">
        <v>46</v>
      </c>
      <c r="I1295" t="s">
        <v>11</v>
      </c>
      <c r="J1295" t="s">
        <v>5</v>
      </c>
      <c r="K1295" t="s">
        <v>33</v>
      </c>
      <c r="L1295" t="s">
        <v>43</v>
      </c>
      <c r="M1295" t="s">
        <v>20</v>
      </c>
      <c r="N1295">
        <v>20</v>
      </c>
      <c r="O1295">
        <v>7</v>
      </c>
      <c r="P1295">
        <v>6663.2899999999991</v>
      </c>
      <c r="Q1295">
        <v>0</v>
      </c>
    </row>
    <row r="1296" spans="7:17" x14ac:dyDescent="0.25">
      <c r="G1296" t="str">
        <f t="shared" si="20"/>
        <v/>
      </c>
      <c r="H1296" t="s">
        <v>46</v>
      </c>
      <c r="I1296" t="s">
        <v>11</v>
      </c>
      <c r="J1296" t="s">
        <v>5</v>
      </c>
      <c r="K1296" t="s">
        <v>33</v>
      </c>
      <c r="L1296" t="s">
        <v>44</v>
      </c>
      <c r="M1296" t="s">
        <v>19</v>
      </c>
      <c r="N1296">
        <v>3</v>
      </c>
      <c r="O1296">
        <v>3</v>
      </c>
      <c r="P1296">
        <v>3131.79</v>
      </c>
      <c r="Q1296">
        <v>2425</v>
      </c>
    </row>
    <row r="1297" spans="7:17" x14ac:dyDescent="0.25">
      <c r="G1297" t="str">
        <f t="shared" si="20"/>
        <v/>
      </c>
      <c r="H1297" t="s">
        <v>46</v>
      </c>
      <c r="I1297" t="s">
        <v>11</v>
      </c>
      <c r="J1297" t="s">
        <v>5</v>
      </c>
      <c r="K1297" t="s">
        <v>33</v>
      </c>
      <c r="L1297" t="s">
        <v>44</v>
      </c>
      <c r="M1297" t="s">
        <v>20</v>
      </c>
      <c r="N1297">
        <v>2</v>
      </c>
      <c r="O1297">
        <v>1</v>
      </c>
      <c r="P1297">
        <v>3455.54</v>
      </c>
      <c r="Q1297">
        <v>0</v>
      </c>
    </row>
    <row r="1298" spans="7:17" x14ac:dyDescent="0.25">
      <c r="G1298" t="str">
        <f t="shared" si="20"/>
        <v/>
      </c>
      <c r="H1298" t="s">
        <v>46</v>
      </c>
      <c r="I1298" t="s">
        <v>11</v>
      </c>
      <c r="J1298" t="s">
        <v>5</v>
      </c>
      <c r="K1298" t="s">
        <v>33</v>
      </c>
      <c r="L1298" t="s">
        <v>39</v>
      </c>
      <c r="M1298" t="s">
        <v>20</v>
      </c>
      <c r="N1298">
        <v>1</v>
      </c>
      <c r="O1298">
        <v>1</v>
      </c>
      <c r="P1298">
        <v>562.63</v>
      </c>
      <c r="Q1298">
        <v>0</v>
      </c>
    </row>
    <row r="1299" spans="7:17" x14ac:dyDescent="0.25">
      <c r="G1299" t="str">
        <f t="shared" si="20"/>
        <v/>
      </c>
      <c r="H1299" t="s">
        <v>46</v>
      </c>
      <c r="I1299" t="s">
        <v>11</v>
      </c>
      <c r="J1299" t="s">
        <v>5</v>
      </c>
      <c r="K1299" t="s">
        <v>33</v>
      </c>
      <c r="L1299" t="s">
        <v>40</v>
      </c>
      <c r="M1299" t="s">
        <v>20</v>
      </c>
      <c r="N1299">
        <v>2</v>
      </c>
      <c r="O1299">
        <v>0</v>
      </c>
      <c r="P1299">
        <v>3472.84</v>
      </c>
      <c r="Q1299">
        <v>0</v>
      </c>
    </row>
    <row r="1300" spans="7:17" x14ac:dyDescent="0.25">
      <c r="G1300" t="str">
        <f t="shared" si="20"/>
        <v/>
      </c>
      <c r="H1300" t="s">
        <v>46</v>
      </c>
      <c r="I1300" t="s">
        <v>11</v>
      </c>
      <c r="J1300" t="s">
        <v>5</v>
      </c>
      <c r="K1300" t="s">
        <v>33</v>
      </c>
      <c r="L1300" t="s">
        <v>41</v>
      </c>
      <c r="M1300" t="s">
        <v>20</v>
      </c>
      <c r="N1300">
        <v>2</v>
      </c>
      <c r="O1300">
        <v>0</v>
      </c>
      <c r="P1300">
        <v>119.06</v>
      </c>
      <c r="Q1300">
        <v>0</v>
      </c>
    </row>
    <row r="1301" spans="7:17" x14ac:dyDescent="0.25">
      <c r="G1301" t="str">
        <f t="shared" si="20"/>
        <v/>
      </c>
      <c r="H1301" t="s">
        <v>46</v>
      </c>
      <c r="I1301" t="s">
        <v>11</v>
      </c>
      <c r="J1301" t="s">
        <v>5</v>
      </c>
      <c r="K1301" t="s">
        <v>33</v>
      </c>
      <c r="L1301" t="s">
        <v>45</v>
      </c>
      <c r="M1301" t="s">
        <v>20</v>
      </c>
      <c r="N1301">
        <v>41</v>
      </c>
      <c r="O1301">
        <v>7</v>
      </c>
      <c r="P1301">
        <v>15811.499999999998</v>
      </c>
      <c r="Q1301">
        <v>0</v>
      </c>
    </row>
    <row r="1302" spans="7:17" x14ac:dyDescent="0.25">
      <c r="G1302" t="str">
        <f t="shared" si="20"/>
        <v/>
      </c>
      <c r="H1302" t="s">
        <v>46</v>
      </c>
      <c r="I1302" t="s">
        <v>11</v>
      </c>
      <c r="J1302" t="s">
        <v>5</v>
      </c>
      <c r="K1302" t="s">
        <v>34</v>
      </c>
      <c r="L1302" t="s">
        <v>42</v>
      </c>
      <c r="M1302" t="s">
        <v>19</v>
      </c>
      <c r="N1302">
        <v>35</v>
      </c>
      <c r="O1302">
        <v>4</v>
      </c>
      <c r="P1302">
        <v>5898.5500000000011</v>
      </c>
      <c r="Q1302">
        <v>5898.5500000000011</v>
      </c>
    </row>
    <row r="1303" spans="7:17" x14ac:dyDescent="0.25">
      <c r="G1303" t="str">
        <f t="shared" si="20"/>
        <v/>
      </c>
      <c r="H1303" t="s">
        <v>46</v>
      </c>
      <c r="I1303" t="s">
        <v>11</v>
      </c>
      <c r="J1303" t="s">
        <v>5</v>
      </c>
      <c r="K1303" t="s">
        <v>34</v>
      </c>
      <c r="L1303" t="s">
        <v>42</v>
      </c>
      <c r="M1303" t="s">
        <v>20</v>
      </c>
      <c r="N1303">
        <v>49</v>
      </c>
      <c r="O1303">
        <v>1</v>
      </c>
      <c r="P1303">
        <v>13296.529999999992</v>
      </c>
      <c r="Q1303">
        <v>0</v>
      </c>
    </row>
    <row r="1304" spans="7:17" x14ac:dyDescent="0.25">
      <c r="G1304" t="str">
        <f t="shared" si="20"/>
        <v/>
      </c>
      <c r="H1304" t="s">
        <v>46</v>
      </c>
      <c r="I1304" t="s">
        <v>11</v>
      </c>
      <c r="J1304" t="s">
        <v>5</v>
      </c>
      <c r="K1304" t="s">
        <v>34</v>
      </c>
      <c r="L1304" t="s">
        <v>43</v>
      </c>
      <c r="M1304" t="s">
        <v>19</v>
      </c>
      <c r="N1304">
        <v>24</v>
      </c>
      <c r="O1304">
        <v>3</v>
      </c>
      <c r="P1304">
        <v>17077.419999999998</v>
      </c>
      <c r="Q1304">
        <v>17077.419999999998</v>
      </c>
    </row>
    <row r="1305" spans="7:17" x14ac:dyDescent="0.25">
      <c r="G1305" t="str">
        <f t="shared" si="20"/>
        <v/>
      </c>
      <c r="H1305" t="s">
        <v>46</v>
      </c>
      <c r="I1305" t="s">
        <v>11</v>
      </c>
      <c r="J1305" t="s">
        <v>5</v>
      </c>
      <c r="K1305" t="s">
        <v>34</v>
      </c>
      <c r="L1305" t="s">
        <v>43</v>
      </c>
      <c r="M1305" t="s">
        <v>20</v>
      </c>
      <c r="N1305">
        <v>7</v>
      </c>
      <c r="O1305">
        <v>1</v>
      </c>
      <c r="P1305">
        <v>5215.45</v>
      </c>
      <c r="Q1305">
        <v>0</v>
      </c>
    </row>
    <row r="1306" spans="7:17" x14ac:dyDescent="0.25">
      <c r="G1306" t="str">
        <f t="shared" si="20"/>
        <v/>
      </c>
      <c r="H1306" t="s">
        <v>46</v>
      </c>
      <c r="I1306" t="s">
        <v>11</v>
      </c>
      <c r="J1306" t="s">
        <v>5</v>
      </c>
      <c r="K1306" t="s">
        <v>34</v>
      </c>
      <c r="L1306" t="s">
        <v>44</v>
      </c>
      <c r="M1306" t="s">
        <v>19</v>
      </c>
      <c r="N1306">
        <v>12</v>
      </c>
      <c r="O1306">
        <v>2</v>
      </c>
      <c r="P1306">
        <v>6243.85</v>
      </c>
      <c r="Q1306">
        <v>6241</v>
      </c>
    </row>
    <row r="1307" spans="7:17" x14ac:dyDescent="0.25">
      <c r="G1307" t="str">
        <f t="shared" si="20"/>
        <v/>
      </c>
      <c r="H1307" t="s">
        <v>46</v>
      </c>
      <c r="I1307" t="s">
        <v>11</v>
      </c>
      <c r="J1307" t="s">
        <v>5</v>
      </c>
      <c r="K1307" t="s">
        <v>34</v>
      </c>
      <c r="L1307" t="s">
        <v>44</v>
      </c>
      <c r="M1307" t="s">
        <v>20</v>
      </c>
      <c r="N1307">
        <v>6</v>
      </c>
      <c r="O1307">
        <v>3</v>
      </c>
      <c r="P1307">
        <v>4489.0299999999988</v>
      </c>
      <c r="Q1307">
        <v>0</v>
      </c>
    </row>
    <row r="1308" spans="7:17" x14ac:dyDescent="0.25">
      <c r="G1308" t="str">
        <f t="shared" si="20"/>
        <v/>
      </c>
      <c r="H1308" t="s">
        <v>46</v>
      </c>
      <c r="I1308" t="s">
        <v>11</v>
      </c>
      <c r="J1308" t="s">
        <v>5</v>
      </c>
      <c r="K1308" t="s">
        <v>34</v>
      </c>
      <c r="L1308" t="s">
        <v>39</v>
      </c>
      <c r="M1308" t="s">
        <v>19</v>
      </c>
      <c r="N1308">
        <v>1</v>
      </c>
      <c r="O1308">
        <v>1</v>
      </c>
      <c r="P1308">
        <v>442.52</v>
      </c>
      <c r="Q1308">
        <v>442.52</v>
      </c>
    </row>
    <row r="1309" spans="7:17" x14ac:dyDescent="0.25">
      <c r="G1309" t="str">
        <f t="shared" si="20"/>
        <v/>
      </c>
      <c r="H1309" t="s">
        <v>46</v>
      </c>
      <c r="I1309" t="s">
        <v>11</v>
      </c>
      <c r="J1309" t="s">
        <v>5</v>
      </c>
      <c r="K1309" t="s">
        <v>34</v>
      </c>
      <c r="L1309" t="s">
        <v>39</v>
      </c>
      <c r="M1309" t="s">
        <v>20</v>
      </c>
      <c r="N1309">
        <v>1</v>
      </c>
      <c r="O1309">
        <v>1</v>
      </c>
      <c r="P1309">
        <v>840.59</v>
      </c>
      <c r="Q1309">
        <v>0</v>
      </c>
    </row>
    <row r="1310" spans="7:17" x14ac:dyDescent="0.25">
      <c r="G1310" t="str">
        <f t="shared" si="20"/>
        <v/>
      </c>
      <c r="H1310" t="s">
        <v>46</v>
      </c>
      <c r="I1310" t="s">
        <v>11</v>
      </c>
      <c r="J1310" t="s">
        <v>5</v>
      </c>
      <c r="K1310" t="s">
        <v>34</v>
      </c>
      <c r="L1310" t="s">
        <v>40</v>
      </c>
      <c r="M1310" t="s">
        <v>20</v>
      </c>
      <c r="N1310">
        <v>2</v>
      </c>
      <c r="O1310">
        <v>0</v>
      </c>
      <c r="P1310">
        <v>694.93000000000006</v>
      </c>
      <c r="Q1310">
        <v>0</v>
      </c>
    </row>
    <row r="1311" spans="7:17" x14ac:dyDescent="0.25">
      <c r="G1311" t="str">
        <f t="shared" si="20"/>
        <v/>
      </c>
      <c r="H1311" t="s">
        <v>46</v>
      </c>
      <c r="I1311" t="s">
        <v>11</v>
      </c>
      <c r="J1311" t="s">
        <v>5</v>
      </c>
      <c r="K1311" t="s">
        <v>34</v>
      </c>
      <c r="L1311" t="s">
        <v>41</v>
      </c>
      <c r="M1311" t="s">
        <v>20</v>
      </c>
      <c r="N1311">
        <v>2</v>
      </c>
      <c r="O1311">
        <v>1</v>
      </c>
      <c r="P1311">
        <v>252.15</v>
      </c>
      <c r="Q1311">
        <v>0</v>
      </c>
    </row>
    <row r="1312" spans="7:17" x14ac:dyDescent="0.25">
      <c r="G1312" t="str">
        <f t="shared" si="20"/>
        <v/>
      </c>
      <c r="H1312" t="s">
        <v>46</v>
      </c>
      <c r="I1312" t="s">
        <v>11</v>
      </c>
      <c r="J1312" t="s">
        <v>5</v>
      </c>
      <c r="K1312" t="s">
        <v>34</v>
      </c>
      <c r="L1312" t="s">
        <v>45</v>
      </c>
      <c r="M1312" t="s">
        <v>20</v>
      </c>
      <c r="N1312">
        <v>7</v>
      </c>
      <c r="O1312">
        <v>5</v>
      </c>
      <c r="P1312">
        <v>2146.23</v>
      </c>
      <c r="Q1312">
        <v>0</v>
      </c>
    </row>
    <row r="1313" spans="7:17" x14ac:dyDescent="0.25">
      <c r="G1313" t="str">
        <f t="shared" si="20"/>
        <v/>
      </c>
      <c r="H1313" t="s">
        <v>46</v>
      </c>
      <c r="I1313" t="s">
        <v>11</v>
      </c>
      <c r="J1313" t="s">
        <v>5</v>
      </c>
      <c r="K1313" t="s">
        <v>35</v>
      </c>
      <c r="L1313" t="s">
        <v>42</v>
      </c>
      <c r="M1313" t="s">
        <v>19</v>
      </c>
      <c r="N1313">
        <v>243</v>
      </c>
      <c r="O1313">
        <v>8</v>
      </c>
      <c r="P1313">
        <v>51837.640000000029</v>
      </c>
      <c r="Q1313">
        <v>51824.670000000027</v>
      </c>
    </row>
    <row r="1314" spans="7:17" x14ac:dyDescent="0.25">
      <c r="G1314" t="str">
        <f t="shared" si="20"/>
        <v/>
      </c>
      <c r="H1314" t="s">
        <v>46</v>
      </c>
      <c r="I1314" t="s">
        <v>11</v>
      </c>
      <c r="J1314" t="s">
        <v>5</v>
      </c>
      <c r="K1314" t="s">
        <v>35</v>
      </c>
      <c r="L1314" t="s">
        <v>42</v>
      </c>
      <c r="M1314" t="s">
        <v>20</v>
      </c>
      <c r="N1314">
        <v>36</v>
      </c>
      <c r="O1314">
        <v>5</v>
      </c>
      <c r="P1314">
        <v>6413.8799999999974</v>
      </c>
      <c r="Q1314">
        <v>0</v>
      </c>
    </row>
    <row r="1315" spans="7:17" x14ac:dyDescent="0.25">
      <c r="G1315" t="str">
        <f t="shared" si="20"/>
        <v/>
      </c>
      <c r="H1315" t="s">
        <v>46</v>
      </c>
      <c r="I1315" t="s">
        <v>11</v>
      </c>
      <c r="J1315" t="s">
        <v>5</v>
      </c>
      <c r="K1315" t="s">
        <v>35</v>
      </c>
      <c r="L1315" t="s">
        <v>43</v>
      </c>
      <c r="M1315" t="s">
        <v>19</v>
      </c>
      <c r="N1315">
        <v>213</v>
      </c>
      <c r="O1315">
        <v>8</v>
      </c>
      <c r="P1315">
        <v>116573.06999999995</v>
      </c>
      <c r="Q1315">
        <v>66056.41</v>
      </c>
    </row>
    <row r="1316" spans="7:17" x14ac:dyDescent="0.25">
      <c r="G1316" t="str">
        <f t="shared" si="20"/>
        <v/>
      </c>
      <c r="H1316" t="s">
        <v>46</v>
      </c>
      <c r="I1316" t="s">
        <v>11</v>
      </c>
      <c r="J1316" t="s">
        <v>5</v>
      </c>
      <c r="K1316" t="s">
        <v>35</v>
      </c>
      <c r="L1316" t="s">
        <v>43</v>
      </c>
      <c r="M1316" t="s">
        <v>20</v>
      </c>
      <c r="N1316">
        <v>40</v>
      </c>
      <c r="O1316">
        <v>4</v>
      </c>
      <c r="P1316">
        <v>61261.060000000005</v>
      </c>
      <c r="Q1316">
        <v>0</v>
      </c>
    </row>
    <row r="1317" spans="7:17" x14ac:dyDescent="0.25">
      <c r="G1317" t="str">
        <f t="shared" si="20"/>
        <v/>
      </c>
      <c r="H1317" t="s">
        <v>46</v>
      </c>
      <c r="I1317" t="s">
        <v>11</v>
      </c>
      <c r="J1317" t="s">
        <v>5</v>
      </c>
      <c r="K1317" t="s">
        <v>35</v>
      </c>
      <c r="L1317" t="s">
        <v>44</v>
      </c>
      <c r="M1317" t="s">
        <v>19</v>
      </c>
      <c r="N1317">
        <v>43</v>
      </c>
      <c r="O1317">
        <v>7</v>
      </c>
      <c r="P1317">
        <v>41865.409999999996</v>
      </c>
      <c r="Q1317">
        <v>26968.810000000009</v>
      </c>
    </row>
    <row r="1318" spans="7:17" x14ac:dyDescent="0.25">
      <c r="G1318" t="str">
        <f t="shared" si="20"/>
        <v/>
      </c>
      <c r="H1318" t="s">
        <v>46</v>
      </c>
      <c r="I1318" t="s">
        <v>11</v>
      </c>
      <c r="J1318" t="s">
        <v>5</v>
      </c>
      <c r="K1318" t="s">
        <v>35</v>
      </c>
      <c r="L1318" t="s">
        <v>44</v>
      </c>
      <c r="M1318" t="s">
        <v>20</v>
      </c>
      <c r="N1318">
        <v>30</v>
      </c>
      <c r="O1318">
        <v>3</v>
      </c>
      <c r="P1318">
        <v>16654.720000000005</v>
      </c>
      <c r="Q1318">
        <v>0</v>
      </c>
    </row>
    <row r="1319" spans="7:17" x14ac:dyDescent="0.25">
      <c r="G1319" t="str">
        <f t="shared" si="20"/>
        <v/>
      </c>
      <c r="H1319" t="s">
        <v>46</v>
      </c>
      <c r="I1319" t="s">
        <v>11</v>
      </c>
      <c r="J1319" t="s">
        <v>5</v>
      </c>
      <c r="K1319" t="s">
        <v>35</v>
      </c>
      <c r="L1319" t="s">
        <v>39</v>
      </c>
      <c r="M1319" t="s">
        <v>19</v>
      </c>
      <c r="N1319">
        <v>3</v>
      </c>
      <c r="O1319">
        <v>2</v>
      </c>
      <c r="P1319">
        <v>3847.22</v>
      </c>
      <c r="Q1319">
        <v>1723.73</v>
      </c>
    </row>
    <row r="1320" spans="7:17" x14ac:dyDescent="0.25">
      <c r="G1320" t="str">
        <f t="shared" si="20"/>
        <v/>
      </c>
      <c r="H1320" t="s">
        <v>46</v>
      </c>
      <c r="I1320" t="s">
        <v>11</v>
      </c>
      <c r="J1320" t="s">
        <v>5</v>
      </c>
      <c r="K1320" t="s">
        <v>35</v>
      </c>
      <c r="L1320" t="s">
        <v>39</v>
      </c>
      <c r="M1320" t="s">
        <v>20</v>
      </c>
      <c r="N1320">
        <v>11</v>
      </c>
      <c r="O1320">
        <v>4</v>
      </c>
      <c r="P1320">
        <v>5728.07</v>
      </c>
      <c r="Q1320">
        <v>0</v>
      </c>
    </row>
    <row r="1321" spans="7:17" x14ac:dyDescent="0.25">
      <c r="G1321" t="str">
        <f t="shared" si="20"/>
        <v/>
      </c>
      <c r="H1321" t="s">
        <v>46</v>
      </c>
      <c r="I1321" t="s">
        <v>11</v>
      </c>
      <c r="J1321" t="s">
        <v>5</v>
      </c>
      <c r="K1321" t="s">
        <v>35</v>
      </c>
      <c r="L1321" t="s">
        <v>45</v>
      </c>
      <c r="M1321" t="s">
        <v>20</v>
      </c>
      <c r="N1321">
        <v>9</v>
      </c>
      <c r="O1321">
        <v>4</v>
      </c>
      <c r="P1321">
        <v>6489.6699999999992</v>
      </c>
      <c r="Q1321">
        <v>0</v>
      </c>
    </row>
    <row r="1322" spans="7:17" x14ac:dyDescent="0.25">
      <c r="G1322" t="str">
        <f t="shared" si="20"/>
        <v/>
      </c>
      <c r="H1322" t="s">
        <v>46</v>
      </c>
      <c r="I1322" t="s">
        <v>11</v>
      </c>
      <c r="J1322" t="s">
        <v>5</v>
      </c>
      <c r="K1322" t="s">
        <v>36</v>
      </c>
      <c r="L1322" t="s">
        <v>42</v>
      </c>
      <c r="M1322" t="s">
        <v>19</v>
      </c>
      <c r="N1322">
        <v>415</v>
      </c>
      <c r="O1322">
        <v>22</v>
      </c>
      <c r="P1322">
        <v>70547.560000000085</v>
      </c>
      <c r="Q1322">
        <v>70191.20000000007</v>
      </c>
    </row>
    <row r="1323" spans="7:17" x14ac:dyDescent="0.25">
      <c r="G1323" t="str">
        <f t="shared" si="20"/>
        <v/>
      </c>
      <c r="H1323" t="s">
        <v>46</v>
      </c>
      <c r="I1323" t="s">
        <v>11</v>
      </c>
      <c r="J1323" t="s">
        <v>5</v>
      </c>
      <c r="K1323" t="s">
        <v>36</v>
      </c>
      <c r="L1323" t="s">
        <v>42</v>
      </c>
      <c r="M1323" t="s">
        <v>20</v>
      </c>
      <c r="N1323">
        <v>50</v>
      </c>
      <c r="O1323">
        <v>6</v>
      </c>
      <c r="P1323">
        <v>3843.9800000000005</v>
      </c>
      <c r="Q1323">
        <v>0</v>
      </c>
    </row>
    <row r="1324" spans="7:17" x14ac:dyDescent="0.25">
      <c r="G1324" t="str">
        <f t="shared" si="20"/>
        <v/>
      </c>
      <c r="H1324" t="s">
        <v>46</v>
      </c>
      <c r="I1324" t="s">
        <v>11</v>
      </c>
      <c r="J1324" t="s">
        <v>5</v>
      </c>
      <c r="K1324" t="s">
        <v>36</v>
      </c>
      <c r="L1324" t="s">
        <v>43</v>
      </c>
      <c r="M1324" t="s">
        <v>19</v>
      </c>
      <c r="N1324">
        <v>96</v>
      </c>
      <c r="O1324">
        <v>9</v>
      </c>
      <c r="P1324">
        <v>82290.770000000019</v>
      </c>
      <c r="Q1324">
        <v>72508.719999999972</v>
      </c>
    </row>
    <row r="1325" spans="7:17" x14ac:dyDescent="0.25">
      <c r="G1325" t="str">
        <f t="shared" si="20"/>
        <v/>
      </c>
      <c r="H1325" t="s">
        <v>46</v>
      </c>
      <c r="I1325" t="s">
        <v>11</v>
      </c>
      <c r="J1325" t="s">
        <v>5</v>
      </c>
      <c r="K1325" t="s">
        <v>36</v>
      </c>
      <c r="L1325" t="s">
        <v>43</v>
      </c>
      <c r="M1325" t="s">
        <v>20</v>
      </c>
      <c r="N1325">
        <v>99</v>
      </c>
      <c r="O1325">
        <v>5</v>
      </c>
      <c r="P1325">
        <v>55315.299999999974</v>
      </c>
      <c r="Q1325">
        <v>0</v>
      </c>
    </row>
    <row r="1326" spans="7:17" x14ac:dyDescent="0.25">
      <c r="G1326" t="str">
        <f t="shared" si="20"/>
        <v/>
      </c>
      <c r="H1326" t="s">
        <v>46</v>
      </c>
      <c r="I1326" t="s">
        <v>11</v>
      </c>
      <c r="J1326" t="s">
        <v>5</v>
      </c>
      <c r="K1326" t="s">
        <v>36</v>
      </c>
      <c r="L1326" t="s">
        <v>44</v>
      </c>
      <c r="M1326" t="s">
        <v>19</v>
      </c>
      <c r="N1326">
        <v>15</v>
      </c>
      <c r="O1326">
        <v>4</v>
      </c>
      <c r="P1326">
        <v>11409.489999999996</v>
      </c>
      <c r="Q1326">
        <v>10162.409999999998</v>
      </c>
    </row>
    <row r="1327" spans="7:17" x14ac:dyDescent="0.25">
      <c r="G1327" t="str">
        <f t="shared" si="20"/>
        <v/>
      </c>
      <c r="H1327" t="s">
        <v>46</v>
      </c>
      <c r="I1327" t="s">
        <v>11</v>
      </c>
      <c r="J1327" t="s">
        <v>5</v>
      </c>
      <c r="K1327" t="s">
        <v>36</v>
      </c>
      <c r="L1327" t="s">
        <v>44</v>
      </c>
      <c r="M1327" t="s">
        <v>20</v>
      </c>
      <c r="N1327">
        <v>21</v>
      </c>
      <c r="O1327">
        <v>6</v>
      </c>
      <c r="P1327">
        <v>11709.069999999998</v>
      </c>
      <c r="Q1327">
        <v>0</v>
      </c>
    </row>
    <row r="1328" spans="7:17" x14ac:dyDescent="0.25">
      <c r="G1328" t="str">
        <f t="shared" si="20"/>
        <v/>
      </c>
      <c r="H1328" t="s">
        <v>46</v>
      </c>
      <c r="I1328" t="s">
        <v>11</v>
      </c>
      <c r="J1328" t="s">
        <v>5</v>
      </c>
      <c r="K1328" t="s">
        <v>36</v>
      </c>
      <c r="L1328" t="s">
        <v>39</v>
      </c>
      <c r="M1328" t="s">
        <v>19</v>
      </c>
      <c r="N1328">
        <v>8</v>
      </c>
      <c r="O1328">
        <v>5</v>
      </c>
      <c r="P1328">
        <v>15937.1</v>
      </c>
      <c r="Q1328">
        <v>15859.300000000001</v>
      </c>
    </row>
    <row r="1329" spans="7:17" x14ac:dyDescent="0.25">
      <c r="G1329" t="str">
        <f t="shared" si="20"/>
        <v/>
      </c>
      <c r="H1329" t="s">
        <v>46</v>
      </c>
      <c r="I1329" t="s">
        <v>11</v>
      </c>
      <c r="J1329" t="s">
        <v>5</v>
      </c>
      <c r="K1329" t="s">
        <v>36</v>
      </c>
      <c r="L1329" t="s">
        <v>39</v>
      </c>
      <c r="M1329" t="s">
        <v>20</v>
      </c>
      <c r="N1329">
        <v>14</v>
      </c>
      <c r="O1329">
        <v>3</v>
      </c>
      <c r="P1329">
        <v>4938.37</v>
      </c>
      <c r="Q1329">
        <v>0</v>
      </c>
    </row>
    <row r="1330" spans="7:17" x14ac:dyDescent="0.25">
      <c r="G1330" t="str">
        <f t="shared" si="20"/>
        <v/>
      </c>
      <c r="H1330" t="s">
        <v>46</v>
      </c>
      <c r="I1330" t="s">
        <v>11</v>
      </c>
      <c r="J1330" t="s">
        <v>5</v>
      </c>
      <c r="K1330" t="s">
        <v>36</v>
      </c>
      <c r="L1330" t="s">
        <v>40</v>
      </c>
      <c r="M1330" t="s">
        <v>19</v>
      </c>
      <c r="N1330">
        <v>1</v>
      </c>
      <c r="O1330">
        <v>0</v>
      </c>
      <c r="P1330">
        <v>1210.0899999999999</v>
      </c>
      <c r="Q1330">
        <v>5.44</v>
      </c>
    </row>
    <row r="1331" spans="7:17" x14ac:dyDescent="0.25">
      <c r="G1331" t="str">
        <f t="shared" si="20"/>
        <v/>
      </c>
      <c r="H1331" t="s">
        <v>46</v>
      </c>
      <c r="I1331" t="s">
        <v>11</v>
      </c>
      <c r="J1331" t="s">
        <v>5</v>
      </c>
      <c r="K1331" t="s">
        <v>36</v>
      </c>
      <c r="L1331" t="s">
        <v>40</v>
      </c>
      <c r="M1331" t="s">
        <v>20</v>
      </c>
      <c r="N1331">
        <v>1</v>
      </c>
      <c r="O1331">
        <v>0</v>
      </c>
      <c r="P1331">
        <v>499.94</v>
      </c>
      <c r="Q1331">
        <v>0</v>
      </c>
    </row>
    <row r="1332" spans="7:17" x14ac:dyDescent="0.25">
      <c r="G1332" t="str">
        <f t="shared" si="20"/>
        <v/>
      </c>
      <c r="H1332" t="s">
        <v>46</v>
      </c>
      <c r="I1332" t="s">
        <v>11</v>
      </c>
      <c r="J1332" t="s">
        <v>5</v>
      </c>
      <c r="K1332" t="s">
        <v>36</v>
      </c>
      <c r="L1332" t="s">
        <v>41</v>
      </c>
      <c r="M1332" t="s">
        <v>20</v>
      </c>
      <c r="N1332">
        <v>2</v>
      </c>
      <c r="O1332">
        <v>1</v>
      </c>
      <c r="P1332">
        <v>101.74</v>
      </c>
      <c r="Q1332">
        <v>0</v>
      </c>
    </row>
    <row r="1333" spans="7:17" x14ac:dyDescent="0.25">
      <c r="G1333" t="str">
        <f t="shared" si="20"/>
        <v/>
      </c>
      <c r="H1333" t="s">
        <v>46</v>
      </c>
      <c r="I1333" t="s">
        <v>11</v>
      </c>
      <c r="J1333" t="s">
        <v>5</v>
      </c>
      <c r="K1333" t="s">
        <v>36</v>
      </c>
      <c r="L1333" t="s">
        <v>45</v>
      </c>
      <c r="M1333" t="s">
        <v>19</v>
      </c>
      <c r="N1333">
        <v>1</v>
      </c>
      <c r="O1333">
        <v>0</v>
      </c>
      <c r="P1333">
        <v>295.79000000000002</v>
      </c>
      <c r="Q1333">
        <v>15.11</v>
      </c>
    </row>
    <row r="1334" spans="7:17" x14ac:dyDescent="0.25">
      <c r="G1334" t="str">
        <f t="shared" si="20"/>
        <v/>
      </c>
      <c r="H1334" t="s">
        <v>46</v>
      </c>
      <c r="I1334" t="s">
        <v>11</v>
      </c>
      <c r="J1334" t="s">
        <v>5</v>
      </c>
      <c r="K1334" t="s">
        <v>36</v>
      </c>
      <c r="L1334" t="s">
        <v>45</v>
      </c>
      <c r="M1334" t="s">
        <v>20</v>
      </c>
      <c r="N1334">
        <v>19</v>
      </c>
      <c r="O1334">
        <v>5</v>
      </c>
      <c r="P1334">
        <v>5377.1799999999994</v>
      </c>
      <c r="Q1334">
        <v>0</v>
      </c>
    </row>
    <row r="1335" spans="7:17" x14ac:dyDescent="0.25">
      <c r="G1335" t="str">
        <f t="shared" si="20"/>
        <v/>
      </c>
      <c r="H1335" t="s">
        <v>46</v>
      </c>
      <c r="I1335" t="s">
        <v>11</v>
      </c>
      <c r="J1335" t="s">
        <v>5</v>
      </c>
      <c r="K1335" t="s">
        <v>37</v>
      </c>
      <c r="L1335" t="s">
        <v>42</v>
      </c>
      <c r="M1335" t="s">
        <v>19</v>
      </c>
      <c r="N1335">
        <v>130</v>
      </c>
      <c r="O1335">
        <v>13</v>
      </c>
      <c r="P1335">
        <v>29195.429999999989</v>
      </c>
      <c r="Q1335">
        <v>29113.60999999999</v>
      </c>
    </row>
    <row r="1336" spans="7:17" x14ac:dyDescent="0.25">
      <c r="G1336" t="str">
        <f t="shared" si="20"/>
        <v/>
      </c>
      <c r="H1336" t="s">
        <v>46</v>
      </c>
      <c r="I1336" t="s">
        <v>11</v>
      </c>
      <c r="J1336" t="s">
        <v>5</v>
      </c>
      <c r="K1336" t="s">
        <v>37</v>
      </c>
      <c r="L1336" t="s">
        <v>42</v>
      </c>
      <c r="M1336" t="s">
        <v>20</v>
      </c>
      <c r="N1336">
        <v>32</v>
      </c>
      <c r="O1336">
        <v>3</v>
      </c>
      <c r="P1336">
        <v>3400.3400000000006</v>
      </c>
      <c r="Q1336">
        <v>0</v>
      </c>
    </row>
    <row r="1337" spans="7:17" x14ac:dyDescent="0.25">
      <c r="G1337" t="str">
        <f t="shared" si="20"/>
        <v/>
      </c>
      <c r="H1337" t="s">
        <v>46</v>
      </c>
      <c r="I1337" t="s">
        <v>11</v>
      </c>
      <c r="J1337" t="s">
        <v>5</v>
      </c>
      <c r="K1337" t="s">
        <v>37</v>
      </c>
      <c r="L1337" t="s">
        <v>43</v>
      </c>
      <c r="M1337" t="s">
        <v>19</v>
      </c>
      <c r="N1337">
        <v>51</v>
      </c>
      <c r="O1337">
        <v>13</v>
      </c>
      <c r="P1337">
        <v>26264.45</v>
      </c>
      <c r="Q1337">
        <v>24094.85</v>
      </c>
    </row>
    <row r="1338" spans="7:17" x14ac:dyDescent="0.25">
      <c r="G1338" t="str">
        <f t="shared" si="20"/>
        <v/>
      </c>
      <c r="H1338" t="s">
        <v>46</v>
      </c>
      <c r="I1338" t="s">
        <v>11</v>
      </c>
      <c r="J1338" t="s">
        <v>5</v>
      </c>
      <c r="K1338" t="s">
        <v>37</v>
      </c>
      <c r="L1338" t="s">
        <v>43</v>
      </c>
      <c r="M1338" t="s">
        <v>20</v>
      </c>
      <c r="N1338">
        <v>15</v>
      </c>
      <c r="O1338">
        <v>5</v>
      </c>
      <c r="P1338">
        <v>3838.58</v>
      </c>
      <c r="Q1338">
        <v>0</v>
      </c>
    </row>
    <row r="1339" spans="7:17" x14ac:dyDescent="0.25">
      <c r="G1339" t="str">
        <f t="shared" si="20"/>
        <v/>
      </c>
      <c r="H1339" t="s">
        <v>46</v>
      </c>
      <c r="I1339" t="s">
        <v>11</v>
      </c>
      <c r="J1339" t="s">
        <v>5</v>
      </c>
      <c r="K1339" t="s">
        <v>37</v>
      </c>
      <c r="L1339" t="s">
        <v>44</v>
      </c>
      <c r="M1339" t="s">
        <v>19</v>
      </c>
      <c r="N1339">
        <v>5</v>
      </c>
      <c r="O1339">
        <v>0</v>
      </c>
      <c r="P1339">
        <v>9322.81</v>
      </c>
      <c r="Q1339">
        <v>8468.1200000000008</v>
      </c>
    </row>
    <row r="1340" spans="7:17" x14ac:dyDescent="0.25">
      <c r="G1340" t="str">
        <f t="shared" si="20"/>
        <v/>
      </c>
      <c r="H1340" t="s">
        <v>46</v>
      </c>
      <c r="I1340" t="s">
        <v>11</v>
      </c>
      <c r="J1340" t="s">
        <v>5</v>
      </c>
      <c r="K1340" t="s">
        <v>37</v>
      </c>
      <c r="L1340" t="s">
        <v>44</v>
      </c>
      <c r="M1340" t="s">
        <v>20</v>
      </c>
      <c r="N1340">
        <v>17</v>
      </c>
      <c r="O1340">
        <v>6</v>
      </c>
      <c r="P1340">
        <v>15584.85</v>
      </c>
      <c r="Q1340">
        <v>0</v>
      </c>
    </row>
    <row r="1341" spans="7:17" x14ac:dyDescent="0.25">
      <c r="G1341" t="str">
        <f t="shared" si="20"/>
        <v/>
      </c>
      <c r="H1341" t="s">
        <v>46</v>
      </c>
      <c r="I1341" t="s">
        <v>11</v>
      </c>
      <c r="J1341" t="s">
        <v>5</v>
      </c>
      <c r="K1341" t="s">
        <v>37</v>
      </c>
      <c r="L1341" t="s">
        <v>39</v>
      </c>
      <c r="M1341" t="s">
        <v>19</v>
      </c>
      <c r="N1341">
        <v>2</v>
      </c>
      <c r="O1341">
        <v>2</v>
      </c>
      <c r="P1341">
        <v>3603.3</v>
      </c>
      <c r="Q1341">
        <v>3330</v>
      </c>
    </row>
    <row r="1342" spans="7:17" x14ac:dyDescent="0.25">
      <c r="G1342" t="str">
        <f t="shared" si="20"/>
        <v/>
      </c>
      <c r="H1342" t="s">
        <v>46</v>
      </c>
      <c r="I1342" t="s">
        <v>11</v>
      </c>
      <c r="J1342" t="s">
        <v>5</v>
      </c>
      <c r="K1342" t="s">
        <v>37</v>
      </c>
      <c r="L1342" t="s">
        <v>39</v>
      </c>
      <c r="M1342" t="s">
        <v>20</v>
      </c>
      <c r="N1342">
        <v>13</v>
      </c>
      <c r="O1342">
        <v>10</v>
      </c>
      <c r="P1342">
        <v>5693.4900000000007</v>
      </c>
      <c r="Q1342">
        <v>0</v>
      </c>
    </row>
    <row r="1343" spans="7:17" x14ac:dyDescent="0.25">
      <c r="G1343" t="str">
        <f t="shared" si="20"/>
        <v/>
      </c>
      <c r="H1343" t="s">
        <v>46</v>
      </c>
      <c r="I1343" t="s">
        <v>11</v>
      </c>
      <c r="J1343" t="s">
        <v>5</v>
      </c>
      <c r="K1343" t="s">
        <v>37</v>
      </c>
      <c r="L1343" t="s">
        <v>40</v>
      </c>
      <c r="M1343" t="s">
        <v>20</v>
      </c>
      <c r="N1343">
        <v>8</v>
      </c>
      <c r="O1343">
        <v>0</v>
      </c>
      <c r="P1343">
        <v>3461.63</v>
      </c>
      <c r="Q1343">
        <v>0</v>
      </c>
    </row>
    <row r="1344" spans="7:17" x14ac:dyDescent="0.25">
      <c r="G1344" t="str">
        <f t="shared" si="20"/>
        <v/>
      </c>
      <c r="H1344" t="s">
        <v>46</v>
      </c>
      <c r="I1344" t="s">
        <v>11</v>
      </c>
      <c r="J1344" t="s">
        <v>5</v>
      </c>
      <c r="K1344" t="s">
        <v>37</v>
      </c>
      <c r="L1344" t="s">
        <v>41</v>
      </c>
      <c r="M1344" t="s">
        <v>20</v>
      </c>
      <c r="N1344">
        <v>4</v>
      </c>
      <c r="O1344">
        <v>2</v>
      </c>
      <c r="P1344">
        <v>4414.43</v>
      </c>
      <c r="Q1344">
        <v>0</v>
      </c>
    </row>
    <row r="1345" spans="7:17" x14ac:dyDescent="0.25">
      <c r="G1345" t="str">
        <f t="shared" si="20"/>
        <v/>
      </c>
      <c r="H1345" t="s">
        <v>46</v>
      </c>
      <c r="I1345" t="s">
        <v>11</v>
      </c>
      <c r="J1345" t="s">
        <v>5</v>
      </c>
      <c r="K1345" t="s">
        <v>37</v>
      </c>
      <c r="L1345" t="s">
        <v>45</v>
      </c>
      <c r="M1345" t="s">
        <v>20</v>
      </c>
      <c r="N1345">
        <v>85</v>
      </c>
      <c r="O1345">
        <v>23</v>
      </c>
      <c r="P1345">
        <v>37471.799999999996</v>
      </c>
      <c r="Q1345">
        <v>0</v>
      </c>
    </row>
    <row r="1346" spans="7:17" x14ac:dyDescent="0.25">
      <c r="G1346" t="str">
        <f t="shared" ref="G1346:G1409" si="21">IF(G$1="Overall","Overall",IF(G$1=L1346,L1346,""))</f>
        <v/>
      </c>
      <c r="H1346" t="s">
        <v>46</v>
      </c>
      <c r="I1346" t="s">
        <v>11</v>
      </c>
      <c r="J1346" t="s">
        <v>5</v>
      </c>
      <c r="K1346" t="s">
        <v>38</v>
      </c>
      <c r="L1346" t="s">
        <v>42</v>
      </c>
      <c r="M1346" t="s">
        <v>19</v>
      </c>
      <c r="N1346">
        <v>218</v>
      </c>
      <c r="O1346">
        <v>4</v>
      </c>
      <c r="P1346">
        <v>58383.34</v>
      </c>
      <c r="Q1346">
        <v>58379.009999999987</v>
      </c>
    </row>
    <row r="1347" spans="7:17" x14ac:dyDescent="0.25">
      <c r="G1347" t="str">
        <f t="shared" si="21"/>
        <v/>
      </c>
      <c r="H1347" t="s">
        <v>46</v>
      </c>
      <c r="I1347" t="s">
        <v>11</v>
      </c>
      <c r="J1347" t="s">
        <v>5</v>
      </c>
      <c r="K1347" t="s">
        <v>38</v>
      </c>
      <c r="L1347" t="s">
        <v>42</v>
      </c>
      <c r="M1347" t="s">
        <v>20</v>
      </c>
      <c r="N1347">
        <v>161</v>
      </c>
      <c r="O1347">
        <v>1</v>
      </c>
      <c r="P1347">
        <v>5567.2399999999989</v>
      </c>
      <c r="Q1347">
        <v>0</v>
      </c>
    </row>
    <row r="1348" spans="7:17" x14ac:dyDescent="0.25">
      <c r="G1348" t="str">
        <f t="shared" si="21"/>
        <v/>
      </c>
      <c r="H1348" t="s">
        <v>46</v>
      </c>
      <c r="I1348" t="s">
        <v>11</v>
      </c>
      <c r="J1348" t="s">
        <v>5</v>
      </c>
      <c r="K1348" t="s">
        <v>38</v>
      </c>
      <c r="L1348" t="s">
        <v>43</v>
      </c>
      <c r="M1348" t="s">
        <v>19</v>
      </c>
      <c r="N1348">
        <v>20</v>
      </c>
      <c r="O1348">
        <v>3</v>
      </c>
      <c r="P1348">
        <v>9818.73</v>
      </c>
      <c r="Q1348">
        <v>9103.3399999999983</v>
      </c>
    </row>
    <row r="1349" spans="7:17" x14ac:dyDescent="0.25">
      <c r="G1349" t="str">
        <f t="shared" si="21"/>
        <v/>
      </c>
      <c r="H1349" t="s">
        <v>46</v>
      </c>
      <c r="I1349" t="s">
        <v>11</v>
      </c>
      <c r="J1349" t="s">
        <v>5</v>
      </c>
      <c r="K1349" t="s">
        <v>38</v>
      </c>
      <c r="L1349" t="s">
        <v>43</v>
      </c>
      <c r="M1349" t="s">
        <v>20</v>
      </c>
      <c r="N1349">
        <v>8</v>
      </c>
      <c r="O1349">
        <v>2</v>
      </c>
      <c r="P1349">
        <v>3359.43</v>
      </c>
      <c r="Q1349">
        <v>0</v>
      </c>
    </row>
    <row r="1350" spans="7:17" x14ac:dyDescent="0.25">
      <c r="G1350" t="str">
        <f t="shared" si="21"/>
        <v/>
      </c>
      <c r="H1350" t="s">
        <v>46</v>
      </c>
      <c r="I1350" t="s">
        <v>11</v>
      </c>
      <c r="J1350" t="s">
        <v>5</v>
      </c>
      <c r="K1350" t="s">
        <v>38</v>
      </c>
      <c r="L1350" t="s">
        <v>44</v>
      </c>
      <c r="M1350" t="s">
        <v>19</v>
      </c>
      <c r="N1350">
        <v>58</v>
      </c>
      <c r="O1350">
        <v>2</v>
      </c>
      <c r="P1350">
        <v>68848.880000000048</v>
      </c>
      <c r="Q1350">
        <v>37773.919999999998</v>
      </c>
    </row>
    <row r="1351" spans="7:17" x14ac:dyDescent="0.25">
      <c r="G1351" t="str">
        <f t="shared" si="21"/>
        <v/>
      </c>
      <c r="H1351" t="s">
        <v>46</v>
      </c>
      <c r="I1351" t="s">
        <v>11</v>
      </c>
      <c r="J1351" t="s">
        <v>5</v>
      </c>
      <c r="K1351" t="s">
        <v>38</v>
      </c>
      <c r="L1351" t="s">
        <v>44</v>
      </c>
      <c r="M1351" t="s">
        <v>20</v>
      </c>
      <c r="N1351">
        <v>11</v>
      </c>
      <c r="O1351">
        <v>3</v>
      </c>
      <c r="P1351">
        <v>11456.449999999999</v>
      </c>
      <c r="Q1351">
        <v>0</v>
      </c>
    </row>
    <row r="1352" spans="7:17" x14ac:dyDescent="0.25">
      <c r="G1352" t="str">
        <f t="shared" si="21"/>
        <v/>
      </c>
      <c r="H1352" t="s">
        <v>46</v>
      </c>
      <c r="I1352" t="s">
        <v>11</v>
      </c>
      <c r="J1352" t="s">
        <v>5</v>
      </c>
      <c r="K1352" t="s">
        <v>38</v>
      </c>
      <c r="L1352" t="s">
        <v>39</v>
      </c>
      <c r="M1352" t="s">
        <v>19</v>
      </c>
      <c r="N1352">
        <v>7</v>
      </c>
      <c r="O1352">
        <v>3</v>
      </c>
      <c r="P1352">
        <v>17114.23</v>
      </c>
      <c r="Q1352">
        <v>14992.36</v>
      </c>
    </row>
    <row r="1353" spans="7:17" x14ac:dyDescent="0.25">
      <c r="G1353" t="str">
        <f t="shared" si="21"/>
        <v/>
      </c>
      <c r="H1353" t="s">
        <v>46</v>
      </c>
      <c r="I1353" t="s">
        <v>11</v>
      </c>
      <c r="J1353" t="s">
        <v>5</v>
      </c>
      <c r="K1353" t="s">
        <v>38</v>
      </c>
      <c r="L1353" t="s">
        <v>39</v>
      </c>
      <c r="M1353" t="s">
        <v>20</v>
      </c>
      <c r="N1353">
        <v>4</v>
      </c>
      <c r="O1353">
        <v>2</v>
      </c>
      <c r="P1353">
        <v>784.9</v>
      </c>
      <c r="Q1353">
        <v>0</v>
      </c>
    </row>
    <row r="1354" spans="7:17" x14ac:dyDescent="0.25">
      <c r="G1354" t="str">
        <f t="shared" si="21"/>
        <v/>
      </c>
      <c r="H1354" t="s">
        <v>46</v>
      </c>
      <c r="I1354" t="s">
        <v>11</v>
      </c>
      <c r="J1354" t="s">
        <v>5</v>
      </c>
      <c r="K1354" t="s">
        <v>38</v>
      </c>
      <c r="L1354" t="s">
        <v>40</v>
      </c>
      <c r="M1354" t="s">
        <v>19</v>
      </c>
      <c r="N1354">
        <v>1</v>
      </c>
      <c r="O1354">
        <v>0</v>
      </c>
      <c r="P1354">
        <v>692.83</v>
      </c>
      <c r="Q1354">
        <v>692.83</v>
      </c>
    </row>
    <row r="1355" spans="7:17" x14ac:dyDescent="0.25">
      <c r="G1355" t="str">
        <f t="shared" si="21"/>
        <v/>
      </c>
      <c r="H1355" t="s">
        <v>46</v>
      </c>
      <c r="I1355" t="s">
        <v>11</v>
      </c>
      <c r="J1355" t="s">
        <v>5</v>
      </c>
      <c r="K1355" t="s">
        <v>38</v>
      </c>
      <c r="L1355" t="s">
        <v>40</v>
      </c>
      <c r="M1355" t="s">
        <v>20</v>
      </c>
      <c r="N1355">
        <v>11</v>
      </c>
      <c r="O1355">
        <v>1</v>
      </c>
      <c r="P1355">
        <v>4999.8099999999995</v>
      </c>
      <c r="Q1355">
        <v>0</v>
      </c>
    </row>
    <row r="1356" spans="7:17" x14ac:dyDescent="0.25">
      <c r="G1356" t="str">
        <f t="shared" si="21"/>
        <v/>
      </c>
      <c r="H1356" t="s">
        <v>46</v>
      </c>
      <c r="I1356" t="s">
        <v>11</v>
      </c>
      <c r="J1356" t="s">
        <v>5</v>
      </c>
      <c r="K1356" t="s">
        <v>38</v>
      </c>
      <c r="L1356" t="s">
        <v>41</v>
      </c>
      <c r="M1356" t="s">
        <v>20</v>
      </c>
      <c r="N1356">
        <v>1</v>
      </c>
      <c r="O1356">
        <v>1</v>
      </c>
      <c r="P1356">
        <v>0.02</v>
      </c>
      <c r="Q1356">
        <v>0</v>
      </c>
    </row>
    <row r="1357" spans="7:17" x14ac:dyDescent="0.25">
      <c r="G1357" t="str">
        <f t="shared" si="21"/>
        <v/>
      </c>
      <c r="H1357" t="s">
        <v>46</v>
      </c>
      <c r="I1357" t="s">
        <v>11</v>
      </c>
      <c r="J1357" t="s">
        <v>5</v>
      </c>
      <c r="K1357" t="s">
        <v>38</v>
      </c>
      <c r="L1357" t="s">
        <v>45</v>
      </c>
      <c r="M1357" t="s">
        <v>20</v>
      </c>
      <c r="N1357">
        <v>10</v>
      </c>
      <c r="O1357">
        <v>1</v>
      </c>
      <c r="P1357">
        <v>1850.58</v>
      </c>
      <c r="Q1357">
        <v>0</v>
      </c>
    </row>
    <row r="1358" spans="7:17" x14ac:dyDescent="0.25">
      <c r="G1358" t="str">
        <f t="shared" si="21"/>
        <v/>
      </c>
      <c r="H1358" t="s">
        <v>46</v>
      </c>
      <c r="I1358" t="s">
        <v>11</v>
      </c>
      <c r="J1358" t="s">
        <v>7</v>
      </c>
      <c r="K1358" t="s">
        <v>23</v>
      </c>
      <c r="L1358" t="s">
        <v>42</v>
      </c>
      <c r="M1358" t="s">
        <v>19</v>
      </c>
      <c r="N1358">
        <v>224</v>
      </c>
      <c r="O1358">
        <v>19</v>
      </c>
      <c r="P1358">
        <v>54401.829999999987</v>
      </c>
      <c r="Q1358">
        <v>54096.829999999987</v>
      </c>
    </row>
    <row r="1359" spans="7:17" x14ac:dyDescent="0.25">
      <c r="G1359" t="str">
        <f t="shared" si="21"/>
        <v/>
      </c>
      <c r="H1359" t="s">
        <v>46</v>
      </c>
      <c r="I1359" t="s">
        <v>11</v>
      </c>
      <c r="J1359" t="s">
        <v>7</v>
      </c>
      <c r="K1359" t="s">
        <v>23</v>
      </c>
      <c r="L1359" t="s">
        <v>42</v>
      </c>
      <c r="M1359" t="s">
        <v>20</v>
      </c>
      <c r="N1359">
        <v>177</v>
      </c>
      <c r="O1359">
        <v>2</v>
      </c>
      <c r="P1359">
        <v>62183.369999999908</v>
      </c>
      <c r="Q1359">
        <v>0</v>
      </c>
    </row>
    <row r="1360" spans="7:17" x14ac:dyDescent="0.25">
      <c r="G1360" t="str">
        <f t="shared" si="21"/>
        <v/>
      </c>
      <c r="H1360" t="s">
        <v>46</v>
      </c>
      <c r="I1360" t="s">
        <v>11</v>
      </c>
      <c r="J1360" t="s">
        <v>7</v>
      </c>
      <c r="K1360" t="s">
        <v>23</v>
      </c>
      <c r="L1360" t="s">
        <v>43</v>
      </c>
      <c r="M1360" t="s">
        <v>19</v>
      </c>
      <c r="N1360">
        <v>65</v>
      </c>
      <c r="O1360">
        <v>7</v>
      </c>
      <c r="P1360">
        <v>46138.470000000008</v>
      </c>
      <c r="Q1360">
        <v>45329.840000000004</v>
      </c>
    </row>
    <row r="1361" spans="7:17" x14ac:dyDescent="0.25">
      <c r="G1361" t="str">
        <f t="shared" si="21"/>
        <v/>
      </c>
      <c r="H1361" t="s">
        <v>46</v>
      </c>
      <c r="I1361" t="s">
        <v>11</v>
      </c>
      <c r="J1361" t="s">
        <v>7</v>
      </c>
      <c r="K1361" t="s">
        <v>23</v>
      </c>
      <c r="L1361" t="s">
        <v>43</v>
      </c>
      <c r="M1361" t="s">
        <v>20</v>
      </c>
      <c r="N1361">
        <v>15</v>
      </c>
      <c r="O1361">
        <v>2</v>
      </c>
      <c r="P1361">
        <v>5831.93</v>
      </c>
      <c r="Q1361">
        <v>0</v>
      </c>
    </row>
    <row r="1362" spans="7:17" x14ac:dyDescent="0.25">
      <c r="G1362" t="str">
        <f t="shared" si="21"/>
        <v/>
      </c>
      <c r="H1362" t="s">
        <v>46</v>
      </c>
      <c r="I1362" t="s">
        <v>11</v>
      </c>
      <c r="J1362" t="s">
        <v>7</v>
      </c>
      <c r="K1362" t="s">
        <v>23</v>
      </c>
      <c r="L1362" t="s">
        <v>44</v>
      </c>
      <c r="M1362" t="s">
        <v>19</v>
      </c>
      <c r="N1362">
        <v>123</v>
      </c>
      <c r="O1362">
        <v>4</v>
      </c>
      <c r="P1362">
        <v>30743.380000000016</v>
      </c>
      <c r="Q1362">
        <v>19569.060000000019</v>
      </c>
    </row>
    <row r="1363" spans="7:17" x14ac:dyDescent="0.25">
      <c r="G1363" t="str">
        <f t="shared" si="21"/>
        <v/>
      </c>
      <c r="H1363" t="s">
        <v>46</v>
      </c>
      <c r="I1363" t="s">
        <v>11</v>
      </c>
      <c r="J1363" t="s">
        <v>7</v>
      </c>
      <c r="K1363" t="s">
        <v>23</v>
      </c>
      <c r="L1363" t="s">
        <v>44</v>
      </c>
      <c r="M1363" t="s">
        <v>20</v>
      </c>
      <c r="N1363">
        <v>15</v>
      </c>
      <c r="O1363">
        <v>2</v>
      </c>
      <c r="P1363">
        <v>7721.630000000001</v>
      </c>
      <c r="Q1363">
        <v>0</v>
      </c>
    </row>
    <row r="1364" spans="7:17" x14ac:dyDescent="0.25">
      <c r="G1364" t="str">
        <f t="shared" si="21"/>
        <v/>
      </c>
      <c r="H1364" t="s">
        <v>46</v>
      </c>
      <c r="I1364" t="s">
        <v>11</v>
      </c>
      <c r="J1364" t="s">
        <v>7</v>
      </c>
      <c r="K1364" t="s">
        <v>23</v>
      </c>
      <c r="L1364" t="s">
        <v>39</v>
      </c>
      <c r="M1364" t="s">
        <v>19</v>
      </c>
      <c r="N1364">
        <v>18</v>
      </c>
      <c r="O1364">
        <v>2</v>
      </c>
      <c r="P1364">
        <v>12670.260000000004</v>
      </c>
      <c r="Q1364">
        <v>11259.070000000003</v>
      </c>
    </row>
    <row r="1365" spans="7:17" x14ac:dyDescent="0.25">
      <c r="G1365" t="str">
        <f t="shared" si="21"/>
        <v/>
      </c>
      <c r="H1365" t="s">
        <v>46</v>
      </c>
      <c r="I1365" t="s">
        <v>11</v>
      </c>
      <c r="J1365" t="s">
        <v>7</v>
      </c>
      <c r="K1365" t="s">
        <v>23</v>
      </c>
      <c r="L1365" t="s">
        <v>39</v>
      </c>
      <c r="M1365" t="s">
        <v>20</v>
      </c>
      <c r="N1365">
        <v>5</v>
      </c>
      <c r="O1365">
        <v>3</v>
      </c>
      <c r="P1365">
        <v>3154.04</v>
      </c>
      <c r="Q1365">
        <v>0</v>
      </c>
    </row>
    <row r="1366" spans="7:17" x14ac:dyDescent="0.25">
      <c r="G1366" t="str">
        <f t="shared" si="21"/>
        <v/>
      </c>
      <c r="H1366" t="s">
        <v>46</v>
      </c>
      <c r="I1366" t="s">
        <v>11</v>
      </c>
      <c r="J1366" t="s">
        <v>7</v>
      </c>
      <c r="K1366" t="s">
        <v>23</v>
      </c>
      <c r="L1366" t="s">
        <v>40</v>
      </c>
      <c r="M1366" t="s">
        <v>19</v>
      </c>
      <c r="N1366">
        <v>7</v>
      </c>
      <c r="O1366">
        <v>0</v>
      </c>
      <c r="P1366">
        <v>6162.59</v>
      </c>
      <c r="Q1366">
        <v>3193.33</v>
      </c>
    </row>
    <row r="1367" spans="7:17" x14ac:dyDescent="0.25">
      <c r="G1367" t="str">
        <f t="shared" si="21"/>
        <v/>
      </c>
      <c r="H1367" t="s">
        <v>46</v>
      </c>
      <c r="I1367" t="s">
        <v>11</v>
      </c>
      <c r="J1367" t="s">
        <v>7</v>
      </c>
      <c r="K1367" t="s">
        <v>23</v>
      </c>
      <c r="L1367" t="s">
        <v>40</v>
      </c>
      <c r="M1367" t="s">
        <v>20</v>
      </c>
      <c r="N1367">
        <v>5</v>
      </c>
      <c r="O1367">
        <v>2</v>
      </c>
      <c r="P1367">
        <v>3241.32</v>
      </c>
      <c r="Q1367">
        <v>0</v>
      </c>
    </row>
    <row r="1368" spans="7:17" x14ac:dyDescent="0.25">
      <c r="G1368" t="str">
        <f t="shared" si="21"/>
        <v/>
      </c>
      <c r="H1368" t="s">
        <v>46</v>
      </c>
      <c r="I1368" t="s">
        <v>11</v>
      </c>
      <c r="J1368" t="s">
        <v>7</v>
      </c>
      <c r="K1368" t="s">
        <v>23</v>
      </c>
      <c r="L1368" t="s">
        <v>41</v>
      </c>
      <c r="M1368" t="s">
        <v>19</v>
      </c>
      <c r="N1368">
        <v>3</v>
      </c>
      <c r="O1368">
        <v>1</v>
      </c>
      <c r="P1368">
        <v>4036.0999999999995</v>
      </c>
      <c r="Q1368">
        <v>943.1099999999999</v>
      </c>
    </row>
    <row r="1369" spans="7:17" x14ac:dyDescent="0.25">
      <c r="G1369" t="str">
        <f t="shared" si="21"/>
        <v/>
      </c>
      <c r="H1369" t="s">
        <v>46</v>
      </c>
      <c r="I1369" t="s">
        <v>11</v>
      </c>
      <c r="J1369" t="s">
        <v>7</v>
      </c>
      <c r="K1369" t="s">
        <v>23</v>
      </c>
      <c r="L1369" t="s">
        <v>41</v>
      </c>
      <c r="M1369" t="s">
        <v>20</v>
      </c>
      <c r="N1369">
        <v>1</v>
      </c>
      <c r="O1369">
        <v>1</v>
      </c>
      <c r="P1369">
        <v>495.88</v>
      </c>
      <c r="Q1369">
        <v>0</v>
      </c>
    </row>
    <row r="1370" spans="7:17" x14ac:dyDescent="0.25">
      <c r="G1370" t="str">
        <f t="shared" si="21"/>
        <v/>
      </c>
      <c r="H1370" t="s">
        <v>46</v>
      </c>
      <c r="I1370" t="s">
        <v>11</v>
      </c>
      <c r="J1370" t="s">
        <v>7</v>
      </c>
      <c r="K1370" t="s">
        <v>23</v>
      </c>
      <c r="L1370" t="s">
        <v>45</v>
      </c>
      <c r="M1370" t="s">
        <v>19</v>
      </c>
      <c r="N1370">
        <v>1</v>
      </c>
      <c r="O1370">
        <v>0</v>
      </c>
      <c r="P1370">
        <v>1716.59</v>
      </c>
      <c r="Q1370">
        <v>1716.59</v>
      </c>
    </row>
    <row r="1371" spans="7:17" x14ac:dyDescent="0.25">
      <c r="G1371" t="str">
        <f t="shared" si="21"/>
        <v/>
      </c>
      <c r="H1371" t="s">
        <v>46</v>
      </c>
      <c r="I1371" t="s">
        <v>11</v>
      </c>
      <c r="J1371" t="s">
        <v>7</v>
      </c>
      <c r="K1371" t="s">
        <v>23</v>
      </c>
      <c r="L1371" t="s">
        <v>45</v>
      </c>
      <c r="M1371" t="s">
        <v>20</v>
      </c>
      <c r="N1371">
        <v>89</v>
      </c>
      <c r="O1371">
        <v>14</v>
      </c>
      <c r="P1371">
        <v>71055.639999999985</v>
      </c>
      <c r="Q1371">
        <v>0</v>
      </c>
    </row>
    <row r="1372" spans="7:17" x14ac:dyDescent="0.25">
      <c r="G1372" t="str">
        <f t="shared" si="21"/>
        <v/>
      </c>
      <c r="H1372" t="s">
        <v>46</v>
      </c>
      <c r="I1372" t="s">
        <v>11</v>
      </c>
      <c r="J1372" t="s">
        <v>7</v>
      </c>
      <c r="K1372" t="s">
        <v>24</v>
      </c>
      <c r="L1372" t="s">
        <v>42</v>
      </c>
      <c r="M1372" t="s">
        <v>19</v>
      </c>
      <c r="N1372">
        <v>100</v>
      </c>
      <c r="O1372">
        <v>1</v>
      </c>
      <c r="P1372">
        <v>43097.150000000009</v>
      </c>
      <c r="Q1372">
        <v>43094.69</v>
      </c>
    </row>
    <row r="1373" spans="7:17" x14ac:dyDescent="0.25">
      <c r="G1373" t="str">
        <f t="shared" si="21"/>
        <v/>
      </c>
      <c r="H1373" t="s">
        <v>46</v>
      </c>
      <c r="I1373" t="s">
        <v>11</v>
      </c>
      <c r="J1373" t="s">
        <v>7</v>
      </c>
      <c r="K1373" t="s">
        <v>24</v>
      </c>
      <c r="L1373" t="s">
        <v>42</v>
      </c>
      <c r="M1373" t="s">
        <v>20</v>
      </c>
      <c r="N1373">
        <v>29</v>
      </c>
      <c r="O1373">
        <v>1</v>
      </c>
      <c r="P1373">
        <v>11451.09</v>
      </c>
      <c r="Q1373">
        <v>0</v>
      </c>
    </row>
    <row r="1374" spans="7:17" x14ac:dyDescent="0.25">
      <c r="G1374" t="str">
        <f t="shared" si="21"/>
        <v/>
      </c>
      <c r="H1374" t="s">
        <v>46</v>
      </c>
      <c r="I1374" t="s">
        <v>11</v>
      </c>
      <c r="J1374" t="s">
        <v>7</v>
      </c>
      <c r="K1374" t="s">
        <v>24</v>
      </c>
      <c r="L1374" t="s">
        <v>43</v>
      </c>
      <c r="M1374" t="s">
        <v>19</v>
      </c>
      <c r="N1374">
        <v>42</v>
      </c>
      <c r="O1374">
        <v>2</v>
      </c>
      <c r="P1374">
        <v>36099.65</v>
      </c>
      <c r="Q1374">
        <v>35639.29</v>
      </c>
    </row>
    <row r="1375" spans="7:17" x14ac:dyDescent="0.25">
      <c r="G1375" t="str">
        <f t="shared" si="21"/>
        <v/>
      </c>
      <c r="H1375" t="s">
        <v>46</v>
      </c>
      <c r="I1375" t="s">
        <v>11</v>
      </c>
      <c r="J1375" t="s">
        <v>7</v>
      </c>
      <c r="K1375" t="s">
        <v>24</v>
      </c>
      <c r="L1375" t="s">
        <v>43</v>
      </c>
      <c r="M1375" t="s">
        <v>20</v>
      </c>
      <c r="N1375">
        <v>12</v>
      </c>
      <c r="O1375">
        <v>0</v>
      </c>
      <c r="P1375">
        <v>5356.68</v>
      </c>
      <c r="Q1375">
        <v>0</v>
      </c>
    </row>
    <row r="1376" spans="7:17" x14ac:dyDescent="0.25">
      <c r="G1376" t="str">
        <f t="shared" si="21"/>
        <v/>
      </c>
      <c r="H1376" t="s">
        <v>46</v>
      </c>
      <c r="I1376" t="s">
        <v>11</v>
      </c>
      <c r="J1376" t="s">
        <v>7</v>
      </c>
      <c r="K1376" t="s">
        <v>24</v>
      </c>
      <c r="L1376" t="s">
        <v>44</v>
      </c>
      <c r="M1376" t="s">
        <v>19</v>
      </c>
      <c r="N1376">
        <v>2425</v>
      </c>
      <c r="O1376">
        <v>4</v>
      </c>
      <c r="P1376">
        <v>272152.869999994</v>
      </c>
      <c r="Q1376">
        <v>147400.65000000224</v>
      </c>
    </row>
    <row r="1377" spans="7:17" x14ac:dyDescent="0.25">
      <c r="G1377" t="str">
        <f t="shared" si="21"/>
        <v/>
      </c>
      <c r="H1377" t="s">
        <v>46</v>
      </c>
      <c r="I1377" t="s">
        <v>11</v>
      </c>
      <c r="J1377" t="s">
        <v>7</v>
      </c>
      <c r="K1377" t="s">
        <v>24</v>
      </c>
      <c r="L1377" t="s">
        <v>44</v>
      </c>
      <c r="M1377" t="s">
        <v>20</v>
      </c>
      <c r="N1377">
        <v>35</v>
      </c>
      <c r="O1377">
        <v>2</v>
      </c>
      <c r="P1377">
        <v>42712.580000000009</v>
      </c>
      <c r="Q1377">
        <v>0</v>
      </c>
    </row>
    <row r="1378" spans="7:17" x14ac:dyDescent="0.25">
      <c r="G1378" t="str">
        <f t="shared" si="21"/>
        <v/>
      </c>
      <c r="H1378" t="s">
        <v>46</v>
      </c>
      <c r="I1378" t="s">
        <v>11</v>
      </c>
      <c r="J1378" t="s">
        <v>7</v>
      </c>
      <c r="K1378" t="s">
        <v>24</v>
      </c>
      <c r="L1378" t="s">
        <v>39</v>
      </c>
      <c r="M1378" t="s">
        <v>19</v>
      </c>
      <c r="N1378">
        <v>296</v>
      </c>
      <c r="O1378">
        <v>1</v>
      </c>
      <c r="P1378">
        <v>31866.110000000015</v>
      </c>
      <c r="Q1378">
        <v>19211.160000000011</v>
      </c>
    </row>
    <row r="1379" spans="7:17" x14ac:dyDescent="0.25">
      <c r="G1379" t="str">
        <f t="shared" si="21"/>
        <v/>
      </c>
      <c r="H1379" t="s">
        <v>46</v>
      </c>
      <c r="I1379" t="s">
        <v>11</v>
      </c>
      <c r="J1379" t="s">
        <v>7</v>
      </c>
      <c r="K1379" t="s">
        <v>24</v>
      </c>
      <c r="L1379" t="s">
        <v>39</v>
      </c>
      <c r="M1379" t="s">
        <v>20</v>
      </c>
      <c r="N1379">
        <v>2</v>
      </c>
      <c r="O1379">
        <v>1</v>
      </c>
      <c r="P1379">
        <v>1043.51</v>
      </c>
      <c r="Q1379">
        <v>0</v>
      </c>
    </row>
    <row r="1380" spans="7:17" x14ac:dyDescent="0.25">
      <c r="G1380" t="str">
        <f t="shared" si="21"/>
        <v/>
      </c>
      <c r="H1380" t="s">
        <v>46</v>
      </c>
      <c r="I1380" t="s">
        <v>11</v>
      </c>
      <c r="J1380" t="s">
        <v>7</v>
      </c>
      <c r="K1380" t="s">
        <v>24</v>
      </c>
      <c r="L1380" t="s">
        <v>40</v>
      </c>
      <c r="M1380" t="s">
        <v>20</v>
      </c>
      <c r="N1380">
        <v>1</v>
      </c>
      <c r="O1380">
        <v>1</v>
      </c>
      <c r="P1380">
        <v>627.79</v>
      </c>
      <c r="Q1380">
        <v>0</v>
      </c>
    </row>
    <row r="1381" spans="7:17" x14ac:dyDescent="0.25">
      <c r="G1381" t="str">
        <f t="shared" si="21"/>
        <v/>
      </c>
      <c r="H1381" t="s">
        <v>46</v>
      </c>
      <c r="I1381" t="s">
        <v>11</v>
      </c>
      <c r="J1381" t="s">
        <v>7</v>
      </c>
      <c r="K1381" t="s">
        <v>24</v>
      </c>
      <c r="L1381" t="s">
        <v>41</v>
      </c>
      <c r="M1381" t="s">
        <v>20</v>
      </c>
      <c r="N1381">
        <v>2</v>
      </c>
      <c r="O1381">
        <v>1</v>
      </c>
      <c r="P1381">
        <v>973.98</v>
      </c>
      <c r="Q1381">
        <v>0</v>
      </c>
    </row>
    <row r="1382" spans="7:17" x14ac:dyDescent="0.25">
      <c r="G1382" t="str">
        <f t="shared" si="21"/>
        <v/>
      </c>
      <c r="H1382" t="s">
        <v>46</v>
      </c>
      <c r="I1382" t="s">
        <v>11</v>
      </c>
      <c r="J1382" t="s">
        <v>7</v>
      </c>
      <c r="K1382" t="s">
        <v>24</v>
      </c>
      <c r="L1382" t="s">
        <v>45</v>
      </c>
      <c r="M1382" t="s">
        <v>20</v>
      </c>
      <c r="N1382">
        <v>9</v>
      </c>
      <c r="O1382">
        <v>2</v>
      </c>
      <c r="P1382">
        <v>9962.8499999999985</v>
      </c>
      <c r="Q1382">
        <v>0</v>
      </c>
    </row>
    <row r="1383" spans="7:17" x14ac:dyDescent="0.25">
      <c r="G1383" t="str">
        <f t="shared" si="21"/>
        <v/>
      </c>
      <c r="H1383" t="s">
        <v>46</v>
      </c>
      <c r="I1383" t="s">
        <v>11</v>
      </c>
      <c r="J1383" t="s">
        <v>7</v>
      </c>
      <c r="K1383" t="s">
        <v>25</v>
      </c>
      <c r="L1383" t="s">
        <v>42</v>
      </c>
      <c r="M1383" t="s">
        <v>19</v>
      </c>
      <c r="N1383">
        <v>395</v>
      </c>
      <c r="O1383">
        <v>17</v>
      </c>
      <c r="P1383">
        <v>86997.810000000041</v>
      </c>
      <c r="Q1383">
        <v>86665.33000000006</v>
      </c>
    </row>
    <row r="1384" spans="7:17" x14ac:dyDescent="0.25">
      <c r="G1384" t="str">
        <f t="shared" si="21"/>
        <v/>
      </c>
      <c r="H1384" t="s">
        <v>46</v>
      </c>
      <c r="I1384" t="s">
        <v>11</v>
      </c>
      <c r="J1384" t="s">
        <v>7</v>
      </c>
      <c r="K1384" t="s">
        <v>25</v>
      </c>
      <c r="L1384" t="s">
        <v>42</v>
      </c>
      <c r="M1384" t="s">
        <v>20</v>
      </c>
      <c r="N1384">
        <v>51</v>
      </c>
      <c r="O1384">
        <v>1</v>
      </c>
      <c r="P1384">
        <v>11786.18</v>
      </c>
      <c r="Q1384">
        <v>0</v>
      </c>
    </row>
    <row r="1385" spans="7:17" x14ac:dyDescent="0.25">
      <c r="G1385" t="str">
        <f t="shared" si="21"/>
        <v/>
      </c>
      <c r="H1385" t="s">
        <v>46</v>
      </c>
      <c r="I1385" t="s">
        <v>11</v>
      </c>
      <c r="J1385" t="s">
        <v>7</v>
      </c>
      <c r="K1385" t="s">
        <v>25</v>
      </c>
      <c r="L1385" t="s">
        <v>43</v>
      </c>
      <c r="M1385" t="s">
        <v>19</v>
      </c>
      <c r="N1385">
        <v>105</v>
      </c>
      <c r="O1385">
        <v>12</v>
      </c>
      <c r="P1385">
        <v>58654.249999999978</v>
      </c>
      <c r="Q1385">
        <v>56552.789999999979</v>
      </c>
    </row>
    <row r="1386" spans="7:17" x14ac:dyDescent="0.25">
      <c r="G1386" t="str">
        <f t="shared" si="21"/>
        <v/>
      </c>
      <c r="H1386" t="s">
        <v>46</v>
      </c>
      <c r="I1386" t="s">
        <v>11</v>
      </c>
      <c r="J1386" t="s">
        <v>7</v>
      </c>
      <c r="K1386" t="s">
        <v>25</v>
      </c>
      <c r="L1386" t="s">
        <v>43</v>
      </c>
      <c r="M1386" t="s">
        <v>20</v>
      </c>
      <c r="N1386">
        <v>33</v>
      </c>
      <c r="O1386">
        <v>3</v>
      </c>
      <c r="P1386">
        <v>23355.789999999997</v>
      </c>
      <c r="Q1386">
        <v>0</v>
      </c>
    </row>
    <row r="1387" spans="7:17" x14ac:dyDescent="0.25">
      <c r="G1387" t="str">
        <f t="shared" si="21"/>
        <v/>
      </c>
      <c r="H1387" t="s">
        <v>46</v>
      </c>
      <c r="I1387" t="s">
        <v>11</v>
      </c>
      <c r="J1387" t="s">
        <v>7</v>
      </c>
      <c r="K1387" t="s">
        <v>25</v>
      </c>
      <c r="L1387" t="s">
        <v>44</v>
      </c>
      <c r="M1387" t="s">
        <v>19</v>
      </c>
      <c r="N1387">
        <v>11</v>
      </c>
      <c r="O1387">
        <v>3</v>
      </c>
      <c r="P1387">
        <v>12445.43</v>
      </c>
      <c r="Q1387">
        <v>10139.439999999999</v>
      </c>
    </row>
    <row r="1388" spans="7:17" x14ac:dyDescent="0.25">
      <c r="G1388" t="str">
        <f t="shared" si="21"/>
        <v/>
      </c>
      <c r="H1388" t="s">
        <v>46</v>
      </c>
      <c r="I1388" t="s">
        <v>11</v>
      </c>
      <c r="J1388" t="s">
        <v>7</v>
      </c>
      <c r="K1388" t="s">
        <v>25</v>
      </c>
      <c r="L1388" t="s">
        <v>44</v>
      </c>
      <c r="M1388" t="s">
        <v>20</v>
      </c>
      <c r="N1388">
        <v>12</v>
      </c>
      <c r="O1388">
        <v>5</v>
      </c>
      <c r="P1388">
        <v>6971.5</v>
      </c>
      <c r="Q1388">
        <v>0</v>
      </c>
    </row>
    <row r="1389" spans="7:17" x14ac:dyDescent="0.25">
      <c r="G1389" t="str">
        <f t="shared" si="21"/>
        <v/>
      </c>
      <c r="H1389" t="s">
        <v>46</v>
      </c>
      <c r="I1389" t="s">
        <v>11</v>
      </c>
      <c r="J1389" t="s">
        <v>7</v>
      </c>
      <c r="K1389" t="s">
        <v>25</v>
      </c>
      <c r="L1389" t="s">
        <v>39</v>
      </c>
      <c r="M1389" t="s">
        <v>19</v>
      </c>
      <c r="N1389">
        <v>12</v>
      </c>
      <c r="O1389">
        <v>5</v>
      </c>
      <c r="P1389">
        <v>11537.38</v>
      </c>
      <c r="Q1389">
        <v>8277.7899999999991</v>
      </c>
    </row>
    <row r="1390" spans="7:17" x14ac:dyDescent="0.25">
      <c r="G1390" t="str">
        <f t="shared" si="21"/>
        <v/>
      </c>
      <c r="H1390" t="s">
        <v>46</v>
      </c>
      <c r="I1390" t="s">
        <v>11</v>
      </c>
      <c r="J1390" t="s">
        <v>7</v>
      </c>
      <c r="K1390" t="s">
        <v>25</v>
      </c>
      <c r="L1390" t="s">
        <v>39</v>
      </c>
      <c r="M1390" t="s">
        <v>20</v>
      </c>
      <c r="N1390">
        <v>8</v>
      </c>
      <c r="O1390">
        <v>5</v>
      </c>
      <c r="P1390">
        <v>3788.87</v>
      </c>
      <c r="Q1390">
        <v>0</v>
      </c>
    </row>
    <row r="1391" spans="7:17" x14ac:dyDescent="0.25">
      <c r="G1391" t="str">
        <f t="shared" si="21"/>
        <v/>
      </c>
      <c r="H1391" t="s">
        <v>46</v>
      </c>
      <c r="I1391" t="s">
        <v>11</v>
      </c>
      <c r="J1391" t="s">
        <v>7</v>
      </c>
      <c r="K1391" t="s">
        <v>25</v>
      </c>
      <c r="L1391" t="s">
        <v>40</v>
      </c>
      <c r="M1391" t="s">
        <v>19</v>
      </c>
      <c r="N1391">
        <v>3</v>
      </c>
      <c r="O1391">
        <v>0</v>
      </c>
      <c r="P1391">
        <v>1717.72</v>
      </c>
      <c r="Q1391">
        <v>1123.05</v>
      </c>
    </row>
    <row r="1392" spans="7:17" x14ac:dyDescent="0.25">
      <c r="G1392" t="str">
        <f t="shared" si="21"/>
        <v/>
      </c>
      <c r="H1392" t="s">
        <v>46</v>
      </c>
      <c r="I1392" t="s">
        <v>11</v>
      </c>
      <c r="J1392" t="s">
        <v>7</v>
      </c>
      <c r="K1392" t="s">
        <v>25</v>
      </c>
      <c r="L1392" t="s">
        <v>40</v>
      </c>
      <c r="M1392" t="s">
        <v>20</v>
      </c>
      <c r="N1392">
        <v>15</v>
      </c>
      <c r="O1392">
        <v>2</v>
      </c>
      <c r="P1392">
        <v>6527.65</v>
      </c>
      <c r="Q1392">
        <v>0</v>
      </c>
    </row>
    <row r="1393" spans="7:17" x14ac:dyDescent="0.25">
      <c r="G1393" t="str">
        <f t="shared" si="21"/>
        <v/>
      </c>
      <c r="H1393" t="s">
        <v>46</v>
      </c>
      <c r="I1393" t="s">
        <v>11</v>
      </c>
      <c r="J1393" t="s">
        <v>7</v>
      </c>
      <c r="K1393" t="s">
        <v>25</v>
      </c>
      <c r="L1393" t="s">
        <v>41</v>
      </c>
      <c r="M1393" t="s">
        <v>19</v>
      </c>
      <c r="N1393">
        <v>3</v>
      </c>
      <c r="O1393">
        <v>0</v>
      </c>
      <c r="P1393">
        <v>3559.06</v>
      </c>
      <c r="Q1393">
        <v>1014.4</v>
      </c>
    </row>
    <row r="1394" spans="7:17" x14ac:dyDescent="0.25">
      <c r="G1394" t="str">
        <f t="shared" si="21"/>
        <v/>
      </c>
      <c r="H1394" t="s">
        <v>46</v>
      </c>
      <c r="I1394" t="s">
        <v>11</v>
      </c>
      <c r="J1394" t="s">
        <v>7</v>
      </c>
      <c r="K1394" t="s">
        <v>25</v>
      </c>
      <c r="L1394" t="s">
        <v>41</v>
      </c>
      <c r="M1394" t="s">
        <v>20</v>
      </c>
      <c r="N1394">
        <v>6</v>
      </c>
      <c r="O1394">
        <v>2</v>
      </c>
      <c r="P1394">
        <v>3529.36</v>
      </c>
      <c r="Q1394">
        <v>0</v>
      </c>
    </row>
    <row r="1395" spans="7:17" x14ac:dyDescent="0.25">
      <c r="G1395" t="str">
        <f t="shared" si="21"/>
        <v/>
      </c>
      <c r="H1395" t="s">
        <v>46</v>
      </c>
      <c r="I1395" t="s">
        <v>11</v>
      </c>
      <c r="J1395" t="s">
        <v>7</v>
      </c>
      <c r="K1395" t="s">
        <v>25</v>
      </c>
      <c r="L1395" t="s">
        <v>45</v>
      </c>
      <c r="M1395" t="s">
        <v>20</v>
      </c>
      <c r="N1395">
        <v>89</v>
      </c>
      <c r="O1395">
        <v>20</v>
      </c>
      <c r="P1395">
        <v>120720.76999999999</v>
      </c>
      <c r="Q1395">
        <v>0</v>
      </c>
    </row>
    <row r="1396" spans="7:17" x14ac:dyDescent="0.25">
      <c r="G1396" t="str">
        <f t="shared" si="21"/>
        <v/>
      </c>
      <c r="H1396" t="s">
        <v>46</v>
      </c>
      <c r="I1396" t="s">
        <v>11</v>
      </c>
      <c r="J1396" t="s">
        <v>7</v>
      </c>
      <c r="K1396" t="s">
        <v>26</v>
      </c>
      <c r="L1396" t="s">
        <v>42</v>
      </c>
      <c r="M1396" t="s">
        <v>19</v>
      </c>
      <c r="N1396">
        <v>488</v>
      </c>
      <c r="O1396">
        <v>33</v>
      </c>
      <c r="P1396">
        <v>114483.55000000022</v>
      </c>
      <c r="Q1396">
        <v>114344.28000000026</v>
      </c>
    </row>
    <row r="1397" spans="7:17" x14ac:dyDescent="0.25">
      <c r="G1397" t="str">
        <f t="shared" si="21"/>
        <v/>
      </c>
      <c r="H1397" t="s">
        <v>46</v>
      </c>
      <c r="I1397" t="s">
        <v>11</v>
      </c>
      <c r="J1397" t="s">
        <v>7</v>
      </c>
      <c r="K1397" t="s">
        <v>26</v>
      </c>
      <c r="L1397" t="s">
        <v>42</v>
      </c>
      <c r="M1397" t="s">
        <v>20</v>
      </c>
      <c r="N1397">
        <v>89</v>
      </c>
      <c r="O1397">
        <v>18</v>
      </c>
      <c r="P1397">
        <v>14921.599999999999</v>
      </c>
      <c r="Q1397">
        <v>0</v>
      </c>
    </row>
    <row r="1398" spans="7:17" x14ac:dyDescent="0.25">
      <c r="G1398" t="str">
        <f t="shared" si="21"/>
        <v/>
      </c>
      <c r="H1398" t="s">
        <v>46</v>
      </c>
      <c r="I1398" t="s">
        <v>11</v>
      </c>
      <c r="J1398" t="s">
        <v>7</v>
      </c>
      <c r="K1398" t="s">
        <v>26</v>
      </c>
      <c r="L1398" t="s">
        <v>43</v>
      </c>
      <c r="M1398" t="s">
        <v>19</v>
      </c>
      <c r="N1398">
        <v>192</v>
      </c>
      <c r="O1398">
        <v>32</v>
      </c>
      <c r="P1398">
        <v>98382.599999999948</v>
      </c>
      <c r="Q1398">
        <v>94818.919999999955</v>
      </c>
    </row>
    <row r="1399" spans="7:17" x14ac:dyDescent="0.25">
      <c r="G1399" t="str">
        <f t="shared" si="21"/>
        <v/>
      </c>
      <c r="H1399" t="s">
        <v>46</v>
      </c>
      <c r="I1399" t="s">
        <v>11</v>
      </c>
      <c r="J1399" t="s">
        <v>7</v>
      </c>
      <c r="K1399" t="s">
        <v>26</v>
      </c>
      <c r="L1399" t="s">
        <v>43</v>
      </c>
      <c r="M1399" t="s">
        <v>20</v>
      </c>
      <c r="N1399">
        <v>48</v>
      </c>
      <c r="O1399">
        <v>12</v>
      </c>
      <c r="P1399">
        <v>23825.35</v>
      </c>
      <c r="Q1399">
        <v>0</v>
      </c>
    </row>
    <row r="1400" spans="7:17" x14ac:dyDescent="0.25">
      <c r="G1400" t="str">
        <f t="shared" si="21"/>
        <v/>
      </c>
      <c r="H1400" t="s">
        <v>46</v>
      </c>
      <c r="I1400" t="s">
        <v>11</v>
      </c>
      <c r="J1400" t="s">
        <v>7</v>
      </c>
      <c r="K1400" t="s">
        <v>26</v>
      </c>
      <c r="L1400" t="s">
        <v>44</v>
      </c>
      <c r="M1400" t="s">
        <v>19</v>
      </c>
      <c r="N1400">
        <v>25</v>
      </c>
      <c r="O1400">
        <v>12</v>
      </c>
      <c r="P1400">
        <v>25957.85</v>
      </c>
      <c r="Q1400">
        <v>24753.93</v>
      </c>
    </row>
    <row r="1401" spans="7:17" x14ac:dyDescent="0.25">
      <c r="G1401" t="str">
        <f t="shared" si="21"/>
        <v/>
      </c>
      <c r="H1401" t="s">
        <v>46</v>
      </c>
      <c r="I1401" t="s">
        <v>11</v>
      </c>
      <c r="J1401" t="s">
        <v>7</v>
      </c>
      <c r="K1401" t="s">
        <v>26</v>
      </c>
      <c r="L1401" t="s">
        <v>44</v>
      </c>
      <c r="M1401" t="s">
        <v>20</v>
      </c>
      <c r="N1401">
        <v>23</v>
      </c>
      <c r="O1401">
        <v>12</v>
      </c>
      <c r="P1401">
        <v>18943.27</v>
      </c>
      <c r="Q1401">
        <v>0</v>
      </c>
    </row>
    <row r="1402" spans="7:17" x14ac:dyDescent="0.25">
      <c r="G1402" t="str">
        <f t="shared" si="21"/>
        <v/>
      </c>
      <c r="H1402" t="s">
        <v>46</v>
      </c>
      <c r="I1402" t="s">
        <v>11</v>
      </c>
      <c r="J1402" t="s">
        <v>7</v>
      </c>
      <c r="K1402" t="s">
        <v>26</v>
      </c>
      <c r="L1402" t="s">
        <v>39</v>
      </c>
      <c r="M1402" t="s">
        <v>19</v>
      </c>
      <c r="N1402">
        <v>13</v>
      </c>
      <c r="O1402">
        <v>6</v>
      </c>
      <c r="P1402">
        <v>16226.73</v>
      </c>
      <c r="Q1402">
        <v>12223.710000000001</v>
      </c>
    </row>
    <row r="1403" spans="7:17" x14ac:dyDescent="0.25">
      <c r="G1403" t="str">
        <f t="shared" si="21"/>
        <v/>
      </c>
      <c r="H1403" t="s">
        <v>46</v>
      </c>
      <c r="I1403" t="s">
        <v>11</v>
      </c>
      <c r="J1403" t="s">
        <v>7</v>
      </c>
      <c r="K1403" t="s">
        <v>26</v>
      </c>
      <c r="L1403" t="s">
        <v>39</v>
      </c>
      <c r="M1403" t="s">
        <v>20</v>
      </c>
      <c r="N1403">
        <v>38</v>
      </c>
      <c r="O1403">
        <v>19</v>
      </c>
      <c r="P1403">
        <v>19240.780000000002</v>
      </c>
      <c r="Q1403">
        <v>0</v>
      </c>
    </row>
    <row r="1404" spans="7:17" x14ac:dyDescent="0.25">
      <c r="G1404" t="str">
        <f t="shared" si="21"/>
        <v/>
      </c>
      <c r="H1404" t="s">
        <v>46</v>
      </c>
      <c r="I1404" t="s">
        <v>11</v>
      </c>
      <c r="J1404" t="s">
        <v>7</v>
      </c>
      <c r="K1404" t="s">
        <v>26</v>
      </c>
      <c r="L1404" t="s">
        <v>40</v>
      </c>
      <c r="M1404" t="s">
        <v>19</v>
      </c>
      <c r="N1404">
        <v>1</v>
      </c>
      <c r="O1404">
        <v>1</v>
      </c>
      <c r="P1404">
        <v>3540.97</v>
      </c>
      <c r="Q1404">
        <v>3500</v>
      </c>
    </row>
    <row r="1405" spans="7:17" x14ac:dyDescent="0.25">
      <c r="G1405" t="str">
        <f t="shared" si="21"/>
        <v/>
      </c>
      <c r="H1405" t="s">
        <v>46</v>
      </c>
      <c r="I1405" t="s">
        <v>11</v>
      </c>
      <c r="J1405" t="s">
        <v>7</v>
      </c>
      <c r="K1405" t="s">
        <v>26</v>
      </c>
      <c r="L1405" t="s">
        <v>40</v>
      </c>
      <c r="M1405" t="s">
        <v>20</v>
      </c>
      <c r="N1405">
        <v>32</v>
      </c>
      <c r="O1405">
        <v>3</v>
      </c>
      <c r="P1405">
        <v>28357.510000000002</v>
      </c>
      <c r="Q1405">
        <v>0</v>
      </c>
    </row>
    <row r="1406" spans="7:17" x14ac:dyDescent="0.25">
      <c r="G1406" t="str">
        <f t="shared" si="21"/>
        <v/>
      </c>
      <c r="H1406" t="s">
        <v>46</v>
      </c>
      <c r="I1406" t="s">
        <v>11</v>
      </c>
      <c r="J1406" t="s">
        <v>7</v>
      </c>
      <c r="K1406" t="s">
        <v>26</v>
      </c>
      <c r="L1406" t="s">
        <v>41</v>
      </c>
      <c r="M1406" t="s">
        <v>19</v>
      </c>
      <c r="N1406">
        <v>3</v>
      </c>
      <c r="O1406">
        <v>2</v>
      </c>
      <c r="P1406">
        <v>2881.05</v>
      </c>
      <c r="Q1406">
        <v>2190.6999999999998</v>
      </c>
    </row>
    <row r="1407" spans="7:17" x14ac:dyDescent="0.25">
      <c r="G1407" t="str">
        <f t="shared" si="21"/>
        <v/>
      </c>
      <c r="H1407" t="s">
        <v>46</v>
      </c>
      <c r="I1407" t="s">
        <v>11</v>
      </c>
      <c r="J1407" t="s">
        <v>7</v>
      </c>
      <c r="K1407" t="s">
        <v>26</v>
      </c>
      <c r="L1407" t="s">
        <v>41</v>
      </c>
      <c r="M1407" t="s">
        <v>20</v>
      </c>
      <c r="N1407">
        <v>17</v>
      </c>
      <c r="O1407">
        <v>3</v>
      </c>
      <c r="P1407">
        <v>8858.86</v>
      </c>
      <c r="Q1407">
        <v>0</v>
      </c>
    </row>
    <row r="1408" spans="7:17" x14ac:dyDescent="0.25">
      <c r="G1408" t="str">
        <f t="shared" si="21"/>
        <v/>
      </c>
      <c r="H1408" t="s">
        <v>46</v>
      </c>
      <c r="I1408" t="s">
        <v>11</v>
      </c>
      <c r="J1408" t="s">
        <v>7</v>
      </c>
      <c r="K1408" t="s">
        <v>26</v>
      </c>
      <c r="L1408" t="s">
        <v>45</v>
      </c>
      <c r="M1408" t="s">
        <v>19</v>
      </c>
      <c r="N1408">
        <v>5</v>
      </c>
      <c r="O1408">
        <v>0</v>
      </c>
      <c r="P1408">
        <v>3538.98</v>
      </c>
      <c r="Q1408">
        <v>2198.58</v>
      </c>
    </row>
    <row r="1409" spans="7:17" x14ac:dyDescent="0.25">
      <c r="G1409" t="str">
        <f t="shared" si="21"/>
        <v/>
      </c>
      <c r="H1409" t="s">
        <v>46</v>
      </c>
      <c r="I1409" t="s">
        <v>11</v>
      </c>
      <c r="J1409" t="s">
        <v>7</v>
      </c>
      <c r="K1409" t="s">
        <v>26</v>
      </c>
      <c r="L1409" t="s">
        <v>45</v>
      </c>
      <c r="M1409" t="s">
        <v>20</v>
      </c>
      <c r="N1409">
        <v>151</v>
      </c>
      <c r="O1409">
        <v>36</v>
      </c>
      <c r="P1409">
        <v>95532.500000000015</v>
      </c>
      <c r="Q1409">
        <v>0</v>
      </c>
    </row>
    <row r="1410" spans="7:17" x14ac:dyDescent="0.25">
      <c r="G1410" t="str">
        <f t="shared" ref="G1410:G1473" si="22">IF(G$1="Overall","Overall",IF(G$1=L1410,L1410,""))</f>
        <v/>
      </c>
      <c r="H1410" t="s">
        <v>46</v>
      </c>
      <c r="I1410" t="s">
        <v>11</v>
      </c>
      <c r="J1410" t="s">
        <v>7</v>
      </c>
      <c r="K1410" t="s">
        <v>27</v>
      </c>
      <c r="L1410" t="s">
        <v>42</v>
      </c>
      <c r="M1410" t="s">
        <v>19</v>
      </c>
      <c r="N1410">
        <v>115</v>
      </c>
      <c r="O1410">
        <v>2</v>
      </c>
      <c r="P1410">
        <v>13233.240000000002</v>
      </c>
      <c r="Q1410">
        <v>13230.660000000002</v>
      </c>
    </row>
    <row r="1411" spans="7:17" x14ac:dyDescent="0.25">
      <c r="G1411" t="str">
        <f t="shared" si="22"/>
        <v/>
      </c>
      <c r="H1411" t="s">
        <v>46</v>
      </c>
      <c r="I1411" t="s">
        <v>11</v>
      </c>
      <c r="J1411" t="s">
        <v>7</v>
      </c>
      <c r="K1411" t="s">
        <v>27</v>
      </c>
      <c r="L1411" t="s">
        <v>42</v>
      </c>
      <c r="M1411" t="s">
        <v>20</v>
      </c>
      <c r="N1411">
        <v>1</v>
      </c>
      <c r="O1411">
        <v>0</v>
      </c>
      <c r="P1411">
        <v>87.92</v>
      </c>
      <c r="Q1411">
        <v>0</v>
      </c>
    </row>
    <row r="1412" spans="7:17" x14ac:dyDescent="0.25">
      <c r="G1412" t="str">
        <f t="shared" si="22"/>
        <v/>
      </c>
      <c r="H1412" t="s">
        <v>46</v>
      </c>
      <c r="I1412" t="s">
        <v>11</v>
      </c>
      <c r="J1412" t="s">
        <v>7</v>
      </c>
      <c r="K1412" t="s">
        <v>27</v>
      </c>
      <c r="L1412" t="s">
        <v>43</v>
      </c>
      <c r="M1412" t="s">
        <v>19</v>
      </c>
      <c r="N1412">
        <v>18</v>
      </c>
      <c r="O1412">
        <v>1</v>
      </c>
      <c r="P1412">
        <v>10016.410000000002</v>
      </c>
      <c r="Q1412">
        <v>10014.52</v>
      </c>
    </row>
    <row r="1413" spans="7:17" x14ac:dyDescent="0.25">
      <c r="G1413" t="str">
        <f t="shared" si="22"/>
        <v/>
      </c>
      <c r="H1413" t="s">
        <v>46</v>
      </c>
      <c r="I1413" t="s">
        <v>11</v>
      </c>
      <c r="J1413" t="s">
        <v>7</v>
      </c>
      <c r="K1413" t="s">
        <v>27</v>
      </c>
      <c r="L1413" t="s">
        <v>43</v>
      </c>
      <c r="M1413" t="s">
        <v>20</v>
      </c>
      <c r="N1413">
        <v>5</v>
      </c>
      <c r="O1413">
        <v>1</v>
      </c>
      <c r="P1413">
        <v>5370.99</v>
      </c>
      <c r="Q1413">
        <v>0</v>
      </c>
    </row>
    <row r="1414" spans="7:17" x14ac:dyDescent="0.25">
      <c r="G1414" t="str">
        <f t="shared" si="22"/>
        <v/>
      </c>
      <c r="H1414" t="s">
        <v>46</v>
      </c>
      <c r="I1414" t="s">
        <v>11</v>
      </c>
      <c r="J1414" t="s">
        <v>7</v>
      </c>
      <c r="K1414" t="s">
        <v>27</v>
      </c>
      <c r="L1414" t="s">
        <v>44</v>
      </c>
      <c r="M1414" t="s">
        <v>19</v>
      </c>
      <c r="N1414">
        <v>5</v>
      </c>
      <c r="O1414">
        <v>1</v>
      </c>
      <c r="P1414">
        <v>5110.34</v>
      </c>
      <c r="Q1414">
        <v>5110.34</v>
      </c>
    </row>
    <row r="1415" spans="7:17" x14ac:dyDescent="0.25">
      <c r="G1415" t="str">
        <f t="shared" si="22"/>
        <v/>
      </c>
      <c r="H1415" t="s">
        <v>46</v>
      </c>
      <c r="I1415" t="s">
        <v>11</v>
      </c>
      <c r="J1415" t="s">
        <v>7</v>
      </c>
      <c r="K1415" t="s">
        <v>27</v>
      </c>
      <c r="L1415" t="s">
        <v>44</v>
      </c>
      <c r="M1415" t="s">
        <v>20</v>
      </c>
      <c r="N1415">
        <v>3</v>
      </c>
      <c r="O1415">
        <v>1</v>
      </c>
      <c r="P1415">
        <v>824.1</v>
      </c>
      <c r="Q1415">
        <v>0</v>
      </c>
    </row>
    <row r="1416" spans="7:17" x14ac:dyDescent="0.25">
      <c r="G1416" t="str">
        <f t="shared" si="22"/>
        <v/>
      </c>
      <c r="H1416" t="s">
        <v>46</v>
      </c>
      <c r="I1416" t="s">
        <v>11</v>
      </c>
      <c r="J1416" t="s">
        <v>7</v>
      </c>
      <c r="K1416" t="s">
        <v>27</v>
      </c>
      <c r="L1416" t="s">
        <v>39</v>
      </c>
      <c r="M1416" t="s">
        <v>20</v>
      </c>
      <c r="N1416">
        <v>5</v>
      </c>
      <c r="O1416">
        <v>2</v>
      </c>
      <c r="P1416">
        <v>8190.59</v>
      </c>
      <c r="Q1416">
        <v>0</v>
      </c>
    </row>
    <row r="1417" spans="7:17" x14ac:dyDescent="0.25">
      <c r="G1417" t="str">
        <f t="shared" si="22"/>
        <v/>
      </c>
      <c r="H1417" t="s">
        <v>46</v>
      </c>
      <c r="I1417" t="s">
        <v>11</v>
      </c>
      <c r="J1417" t="s">
        <v>7</v>
      </c>
      <c r="K1417" t="s">
        <v>27</v>
      </c>
      <c r="L1417" t="s">
        <v>40</v>
      </c>
      <c r="M1417" t="s">
        <v>20</v>
      </c>
      <c r="N1417">
        <v>9</v>
      </c>
      <c r="O1417">
        <v>0</v>
      </c>
      <c r="P1417">
        <v>4628.16</v>
      </c>
      <c r="Q1417">
        <v>0</v>
      </c>
    </row>
    <row r="1418" spans="7:17" x14ac:dyDescent="0.25">
      <c r="G1418" t="str">
        <f t="shared" si="22"/>
        <v/>
      </c>
      <c r="H1418" t="s">
        <v>46</v>
      </c>
      <c r="I1418" t="s">
        <v>11</v>
      </c>
      <c r="J1418" t="s">
        <v>7</v>
      </c>
      <c r="K1418" t="s">
        <v>27</v>
      </c>
      <c r="L1418" t="s">
        <v>41</v>
      </c>
      <c r="M1418" t="s">
        <v>20</v>
      </c>
      <c r="N1418">
        <v>1</v>
      </c>
      <c r="O1418">
        <v>1</v>
      </c>
      <c r="P1418">
        <v>162.09</v>
      </c>
      <c r="Q1418">
        <v>0</v>
      </c>
    </row>
    <row r="1419" spans="7:17" x14ac:dyDescent="0.25">
      <c r="G1419" t="str">
        <f t="shared" si="22"/>
        <v/>
      </c>
      <c r="H1419" t="s">
        <v>46</v>
      </c>
      <c r="I1419" t="s">
        <v>11</v>
      </c>
      <c r="J1419" t="s">
        <v>7</v>
      </c>
      <c r="K1419" t="s">
        <v>27</v>
      </c>
      <c r="L1419" t="s">
        <v>45</v>
      </c>
      <c r="M1419" t="s">
        <v>19</v>
      </c>
      <c r="N1419">
        <v>1</v>
      </c>
      <c r="O1419">
        <v>1</v>
      </c>
      <c r="P1419">
        <v>0.1</v>
      </c>
      <c r="Q1419">
        <v>0.1</v>
      </c>
    </row>
    <row r="1420" spans="7:17" x14ac:dyDescent="0.25">
      <c r="G1420" t="str">
        <f t="shared" si="22"/>
        <v/>
      </c>
      <c r="H1420" t="s">
        <v>46</v>
      </c>
      <c r="I1420" t="s">
        <v>11</v>
      </c>
      <c r="J1420" t="s">
        <v>7</v>
      </c>
      <c r="K1420" t="s">
        <v>27</v>
      </c>
      <c r="L1420" t="s">
        <v>45</v>
      </c>
      <c r="M1420" t="s">
        <v>20</v>
      </c>
      <c r="N1420">
        <v>13</v>
      </c>
      <c r="O1420">
        <v>4</v>
      </c>
      <c r="P1420">
        <v>5705.369999999999</v>
      </c>
      <c r="Q1420">
        <v>0</v>
      </c>
    </row>
    <row r="1421" spans="7:17" x14ac:dyDescent="0.25">
      <c r="G1421" t="str">
        <f t="shared" si="22"/>
        <v/>
      </c>
      <c r="H1421" t="s">
        <v>46</v>
      </c>
      <c r="I1421" t="s">
        <v>11</v>
      </c>
      <c r="J1421" t="s">
        <v>7</v>
      </c>
      <c r="K1421" t="s">
        <v>28</v>
      </c>
      <c r="L1421" t="s">
        <v>42</v>
      </c>
      <c r="M1421" t="s">
        <v>19</v>
      </c>
      <c r="N1421">
        <v>109</v>
      </c>
      <c r="O1421">
        <v>13</v>
      </c>
      <c r="P1421">
        <v>15752.550000000001</v>
      </c>
      <c r="Q1421">
        <v>15654.49</v>
      </c>
    </row>
    <row r="1422" spans="7:17" x14ac:dyDescent="0.25">
      <c r="G1422" t="str">
        <f t="shared" si="22"/>
        <v/>
      </c>
      <c r="H1422" t="s">
        <v>46</v>
      </c>
      <c r="I1422" t="s">
        <v>11</v>
      </c>
      <c r="J1422" t="s">
        <v>7</v>
      </c>
      <c r="K1422" t="s">
        <v>28</v>
      </c>
      <c r="L1422" t="s">
        <v>42</v>
      </c>
      <c r="M1422" t="s">
        <v>20</v>
      </c>
      <c r="N1422">
        <v>20</v>
      </c>
      <c r="O1422">
        <v>4</v>
      </c>
      <c r="P1422">
        <v>3539.64</v>
      </c>
      <c r="Q1422">
        <v>0</v>
      </c>
    </row>
    <row r="1423" spans="7:17" x14ac:dyDescent="0.25">
      <c r="G1423" t="str">
        <f t="shared" si="22"/>
        <v/>
      </c>
      <c r="H1423" t="s">
        <v>46</v>
      </c>
      <c r="I1423" t="s">
        <v>11</v>
      </c>
      <c r="J1423" t="s">
        <v>7</v>
      </c>
      <c r="K1423" t="s">
        <v>28</v>
      </c>
      <c r="L1423" t="s">
        <v>43</v>
      </c>
      <c r="M1423" t="s">
        <v>19</v>
      </c>
      <c r="N1423">
        <v>24</v>
      </c>
      <c r="O1423">
        <v>6</v>
      </c>
      <c r="P1423">
        <v>10814.080000000002</v>
      </c>
      <c r="Q1423">
        <v>10673.040000000003</v>
      </c>
    </row>
    <row r="1424" spans="7:17" x14ac:dyDescent="0.25">
      <c r="G1424" t="str">
        <f t="shared" si="22"/>
        <v/>
      </c>
      <c r="H1424" t="s">
        <v>46</v>
      </c>
      <c r="I1424" t="s">
        <v>11</v>
      </c>
      <c r="J1424" t="s">
        <v>7</v>
      </c>
      <c r="K1424" t="s">
        <v>28</v>
      </c>
      <c r="L1424" t="s">
        <v>43</v>
      </c>
      <c r="M1424" t="s">
        <v>20</v>
      </c>
      <c r="N1424">
        <v>11</v>
      </c>
      <c r="O1424">
        <v>4</v>
      </c>
      <c r="P1424">
        <v>6797.86</v>
      </c>
      <c r="Q1424">
        <v>0</v>
      </c>
    </row>
    <row r="1425" spans="7:17" x14ac:dyDescent="0.25">
      <c r="G1425" t="str">
        <f t="shared" si="22"/>
        <v/>
      </c>
      <c r="H1425" t="s">
        <v>46</v>
      </c>
      <c r="I1425" t="s">
        <v>11</v>
      </c>
      <c r="J1425" t="s">
        <v>7</v>
      </c>
      <c r="K1425" t="s">
        <v>28</v>
      </c>
      <c r="L1425" t="s">
        <v>44</v>
      </c>
      <c r="M1425" t="s">
        <v>19</v>
      </c>
      <c r="N1425">
        <v>28</v>
      </c>
      <c r="O1425">
        <v>2</v>
      </c>
      <c r="P1425">
        <v>18859.569999999996</v>
      </c>
      <c r="Q1425">
        <v>18238.480000000003</v>
      </c>
    </row>
    <row r="1426" spans="7:17" x14ac:dyDescent="0.25">
      <c r="G1426" t="str">
        <f t="shared" si="22"/>
        <v/>
      </c>
      <c r="H1426" t="s">
        <v>46</v>
      </c>
      <c r="I1426" t="s">
        <v>11</v>
      </c>
      <c r="J1426" t="s">
        <v>7</v>
      </c>
      <c r="K1426" t="s">
        <v>28</v>
      </c>
      <c r="L1426" t="s">
        <v>44</v>
      </c>
      <c r="M1426" t="s">
        <v>20</v>
      </c>
      <c r="N1426">
        <v>11</v>
      </c>
      <c r="O1426">
        <v>8</v>
      </c>
      <c r="P1426">
        <v>3204.7300000000005</v>
      </c>
      <c r="Q1426">
        <v>0</v>
      </c>
    </row>
    <row r="1427" spans="7:17" x14ac:dyDescent="0.25">
      <c r="G1427" t="str">
        <f t="shared" si="22"/>
        <v/>
      </c>
      <c r="H1427" t="s">
        <v>46</v>
      </c>
      <c r="I1427" t="s">
        <v>11</v>
      </c>
      <c r="J1427" t="s">
        <v>7</v>
      </c>
      <c r="K1427" t="s">
        <v>28</v>
      </c>
      <c r="L1427" t="s">
        <v>39</v>
      </c>
      <c r="M1427" t="s">
        <v>19</v>
      </c>
      <c r="N1427">
        <v>4</v>
      </c>
      <c r="O1427">
        <v>4</v>
      </c>
      <c r="P1427">
        <v>2041.36</v>
      </c>
      <c r="Q1427">
        <v>2041.36</v>
      </c>
    </row>
    <row r="1428" spans="7:17" x14ac:dyDescent="0.25">
      <c r="G1428" t="str">
        <f t="shared" si="22"/>
        <v/>
      </c>
      <c r="H1428" t="s">
        <v>46</v>
      </c>
      <c r="I1428" t="s">
        <v>11</v>
      </c>
      <c r="J1428" t="s">
        <v>7</v>
      </c>
      <c r="K1428" t="s">
        <v>28</v>
      </c>
      <c r="L1428" t="s">
        <v>39</v>
      </c>
      <c r="M1428" t="s">
        <v>20</v>
      </c>
      <c r="N1428">
        <v>6</v>
      </c>
      <c r="O1428">
        <v>5</v>
      </c>
      <c r="P1428">
        <v>4549.84</v>
      </c>
      <c r="Q1428">
        <v>0</v>
      </c>
    </row>
    <row r="1429" spans="7:17" x14ac:dyDescent="0.25">
      <c r="G1429" t="str">
        <f t="shared" si="22"/>
        <v/>
      </c>
      <c r="H1429" t="s">
        <v>46</v>
      </c>
      <c r="I1429" t="s">
        <v>11</v>
      </c>
      <c r="J1429" t="s">
        <v>7</v>
      </c>
      <c r="K1429" t="s">
        <v>28</v>
      </c>
      <c r="L1429" t="s">
        <v>40</v>
      </c>
      <c r="M1429" t="s">
        <v>20</v>
      </c>
      <c r="N1429">
        <v>9</v>
      </c>
      <c r="O1429">
        <v>3</v>
      </c>
      <c r="P1429">
        <v>2225.0500000000002</v>
      </c>
      <c r="Q1429">
        <v>0</v>
      </c>
    </row>
    <row r="1430" spans="7:17" x14ac:dyDescent="0.25">
      <c r="G1430" t="str">
        <f t="shared" si="22"/>
        <v/>
      </c>
      <c r="H1430" t="s">
        <v>46</v>
      </c>
      <c r="I1430" t="s">
        <v>11</v>
      </c>
      <c r="J1430" t="s">
        <v>7</v>
      </c>
      <c r="K1430" t="s">
        <v>28</v>
      </c>
      <c r="L1430" t="s">
        <v>45</v>
      </c>
      <c r="M1430" t="s">
        <v>20</v>
      </c>
      <c r="N1430">
        <v>32</v>
      </c>
      <c r="O1430">
        <v>10</v>
      </c>
      <c r="P1430">
        <v>48234.69</v>
      </c>
      <c r="Q1430">
        <v>0</v>
      </c>
    </row>
    <row r="1431" spans="7:17" x14ac:dyDescent="0.25">
      <c r="G1431" t="str">
        <f t="shared" si="22"/>
        <v/>
      </c>
      <c r="H1431" t="s">
        <v>46</v>
      </c>
      <c r="I1431" t="s">
        <v>11</v>
      </c>
      <c r="J1431" t="s">
        <v>7</v>
      </c>
      <c r="K1431" t="s">
        <v>29</v>
      </c>
      <c r="L1431" t="s">
        <v>42</v>
      </c>
      <c r="M1431" t="s">
        <v>19</v>
      </c>
      <c r="N1431">
        <v>148</v>
      </c>
      <c r="O1431">
        <v>21</v>
      </c>
      <c r="P1431">
        <v>31969.75999999998</v>
      </c>
      <c r="Q1431">
        <v>31948.639999999981</v>
      </c>
    </row>
    <row r="1432" spans="7:17" x14ac:dyDescent="0.25">
      <c r="G1432" t="str">
        <f t="shared" si="22"/>
        <v/>
      </c>
      <c r="H1432" t="s">
        <v>46</v>
      </c>
      <c r="I1432" t="s">
        <v>11</v>
      </c>
      <c r="J1432" t="s">
        <v>7</v>
      </c>
      <c r="K1432" t="s">
        <v>29</v>
      </c>
      <c r="L1432" t="s">
        <v>42</v>
      </c>
      <c r="M1432" t="s">
        <v>20</v>
      </c>
      <c r="N1432">
        <v>16</v>
      </c>
      <c r="O1432">
        <v>3</v>
      </c>
      <c r="P1432">
        <v>1633.07</v>
      </c>
      <c r="Q1432">
        <v>0</v>
      </c>
    </row>
    <row r="1433" spans="7:17" x14ac:dyDescent="0.25">
      <c r="G1433" t="str">
        <f t="shared" si="22"/>
        <v/>
      </c>
      <c r="H1433" t="s">
        <v>46</v>
      </c>
      <c r="I1433" t="s">
        <v>11</v>
      </c>
      <c r="J1433" t="s">
        <v>7</v>
      </c>
      <c r="K1433" t="s">
        <v>29</v>
      </c>
      <c r="L1433" t="s">
        <v>43</v>
      </c>
      <c r="M1433" t="s">
        <v>19</v>
      </c>
      <c r="N1433">
        <v>10</v>
      </c>
      <c r="O1433">
        <v>7</v>
      </c>
      <c r="P1433">
        <v>5332.5899999999992</v>
      </c>
      <c r="Q1433">
        <v>5226.95</v>
      </c>
    </row>
    <row r="1434" spans="7:17" x14ac:dyDescent="0.25">
      <c r="G1434" t="str">
        <f t="shared" si="22"/>
        <v/>
      </c>
      <c r="H1434" t="s">
        <v>46</v>
      </c>
      <c r="I1434" t="s">
        <v>11</v>
      </c>
      <c r="J1434" t="s">
        <v>7</v>
      </c>
      <c r="K1434" t="s">
        <v>29</v>
      </c>
      <c r="L1434" t="s">
        <v>43</v>
      </c>
      <c r="M1434" t="s">
        <v>20</v>
      </c>
      <c r="N1434">
        <v>9</v>
      </c>
      <c r="O1434">
        <v>2</v>
      </c>
      <c r="P1434">
        <v>1991.18</v>
      </c>
      <c r="Q1434">
        <v>0</v>
      </c>
    </row>
    <row r="1435" spans="7:17" x14ac:dyDescent="0.25">
      <c r="G1435" t="str">
        <f t="shared" si="22"/>
        <v/>
      </c>
      <c r="H1435" t="s">
        <v>46</v>
      </c>
      <c r="I1435" t="s">
        <v>11</v>
      </c>
      <c r="J1435" t="s">
        <v>7</v>
      </c>
      <c r="K1435" t="s">
        <v>29</v>
      </c>
      <c r="L1435" t="s">
        <v>44</v>
      </c>
      <c r="M1435" t="s">
        <v>20</v>
      </c>
      <c r="N1435">
        <v>4</v>
      </c>
      <c r="O1435">
        <v>1</v>
      </c>
      <c r="P1435">
        <v>2942.57</v>
      </c>
      <c r="Q1435">
        <v>0</v>
      </c>
    </row>
    <row r="1436" spans="7:17" x14ac:dyDescent="0.25">
      <c r="G1436" t="str">
        <f t="shared" si="22"/>
        <v/>
      </c>
      <c r="H1436" t="s">
        <v>46</v>
      </c>
      <c r="I1436" t="s">
        <v>11</v>
      </c>
      <c r="J1436" t="s">
        <v>7</v>
      </c>
      <c r="K1436" t="s">
        <v>29</v>
      </c>
      <c r="L1436" t="s">
        <v>39</v>
      </c>
      <c r="M1436" t="s">
        <v>20</v>
      </c>
      <c r="N1436">
        <v>5</v>
      </c>
      <c r="O1436">
        <v>4</v>
      </c>
      <c r="P1436">
        <v>6438.08</v>
      </c>
      <c r="Q1436">
        <v>0</v>
      </c>
    </row>
    <row r="1437" spans="7:17" x14ac:dyDescent="0.25">
      <c r="G1437" t="str">
        <f t="shared" si="22"/>
        <v/>
      </c>
      <c r="H1437" t="s">
        <v>46</v>
      </c>
      <c r="I1437" t="s">
        <v>11</v>
      </c>
      <c r="J1437" t="s">
        <v>7</v>
      </c>
      <c r="K1437" t="s">
        <v>29</v>
      </c>
      <c r="L1437" t="s">
        <v>40</v>
      </c>
      <c r="M1437" t="s">
        <v>20</v>
      </c>
      <c r="N1437">
        <v>1</v>
      </c>
      <c r="O1437">
        <v>0</v>
      </c>
      <c r="P1437">
        <v>545.91999999999996</v>
      </c>
      <c r="Q1437">
        <v>0</v>
      </c>
    </row>
    <row r="1438" spans="7:17" x14ac:dyDescent="0.25">
      <c r="G1438" t="str">
        <f t="shared" si="22"/>
        <v/>
      </c>
      <c r="H1438" t="s">
        <v>46</v>
      </c>
      <c r="I1438" t="s">
        <v>11</v>
      </c>
      <c r="J1438" t="s">
        <v>7</v>
      </c>
      <c r="K1438" t="s">
        <v>29</v>
      </c>
      <c r="L1438" t="s">
        <v>41</v>
      </c>
      <c r="M1438" t="s">
        <v>20</v>
      </c>
      <c r="N1438">
        <v>1</v>
      </c>
      <c r="O1438">
        <v>0</v>
      </c>
      <c r="P1438">
        <v>374.33</v>
      </c>
      <c r="Q1438">
        <v>0</v>
      </c>
    </row>
    <row r="1439" spans="7:17" x14ac:dyDescent="0.25">
      <c r="G1439" t="str">
        <f t="shared" si="22"/>
        <v/>
      </c>
      <c r="H1439" t="s">
        <v>46</v>
      </c>
      <c r="I1439" t="s">
        <v>11</v>
      </c>
      <c r="J1439" t="s">
        <v>7</v>
      </c>
      <c r="K1439" t="s">
        <v>29</v>
      </c>
      <c r="L1439" t="s">
        <v>45</v>
      </c>
      <c r="M1439" t="s">
        <v>20</v>
      </c>
      <c r="N1439">
        <v>22</v>
      </c>
      <c r="O1439">
        <v>7</v>
      </c>
      <c r="P1439">
        <v>20592.650000000001</v>
      </c>
      <c r="Q1439">
        <v>0</v>
      </c>
    </row>
    <row r="1440" spans="7:17" x14ac:dyDescent="0.25">
      <c r="G1440" t="str">
        <f t="shared" si="22"/>
        <v/>
      </c>
      <c r="H1440" t="s">
        <v>46</v>
      </c>
      <c r="I1440" t="s">
        <v>11</v>
      </c>
      <c r="J1440" t="s">
        <v>7</v>
      </c>
      <c r="K1440" t="s">
        <v>30</v>
      </c>
      <c r="L1440" t="s">
        <v>43</v>
      </c>
      <c r="M1440" t="s">
        <v>19</v>
      </c>
      <c r="N1440">
        <v>17</v>
      </c>
      <c r="O1440">
        <v>0</v>
      </c>
      <c r="P1440">
        <v>15677.170000000002</v>
      </c>
      <c r="Q1440">
        <v>8314.4700000000012</v>
      </c>
    </row>
    <row r="1441" spans="7:17" x14ac:dyDescent="0.25">
      <c r="G1441" t="str">
        <f t="shared" si="22"/>
        <v/>
      </c>
      <c r="H1441" t="s">
        <v>46</v>
      </c>
      <c r="I1441" t="s">
        <v>11</v>
      </c>
      <c r="J1441" t="s">
        <v>7</v>
      </c>
      <c r="K1441" t="s">
        <v>30</v>
      </c>
      <c r="L1441" t="s">
        <v>40</v>
      </c>
      <c r="M1441" t="s">
        <v>20</v>
      </c>
      <c r="N1441">
        <v>1</v>
      </c>
      <c r="O1441">
        <v>0</v>
      </c>
      <c r="P1441">
        <v>577.6</v>
      </c>
      <c r="Q1441">
        <v>0</v>
      </c>
    </row>
    <row r="1442" spans="7:17" x14ac:dyDescent="0.25">
      <c r="G1442" t="str">
        <f t="shared" si="22"/>
        <v/>
      </c>
      <c r="H1442" t="s">
        <v>46</v>
      </c>
      <c r="I1442" t="s">
        <v>11</v>
      </c>
      <c r="J1442" t="s">
        <v>7</v>
      </c>
      <c r="K1442" t="s">
        <v>30</v>
      </c>
      <c r="L1442" t="s">
        <v>45</v>
      </c>
      <c r="M1442" t="s">
        <v>20</v>
      </c>
      <c r="N1442">
        <v>5</v>
      </c>
      <c r="O1442">
        <v>1</v>
      </c>
      <c r="P1442">
        <v>368.87</v>
      </c>
      <c r="Q1442">
        <v>0</v>
      </c>
    </row>
    <row r="1443" spans="7:17" x14ac:dyDescent="0.25">
      <c r="G1443" t="str">
        <f t="shared" si="22"/>
        <v/>
      </c>
      <c r="H1443" t="s">
        <v>46</v>
      </c>
      <c r="I1443" t="s">
        <v>11</v>
      </c>
      <c r="J1443" t="s">
        <v>7</v>
      </c>
      <c r="K1443" t="s">
        <v>31</v>
      </c>
      <c r="L1443" t="s">
        <v>42</v>
      </c>
      <c r="M1443" t="s">
        <v>19</v>
      </c>
      <c r="N1443">
        <v>6</v>
      </c>
      <c r="O1443">
        <v>2</v>
      </c>
      <c r="P1443">
        <v>1571.9100000000003</v>
      </c>
      <c r="Q1443">
        <v>1570.5700000000002</v>
      </c>
    </row>
    <row r="1444" spans="7:17" x14ac:dyDescent="0.25">
      <c r="G1444" t="str">
        <f t="shared" si="22"/>
        <v/>
      </c>
      <c r="H1444" t="s">
        <v>46</v>
      </c>
      <c r="I1444" t="s">
        <v>11</v>
      </c>
      <c r="J1444" t="s">
        <v>7</v>
      </c>
      <c r="K1444" t="s">
        <v>31</v>
      </c>
      <c r="L1444" t="s">
        <v>42</v>
      </c>
      <c r="M1444" t="s">
        <v>20</v>
      </c>
      <c r="N1444">
        <v>26</v>
      </c>
      <c r="O1444">
        <v>1</v>
      </c>
      <c r="P1444">
        <v>7.4200000000000008</v>
      </c>
      <c r="Q1444">
        <v>0</v>
      </c>
    </row>
    <row r="1445" spans="7:17" x14ac:dyDescent="0.25">
      <c r="G1445" t="str">
        <f t="shared" si="22"/>
        <v/>
      </c>
      <c r="H1445" t="s">
        <v>46</v>
      </c>
      <c r="I1445" t="s">
        <v>11</v>
      </c>
      <c r="J1445" t="s">
        <v>7</v>
      </c>
      <c r="K1445" t="s">
        <v>31</v>
      </c>
      <c r="L1445" t="s">
        <v>43</v>
      </c>
      <c r="M1445" t="s">
        <v>19</v>
      </c>
      <c r="N1445">
        <v>3</v>
      </c>
      <c r="O1445">
        <v>2</v>
      </c>
      <c r="P1445">
        <v>1778.1100000000001</v>
      </c>
      <c r="Q1445">
        <v>1778.1100000000001</v>
      </c>
    </row>
    <row r="1446" spans="7:17" x14ac:dyDescent="0.25">
      <c r="G1446" t="str">
        <f t="shared" si="22"/>
        <v/>
      </c>
      <c r="H1446" t="s">
        <v>46</v>
      </c>
      <c r="I1446" t="s">
        <v>11</v>
      </c>
      <c r="J1446" t="s">
        <v>7</v>
      </c>
      <c r="K1446" t="s">
        <v>31</v>
      </c>
      <c r="L1446" t="s">
        <v>43</v>
      </c>
      <c r="M1446" t="s">
        <v>20</v>
      </c>
      <c r="N1446">
        <v>1</v>
      </c>
      <c r="O1446">
        <v>0</v>
      </c>
      <c r="P1446">
        <v>1.99</v>
      </c>
      <c r="Q1446">
        <v>0</v>
      </c>
    </row>
    <row r="1447" spans="7:17" x14ac:dyDescent="0.25">
      <c r="G1447" t="str">
        <f t="shared" si="22"/>
        <v/>
      </c>
      <c r="H1447" t="s">
        <v>46</v>
      </c>
      <c r="I1447" t="s">
        <v>11</v>
      </c>
      <c r="J1447" t="s">
        <v>7</v>
      </c>
      <c r="K1447" t="s">
        <v>31</v>
      </c>
      <c r="L1447" t="s">
        <v>40</v>
      </c>
      <c r="M1447" t="s">
        <v>20</v>
      </c>
      <c r="N1447">
        <v>2</v>
      </c>
      <c r="O1447">
        <v>0</v>
      </c>
      <c r="P1447">
        <v>1771.86</v>
      </c>
      <c r="Q1447">
        <v>0</v>
      </c>
    </row>
    <row r="1448" spans="7:17" x14ac:dyDescent="0.25">
      <c r="G1448" t="str">
        <f t="shared" si="22"/>
        <v/>
      </c>
      <c r="H1448" t="s">
        <v>46</v>
      </c>
      <c r="I1448" t="s">
        <v>11</v>
      </c>
      <c r="J1448" t="s">
        <v>7</v>
      </c>
      <c r="K1448" t="s">
        <v>31</v>
      </c>
      <c r="L1448" t="s">
        <v>41</v>
      </c>
      <c r="M1448" t="s">
        <v>20</v>
      </c>
      <c r="N1448">
        <v>1</v>
      </c>
      <c r="O1448">
        <v>0</v>
      </c>
      <c r="P1448">
        <v>668.24</v>
      </c>
      <c r="Q1448">
        <v>0</v>
      </c>
    </row>
    <row r="1449" spans="7:17" x14ac:dyDescent="0.25">
      <c r="G1449" t="str">
        <f t="shared" si="22"/>
        <v/>
      </c>
      <c r="H1449" t="s">
        <v>46</v>
      </c>
      <c r="I1449" t="s">
        <v>11</v>
      </c>
      <c r="J1449" t="s">
        <v>7</v>
      </c>
      <c r="K1449" t="s">
        <v>31</v>
      </c>
      <c r="L1449" t="s">
        <v>45</v>
      </c>
      <c r="M1449" t="s">
        <v>20</v>
      </c>
      <c r="N1449">
        <v>13</v>
      </c>
      <c r="O1449">
        <v>2</v>
      </c>
      <c r="P1449">
        <v>10126.94</v>
      </c>
      <c r="Q1449">
        <v>0</v>
      </c>
    </row>
    <row r="1450" spans="7:17" x14ac:dyDescent="0.25">
      <c r="G1450" t="str">
        <f t="shared" si="22"/>
        <v/>
      </c>
      <c r="H1450" t="s">
        <v>46</v>
      </c>
      <c r="I1450" t="s">
        <v>11</v>
      </c>
      <c r="J1450" t="s">
        <v>7</v>
      </c>
      <c r="K1450" t="s">
        <v>32</v>
      </c>
      <c r="L1450" t="s">
        <v>42</v>
      </c>
      <c r="M1450" t="s">
        <v>19</v>
      </c>
      <c r="N1450">
        <v>14</v>
      </c>
      <c r="O1450">
        <v>0</v>
      </c>
      <c r="P1450">
        <v>6204.87</v>
      </c>
      <c r="Q1450">
        <v>6204.87</v>
      </c>
    </row>
    <row r="1451" spans="7:17" x14ac:dyDescent="0.25">
      <c r="G1451" t="str">
        <f t="shared" si="22"/>
        <v/>
      </c>
      <c r="H1451" t="s">
        <v>46</v>
      </c>
      <c r="I1451" t="s">
        <v>11</v>
      </c>
      <c r="J1451" t="s">
        <v>7</v>
      </c>
      <c r="K1451" t="s">
        <v>32</v>
      </c>
      <c r="L1451" t="s">
        <v>42</v>
      </c>
      <c r="M1451" t="s">
        <v>20</v>
      </c>
      <c r="N1451">
        <v>335</v>
      </c>
      <c r="O1451">
        <v>1</v>
      </c>
      <c r="P1451">
        <v>82153.919999999882</v>
      </c>
      <c r="Q1451">
        <v>0</v>
      </c>
    </row>
    <row r="1452" spans="7:17" x14ac:dyDescent="0.25">
      <c r="G1452" t="str">
        <f t="shared" si="22"/>
        <v/>
      </c>
      <c r="H1452" t="s">
        <v>46</v>
      </c>
      <c r="I1452" t="s">
        <v>11</v>
      </c>
      <c r="J1452" t="s">
        <v>7</v>
      </c>
      <c r="K1452" t="s">
        <v>32</v>
      </c>
      <c r="L1452" t="s">
        <v>43</v>
      </c>
      <c r="M1452" t="s">
        <v>19</v>
      </c>
      <c r="N1452">
        <v>3</v>
      </c>
      <c r="O1452">
        <v>1</v>
      </c>
      <c r="P1452">
        <v>2837.7299999999996</v>
      </c>
      <c r="Q1452">
        <v>2837.7299999999996</v>
      </c>
    </row>
    <row r="1453" spans="7:17" x14ac:dyDescent="0.25">
      <c r="G1453" t="str">
        <f t="shared" si="22"/>
        <v/>
      </c>
      <c r="H1453" t="s">
        <v>46</v>
      </c>
      <c r="I1453" t="s">
        <v>11</v>
      </c>
      <c r="J1453" t="s">
        <v>7</v>
      </c>
      <c r="K1453" t="s">
        <v>32</v>
      </c>
      <c r="L1453" t="s">
        <v>43</v>
      </c>
      <c r="M1453" t="s">
        <v>20</v>
      </c>
      <c r="N1453">
        <v>92</v>
      </c>
      <c r="O1453">
        <v>0</v>
      </c>
      <c r="P1453">
        <v>56138.829999999987</v>
      </c>
      <c r="Q1453">
        <v>0</v>
      </c>
    </row>
    <row r="1454" spans="7:17" x14ac:dyDescent="0.25">
      <c r="G1454" t="str">
        <f t="shared" si="22"/>
        <v/>
      </c>
      <c r="H1454" t="s">
        <v>46</v>
      </c>
      <c r="I1454" t="s">
        <v>11</v>
      </c>
      <c r="J1454" t="s">
        <v>7</v>
      </c>
      <c r="K1454" t="s">
        <v>32</v>
      </c>
      <c r="L1454" t="s">
        <v>44</v>
      </c>
      <c r="M1454" t="s">
        <v>20</v>
      </c>
      <c r="N1454">
        <v>15</v>
      </c>
      <c r="O1454">
        <v>1</v>
      </c>
      <c r="P1454">
        <v>11593.88</v>
      </c>
      <c r="Q1454">
        <v>0</v>
      </c>
    </row>
    <row r="1455" spans="7:17" x14ac:dyDescent="0.25">
      <c r="G1455" t="str">
        <f t="shared" si="22"/>
        <v/>
      </c>
      <c r="H1455" t="s">
        <v>46</v>
      </c>
      <c r="I1455" t="s">
        <v>11</v>
      </c>
      <c r="J1455" t="s">
        <v>7</v>
      </c>
      <c r="K1455" t="s">
        <v>32</v>
      </c>
      <c r="L1455" t="s">
        <v>39</v>
      </c>
      <c r="M1455" t="s">
        <v>20</v>
      </c>
      <c r="N1455">
        <v>37</v>
      </c>
      <c r="O1455">
        <v>3</v>
      </c>
      <c r="P1455">
        <v>10896.76</v>
      </c>
      <c r="Q1455">
        <v>0</v>
      </c>
    </row>
    <row r="1456" spans="7:17" x14ac:dyDescent="0.25">
      <c r="G1456" t="str">
        <f t="shared" si="22"/>
        <v/>
      </c>
      <c r="H1456" t="s">
        <v>46</v>
      </c>
      <c r="I1456" t="s">
        <v>11</v>
      </c>
      <c r="J1456" t="s">
        <v>7</v>
      </c>
      <c r="K1456" t="s">
        <v>32</v>
      </c>
      <c r="L1456" t="s">
        <v>40</v>
      </c>
      <c r="M1456" t="s">
        <v>20</v>
      </c>
      <c r="N1456">
        <v>41</v>
      </c>
      <c r="O1456">
        <v>0</v>
      </c>
      <c r="P1456">
        <v>18909.949999999997</v>
      </c>
      <c r="Q1456">
        <v>0</v>
      </c>
    </row>
    <row r="1457" spans="7:17" x14ac:dyDescent="0.25">
      <c r="G1457" t="str">
        <f t="shared" si="22"/>
        <v/>
      </c>
      <c r="H1457" t="s">
        <v>46</v>
      </c>
      <c r="I1457" t="s">
        <v>11</v>
      </c>
      <c r="J1457" t="s">
        <v>7</v>
      </c>
      <c r="K1457" t="s">
        <v>32</v>
      </c>
      <c r="L1457" t="s">
        <v>41</v>
      </c>
      <c r="M1457" t="s">
        <v>20</v>
      </c>
      <c r="N1457">
        <v>26</v>
      </c>
      <c r="O1457">
        <v>0</v>
      </c>
      <c r="P1457">
        <v>16546.920000000002</v>
      </c>
      <c r="Q1457">
        <v>0</v>
      </c>
    </row>
    <row r="1458" spans="7:17" x14ac:dyDescent="0.25">
      <c r="G1458" t="str">
        <f t="shared" si="22"/>
        <v/>
      </c>
      <c r="H1458" t="s">
        <v>46</v>
      </c>
      <c r="I1458" t="s">
        <v>11</v>
      </c>
      <c r="J1458" t="s">
        <v>7</v>
      </c>
      <c r="K1458" t="s">
        <v>32</v>
      </c>
      <c r="L1458" t="s">
        <v>45</v>
      </c>
      <c r="M1458" t="s">
        <v>19</v>
      </c>
      <c r="N1458">
        <v>1</v>
      </c>
      <c r="O1458">
        <v>0</v>
      </c>
      <c r="P1458">
        <v>1467.62</v>
      </c>
      <c r="Q1458">
        <v>1467.62</v>
      </c>
    </row>
    <row r="1459" spans="7:17" x14ac:dyDescent="0.25">
      <c r="G1459" t="str">
        <f t="shared" si="22"/>
        <v/>
      </c>
      <c r="H1459" t="s">
        <v>46</v>
      </c>
      <c r="I1459" t="s">
        <v>11</v>
      </c>
      <c r="J1459" t="s">
        <v>7</v>
      </c>
      <c r="K1459" t="s">
        <v>32</v>
      </c>
      <c r="L1459" t="s">
        <v>45</v>
      </c>
      <c r="M1459" t="s">
        <v>20</v>
      </c>
      <c r="N1459">
        <v>61</v>
      </c>
      <c r="O1459">
        <v>2</v>
      </c>
      <c r="P1459">
        <v>31182.320000000007</v>
      </c>
      <c r="Q1459">
        <v>0</v>
      </c>
    </row>
    <row r="1460" spans="7:17" x14ac:dyDescent="0.25">
      <c r="G1460" t="str">
        <f t="shared" si="22"/>
        <v/>
      </c>
      <c r="H1460" t="s">
        <v>46</v>
      </c>
      <c r="I1460" t="s">
        <v>11</v>
      </c>
      <c r="J1460" t="s">
        <v>7</v>
      </c>
      <c r="K1460" t="s">
        <v>33</v>
      </c>
      <c r="L1460" t="s">
        <v>42</v>
      </c>
      <c r="M1460" t="s">
        <v>19</v>
      </c>
      <c r="N1460">
        <v>72</v>
      </c>
      <c r="O1460">
        <v>8</v>
      </c>
      <c r="P1460">
        <v>5211.3100000000004</v>
      </c>
      <c r="Q1460">
        <v>5194.58</v>
      </c>
    </row>
    <row r="1461" spans="7:17" x14ac:dyDescent="0.25">
      <c r="G1461" t="str">
        <f t="shared" si="22"/>
        <v/>
      </c>
      <c r="H1461" t="s">
        <v>46</v>
      </c>
      <c r="I1461" t="s">
        <v>11</v>
      </c>
      <c r="J1461" t="s">
        <v>7</v>
      </c>
      <c r="K1461" t="s">
        <v>33</v>
      </c>
      <c r="L1461" t="s">
        <v>42</v>
      </c>
      <c r="M1461" t="s">
        <v>20</v>
      </c>
      <c r="N1461">
        <v>18</v>
      </c>
      <c r="O1461">
        <v>1</v>
      </c>
      <c r="P1461">
        <v>1426.6899999999998</v>
      </c>
      <c r="Q1461">
        <v>0</v>
      </c>
    </row>
    <row r="1462" spans="7:17" x14ac:dyDescent="0.25">
      <c r="G1462" t="str">
        <f t="shared" si="22"/>
        <v/>
      </c>
      <c r="H1462" t="s">
        <v>46</v>
      </c>
      <c r="I1462" t="s">
        <v>11</v>
      </c>
      <c r="J1462" t="s">
        <v>7</v>
      </c>
      <c r="K1462" t="s">
        <v>33</v>
      </c>
      <c r="L1462" t="s">
        <v>43</v>
      </c>
      <c r="M1462" t="s">
        <v>19</v>
      </c>
      <c r="N1462">
        <v>78</v>
      </c>
      <c r="O1462">
        <v>3</v>
      </c>
      <c r="P1462">
        <v>29988.809999999983</v>
      </c>
      <c r="Q1462">
        <v>29966.649999999987</v>
      </c>
    </row>
    <row r="1463" spans="7:17" x14ac:dyDescent="0.25">
      <c r="G1463" t="str">
        <f t="shared" si="22"/>
        <v/>
      </c>
      <c r="H1463" t="s">
        <v>46</v>
      </c>
      <c r="I1463" t="s">
        <v>11</v>
      </c>
      <c r="J1463" t="s">
        <v>7</v>
      </c>
      <c r="K1463" t="s">
        <v>33</v>
      </c>
      <c r="L1463" t="s">
        <v>43</v>
      </c>
      <c r="M1463" t="s">
        <v>20</v>
      </c>
      <c r="N1463">
        <v>19</v>
      </c>
      <c r="O1463">
        <v>0</v>
      </c>
      <c r="P1463">
        <v>12819.32</v>
      </c>
      <c r="Q1463">
        <v>0</v>
      </c>
    </row>
    <row r="1464" spans="7:17" x14ac:dyDescent="0.25">
      <c r="G1464" t="str">
        <f t="shared" si="22"/>
        <v/>
      </c>
      <c r="H1464" t="s">
        <v>46</v>
      </c>
      <c r="I1464" t="s">
        <v>11</v>
      </c>
      <c r="J1464" t="s">
        <v>7</v>
      </c>
      <c r="K1464" t="s">
        <v>33</v>
      </c>
      <c r="L1464" t="s">
        <v>44</v>
      </c>
      <c r="M1464" t="s">
        <v>19</v>
      </c>
      <c r="N1464">
        <v>4</v>
      </c>
      <c r="O1464">
        <v>2</v>
      </c>
      <c r="P1464">
        <v>2978.76</v>
      </c>
      <c r="Q1464">
        <v>2224.0500000000002</v>
      </c>
    </row>
    <row r="1465" spans="7:17" x14ac:dyDescent="0.25">
      <c r="G1465" t="str">
        <f t="shared" si="22"/>
        <v/>
      </c>
      <c r="H1465" t="s">
        <v>46</v>
      </c>
      <c r="I1465" t="s">
        <v>11</v>
      </c>
      <c r="J1465" t="s">
        <v>7</v>
      </c>
      <c r="K1465" t="s">
        <v>33</v>
      </c>
      <c r="L1465" t="s">
        <v>44</v>
      </c>
      <c r="M1465" t="s">
        <v>20</v>
      </c>
      <c r="N1465">
        <v>116</v>
      </c>
      <c r="O1465">
        <v>3</v>
      </c>
      <c r="P1465">
        <v>105461.00999999997</v>
      </c>
      <c r="Q1465">
        <v>0</v>
      </c>
    </row>
    <row r="1466" spans="7:17" x14ac:dyDescent="0.25">
      <c r="G1466" t="str">
        <f t="shared" si="22"/>
        <v/>
      </c>
      <c r="H1466" t="s">
        <v>46</v>
      </c>
      <c r="I1466" t="s">
        <v>11</v>
      </c>
      <c r="J1466" t="s">
        <v>7</v>
      </c>
      <c r="K1466" t="s">
        <v>33</v>
      </c>
      <c r="L1466" t="s">
        <v>39</v>
      </c>
      <c r="M1466" t="s">
        <v>19</v>
      </c>
      <c r="N1466">
        <v>2</v>
      </c>
      <c r="O1466">
        <v>2</v>
      </c>
      <c r="P1466">
        <v>4835.93</v>
      </c>
      <c r="Q1466">
        <v>2509.56</v>
      </c>
    </row>
    <row r="1467" spans="7:17" x14ac:dyDescent="0.25">
      <c r="G1467" t="str">
        <f t="shared" si="22"/>
        <v/>
      </c>
      <c r="H1467" t="s">
        <v>46</v>
      </c>
      <c r="I1467" t="s">
        <v>11</v>
      </c>
      <c r="J1467" t="s">
        <v>7</v>
      </c>
      <c r="K1467" t="s">
        <v>33</v>
      </c>
      <c r="L1467" t="s">
        <v>39</v>
      </c>
      <c r="M1467" t="s">
        <v>20</v>
      </c>
      <c r="N1467">
        <v>3</v>
      </c>
      <c r="O1467">
        <v>2</v>
      </c>
      <c r="P1467">
        <v>2040.65</v>
      </c>
      <c r="Q1467">
        <v>0</v>
      </c>
    </row>
    <row r="1468" spans="7:17" x14ac:dyDescent="0.25">
      <c r="G1468" t="str">
        <f t="shared" si="22"/>
        <v/>
      </c>
      <c r="H1468" t="s">
        <v>46</v>
      </c>
      <c r="I1468" t="s">
        <v>11</v>
      </c>
      <c r="J1468" t="s">
        <v>7</v>
      </c>
      <c r="K1468" t="s">
        <v>33</v>
      </c>
      <c r="L1468" t="s">
        <v>40</v>
      </c>
      <c r="M1468" t="s">
        <v>19</v>
      </c>
      <c r="N1468">
        <v>2</v>
      </c>
      <c r="O1468">
        <v>1</v>
      </c>
      <c r="P1468">
        <v>236.07000000000002</v>
      </c>
      <c r="Q1468">
        <v>236.07000000000002</v>
      </c>
    </row>
    <row r="1469" spans="7:17" x14ac:dyDescent="0.25">
      <c r="G1469" t="str">
        <f t="shared" si="22"/>
        <v/>
      </c>
      <c r="H1469" t="s">
        <v>46</v>
      </c>
      <c r="I1469" t="s">
        <v>11</v>
      </c>
      <c r="J1469" t="s">
        <v>7</v>
      </c>
      <c r="K1469" t="s">
        <v>33</v>
      </c>
      <c r="L1469" t="s">
        <v>40</v>
      </c>
      <c r="M1469" t="s">
        <v>20</v>
      </c>
      <c r="N1469">
        <v>6</v>
      </c>
      <c r="O1469">
        <v>0</v>
      </c>
      <c r="P1469">
        <v>755.95</v>
      </c>
      <c r="Q1469">
        <v>0</v>
      </c>
    </row>
    <row r="1470" spans="7:17" x14ac:dyDescent="0.25">
      <c r="G1470" t="str">
        <f t="shared" si="22"/>
        <v/>
      </c>
      <c r="H1470" t="s">
        <v>46</v>
      </c>
      <c r="I1470" t="s">
        <v>11</v>
      </c>
      <c r="J1470" t="s">
        <v>7</v>
      </c>
      <c r="K1470" t="s">
        <v>33</v>
      </c>
      <c r="L1470" t="s">
        <v>41</v>
      </c>
      <c r="M1470" t="s">
        <v>20</v>
      </c>
      <c r="N1470">
        <v>3</v>
      </c>
      <c r="O1470">
        <v>0</v>
      </c>
      <c r="P1470">
        <v>256.27</v>
      </c>
      <c r="Q1470">
        <v>0</v>
      </c>
    </row>
    <row r="1471" spans="7:17" x14ac:dyDescent="0.25">
      <c r="G1471" t="str">
        <f t="shared" si="22"/>
        <v/>
      </c>
      <c r="H1471" t="s">
        <v>46</v>
      </c>
      <c r="I1471" t="s">
        <v>11</v>
      </c>
      <c r="J1471" t="s">
        <v>7</v>
      </c>
      <c r="K1471" t="s">
        <v>33</v>
      </c>
      <c r="L1471" t="s">
        <v>45</v>
      </c>
      <c r="M1471" t="s">
        <v>20</v>
      </c>
      <c r="N1471">
        <v>16</v>
      </c>
      <c r="O1471">
        <v>5</v>
      </c>
      <c r="P1471">
        <v>1497.4599999999998</v>
      </c>
      <c r="Q1471">
        <v>0</v>
      </c>
    </row>
    <row r="1472" spans="7:17" x14ac:dyDescent="0.25">
      <c r="G1472" t="str">
        <f t="shared" si="22"/>
        <v/>
      </c>
      <c r="H1472" t="s">
        <v>46</v>
      </c>
      <c r="I1472" t="s">
        <v>11</v>
      </c>
      <c r="J1472" t="s">
        <v>7</v>
      </c>
      <c r="K1472" t="s">
        <v>34</v>
      </c>
      <c r="L1472" t="s">
        <v>42</v>
      </c>
      <c r="M1472" t="s">
        <v>19</v>
      </c>
      <c r="N1472">
        <v>8</v>
      </c>
      <c r="O1472">
        <v>1</v>
      </c>
      <c r="P1472">
        <v>1390.72</v>
      </c>
      <c r="Q1472">
        <v>1390.72</v>
      </c>
    </row>
    <row r="1473" spans="7:17" x14ac:dyDescent="0.25">
      <c r="G1473" t="str">
        <f t="shared" si="22"/>
        <v/>
      </c>
      <c r="H1473" t="s">
        <v>46</v>
      </c>
      <c r="I1473" t="s">
        <v>11</v>
      </c>
      <c r="J1473" t="s">
        <v>7</v>
      </c>
      <c r="K1473" t="s">
        <v>34</v>
      </c>
      <c r="L1473" t="s">
        <v>42</v>
      </c>
      <c r="M1473" t="s">
        <v>20</v>
      </c>
      <c r="N1473">
        <v>60</v>
      </c>
      <c r="O1473">
        <v>2</v>
      </c>
      <c r="P1473">
        <v>14281.869999999999</v>
      </c>
      <c r="Q1473">
        <v>0</v>
      </c>
    </row>
    <row r="1474" spans="7:17" x14ac:dyDescent="0.25">
      <c r="G1474" t="str">
        <f t="shared" ref="G1474:G1537" si="23">IF(G$1="Overall","Overall",IF(G$1=L1474,L1474,""))</f>
        <v/>
      </c>
      <c r="H1474" t="s">
        <v>46</v>
      </c>
      <c r="I1474" t="s">
        <v>11</v>
      </c>
      <c r="J1474" t="s">
        <v>7</v>
      </c>
      <c r="K1474" t="s">
        <v>34</v>
      </c>
      <c r="L1474" t="s">
        <v>43</v>
      </c>
      <c r="M1474" t="s">
        <v>19</v>
      </c>
      <c r="N1474">
        <v>22</v>
      </c>
      <c r="O1474">
        <v>3</v>
      </c>
      <c r="P1474">
        <v>8659.1900000000023</v>
      </c>
      <c r="Q1474">
        <v>8576.6900000000023</v>
      </c>
    </row>
    <row r="1475" spans="7:17" x14ac:dyDescent="0.25">
      <c r="G1475" t="str">
        <f t="shared" si="23"/>
        <v/>
      </c>
      <c r="H1475" t="s">
        <v>46</v>
      </c>
      <c r="I1475" t="s">
        <v>11</v>
      </c>
      <c r="J1475" t="s">
        <v>7</v>
      </c>
      <c r="K1475" t="s">
        <v>34</v>
      </c>
      <c r="L1475" t="s">
        <v>43</v>
      </c>
      <c r="M1475" t="s">
        <v>20</v>
      </c>
      <c r="N1475">
        <v>2</v>
      </c>
      <c r="O1475">
        <v>1</v>
      </c>
      <c r="P1475">
        <v>320.69</v>
      </c>
      <c r="Q1475">
        <v>0</v>
      </c>
    </row>
    <row r="1476" spans="7:17" x14ac:dyDescent="0.25">
      <c r="G1476" t="str">
        <f t="shared" si="23"/>
        <v/>
      </c>
      <c r="H1476" t="s">
        <v>46</v>
      </c>
      <c r="I1476" t="s">
        <v>11</v>
      </c>
      <c r="J1476" t="s">
        <v>7</v>
      </c>
      <c r="K1476" t="s">
        <v>34</v>
      </c>
      <c r="L1476" t="s">
        <v>44</v>
      </c>
      <c r="M1476" t="s">
        <v>19</v>
      </c>
      <c r="N1476">
        <v>4</v>
      </c>
      <c r="O1476">
        <v>2</v>
      </c>
      <c r="P1476">
        <v>4289.8599999999997</v>
      </c>
      <c r="Q1476">
        <v>4173.2199999999993</v>
      </c>
    </row>
    <row r="1477" spans="7:17" x14ac:dyDescent="0.25">
      <c r="G1477" t="str">
        <f t="shared" si="23"/>
        <v/>
      </c>
      <c r="H1477" t="s">
        <v>46</v>
      </c>
      <c r="I1477" t="s">
        <v>11</v>
      </c>
      <c r="J1477" t="s">
        <v>7</v>
      </c>
      <c r="K1477" t="s">
        <v>34</v>
      </c>
      <c r="L1477" t="s">
        <v>44</v>
      </c>
      <c r="M1477" t="s">
        <v>20</v>
      </c>
      <c r="N1477">
        <v>3</v>
      </c>
      <c r="O1477">
        <v>3</v>
      </c>
      <c r="P1477">
        <v>1302.5900000000001</v>
      </c>
      <c r="Q1477">
        <v>0</v>
      </c>
    </row>
    <row r="1478" spans="7:17" x14ac:dyDescent="0.25">
      <c r="G1478" t="str">
        <f t="shared" si="23"/>
        <v/>
      </c>
      <c r="H1478" t="s">
        <v>46</v>
      </c>
      <c r="I1478" t="s">
        <v>11</v>
      </c>
      <c r="J1478" t="s">
        <v>7</v>
      </c>
      <c r="K1478" t="s">
        <v>34</v>
      </c>
      <c r="L1478" t="s">
        <v>39</v>
      </c>
      <c r="M1478" t="s">
        <v>19</v>
      </c>
      <c r="N1478">
        <v>1</v>
      </c>
      <c r="O1478">
        <v>1</v>
      </c>
      <c r="P1478">
        <v>966.98</v>
      </c>
      <c r="Q1478">
        <v>966.98</v>
      </c>
    </row>
    <row r="1479" spans="7:17" x14ac:dyDescent="0.25">
      <c r="G1479" t="str">
        <f t="shared" si="23"/>
        <v/>
      </c>
      <c r="H1479" t="s">
        <v>46</v>
      </c>
      <c r="I1479" t="s">
        <v>11</v>
      </c>
      <c r="J1479" t="s">
        <v>7</v>
      </c>
      <c r="K1479" t="s">
        <v>34</v>
      </c>
      <c r="L1479" t="s">
        <v>39</v>
      </c>
      <c r="M1479" t="s">
        <v>20</v>
      </c>
      <c r="N1479">
        <v>3</v>
      </c>
      <c r="O1479">
        <v>3</v>
      </c>
      <c r="P1479">
        <v>422.31</v>
      </c>
      <c r="Q1479">
        <v>0</v>
      </c>
    </row>
    <row r="1480" spans="7:17" x14ac:dyDescent="0.25">
      <c r="G1480" t="str">
        <f t="shared" si="23"/>
        <v/>
      </c>
      <c r="H1480" t="s">
        <v>46</v>
      </c>
      <c r="I1480" t="s">
        <v>11</v>
      </c>
      <c r="J1480" t="s">
        <v>7</v>
      </c>
      <c r="K1480" t="s">
        <v>34</v>
      </c>
      <c r="L1480" t="s">
        <v>45</v>
      </c>
      <c r="M1480" t="s">
        <v>20</v>
      </c>
      <c r="N1480">
        <v>16</v>
      </c>
      <c r="O1480">
        <v>7</v>
      </c>
      <c r="P1480">
        <v>4331.18</v>
      </c>
      <c r="Q1480">
        <v>0</v>
      </c>
    </row>
    <row r="1481" spans="7:17" x14ac:dyDescent="0.25">
      <c r="G1481" t="str">
        <f t="shared" si="23"/>
        <v/>
      </c>
      <c r="H1481" t="s">
        <v>46</v>
      </c>
      <c r="I1481" t="s">
        <v>11</v>
      </c>
      <c r="J1481" t="s">
        <v>7</v>
      </c>
      <c r="K1481" t="s">
        <v>35</v>
      </c>
      <c r="L1481" t="s">
        <v>42</v>
      </c>
      <c r="M1481" t="s">
        <v>19</v>
      </c>
      <c r="N1481">
        <v>60</v>
      </c>
      <c r="O1481">
        <v>11</v>
      </c>
      <c r="P1481">
        <v>4711.1700000000019</v>
      </c>
      <c r="Q1481">
        <v>4685.9000000000015</v>
      </c>
    </row>
    <row r="1482" spans="7:17" x14ac:dyDescent="0.25">
      <c r="G1482" t="str">
        <f t="shared" si="23"/>
        <v/>
      </c>
      <c r="H1482" t="s">
        <v>46</v>
      </c>
      <c r="I1482" t="s">
        <v>11</v>
      </c>
      <c r="J1482" t="s">
        <v>7</v>
      </c>
      <c r="K1482" t="s">
        <v>35</v>
      </c>
      <c r="L1482" t="s">
        <v>42</v>
      </c>
      <c r="M1482" t="s">
        <v>20</v>
      </c>
      <c r="N1482">
        <v>27</v>
      </c>
      <c r="O1482">
        <v>5</v>
      </c>
      <c r="P1482">
        <v>1236.5800000000006</v>
      </c>
      <c r="Q1482">
        <v>0</v>
      </c>
    </row>
    <row r="1483" spans="7:17" x14ac:dyDescent="0.25">
      <c r="G1483" t="str">
        <f t="shared" si="23"/>
        <v/>
      </c>
      <c r="H1483" t="s">
        <v>46</v>
      </c>
      <c r="I1483" t="s">
        <v>11</v>
      </c>
      <c r="J1483" t="s">
        <v>7</v>
      </c>
      <c r="K1483" t="s">
        <v>35</v>
      </c>
      <c r="L1483" t="s">
        <v>43</v>
      </c>
      <c r="M1483" t="s">
        <v>19</v>
      </c>
      <c r="N1483">
        <v>33</v>
      </c>
      <c r="O1483">
        <v>6</v>
      </c>
      <c r="P1483">
        <v>17811.579999999998</v>
      </c>
      <c r="Q1483">
        <v>15811.489999999998</v>
      </c>
    </row>
    <row r="1484" spans="7:17" x14ac:dyDescent="0.25">
      <c r="G1484" t="str">
        <f t="shared" si="23"/>
        <v/>
      </c>
      <c r="H1484" t="s">
        <v>46</v>
      </c>
      <c r="I1484" t="s">
        <v>11</v>
      </c>
      <c r="J1484" t="s">
        <v>7</v>
      </c>
      <c r="K1484" t="s">
        <v>35</v>
      </c>
      <c r="L1484" t="s">
        <v>43</v>
      </c>
      <c r="M1484" t="s">
        <v>20</v>
      </c>
      <c r="N1484">
        <v>4</v>
      </c>
      <c r="O1484">
        <v>1</v>
      </c>
      <c r="P1484">
        <v>2233.17</v>
      </c>
      <c r="Q1484">
        <v>0</v>
      </c>
    </row>
    <row r="1485" spans="7:17" x14ac:dyDescent="0.25">
      <c r="G1485" t="str">
        <f t="shared" si="23"/>
        <v/>
      </c>
      <c r="H1485" t="s">
        <v>46</v>
      </c>
      <c r="I1485" t="s">
        <v>11</v>
      </c>
      <c r="J1485" t="s">
        <v>7</v>
      </c>
      <c r="K1485" t="s">
        <v>35</v>
      </c>
      <c r="L1485" t="s">
        <v>44</v>
      </c>
      <c r="M1485" t="s">
        <v>19</v>
      </c>
      <c r="N1485">
        <v>13</v>
      </c>
      <c r="O1485">
        <v>3</v>
      </c>
      <c r="P1485">
        <v>9420.1</v>
      </c>
      <c r="Q1485">
        <v>7613.08</v>
      </c>
    </row>
    <row r="1486" spans="7:17" x14ac:dyDescent="0.25">
      <c r="G1486" t="str">
        <f t="shared" si="23"/>
        <v/>
      </c>
      <c r="H1486" t="s">
        <v>46</v>
      </c>
      <c r="I1486" t="s">
        <v>11</v>
      </c>
      <c r="J1486" t="s">
        <v>7</v>
      </c>
      <c r="K1486" t="s">
        <v>35</v>
      </c>
      <c r="L1486" t="s">
        <v>44</v>
      </c>
      <c r="M1486" t="s">
        <v>20</v>
      </c>
      <c r="N1486">
        <v>4</v>
      </c>
      <c r="O1486">
        <v>1</v>
      </c>
      <c r="P1486">
        <v>1774.4099999999999</v>
      </c>
      <c r="Q1486">
        <v>0</v>
      </c>
    </row>
    <row r="1487" spans="7:17" x14ac:dyDescent="0.25">
      <c r="G1487" t="str">
        <f t="shared" si="23"/>
        <v/>
      </c>
      <c r="H1487" t="s">
        <v>46</v>
      </c>
      <c r="I1487" t="s">
        <v>11</v>
      </c>
      <c r="J1487" t="s">
        <v>7</v>
      </c>
      <c r="K1487" t="s">
        <v>35</v>
      </c>
      <c r="L1487" t="s">
        <v>39</v>
      </c>
      <c r="M1487" t="s">
        <v>20</v>
      </c>
      <c r="N1487">
        <v>6</v>
      </c>
      <c r="O1487">
        <v>3</v>
      </c>
      <c r="P1487">
        <v>6176.8499999999995</v>
      </c>
      <c r="Q1487">
        <v>0</v>
      </c>
    </row>
    <row r="1488" spans="7:17" x14ac:dyDescent="0.25">
      <c r="G1488" t="str">
        <f t="shared" si="23"/>
        <v/>
      </c>
      <c r="H1488" t="s">
        <v>46</v>
      </c>
      <c r="I1488" t="s">
        <v>11</v>
      </c>
      <c r="J1488" t="s">
        <v>7</v>
      </c>
      <c r="K1488" t="s">
        <v>35</v>
      </c>
      <c r="L1488" t="s">
        <v>40</v>
      </c>
      <c r="M1488" t="s">
        <v>20</v>
      </c>
      <c r="N1488">
        <v>4</v>
      </c>
      <c r="O1488">
        <v>1</v>
      </c>
      <c r="P1488">
        <v>3336.99</v>
      </c>
      <c r="Q1488">
        <v>0</v>
      </c>
    </row>
    <row r="1489" spans="7:17" x14ac:dyDescent="0.25">
      <c r="G1489" t="str">
        <f t="shared" si="23"/>
        <v/>
      </c>
      <c r="H1489" t="s">
        <v>46</v>
      </c>
      <c r="I1489" t="s">
        <v>11</v>
      </c>
      <c r="J1489" t="s">
        <v>7</v>
      </c>
      <c r="K1489" t="s">
        <v>35</v>
      </c>
      <c r="L1489" t="s">
        <v>41</v>
      </c>
      <c r="M1489" t="s">
        <v>20</v>
      </c>
      <c r="N1489">
        <v>6</v>
      </c>
      <c r="O1489">
        <v>1</v>
      </c>
      <c r="P1489">
        <v>2086.75</v>
      </c>
      <c r="Q1489">
        <v>0</v>
      </c>
    </row>
    <row r="1490" spans="7:17" x14ac:dyDescent="0.25">
      <c r="G1490" t="str">
        <f t="shared" si="23"/>
        <v/>
      </c>
      <c r="H1490" t="s">
        <v>46</v>
      </c>
      <c r="I1490" t="s">
        <v>11</v>
      </c>
      <c r="J1490" t="s">
        <v>7</v>
      </c>
      <c r="K1490" t="s">
        <v>35</v>
      </c>
      <c r="L1490" t="s">
        <v>45</v>
      </c>
      <c r="M1490" t="s">
        <v>19</v>
      </c>
      <c r="N1490">
        <v>1</v>
      </c>
      <c r="O1490">
        <v>0</v>
      </c>
      <c r="P1490">
        <v>360.42</v>
      </c>
      <c r="Q1490">
        <v>360</v>
      </c>
    </row>
    <row r="1491" spans="7:17" x14ac:dyDescent="0.25">
      <c r="G1491" t="str">
        <f t="shared" si="23"/>
        <v/>
      </c>
      <c r="H1491" t="s">
        <v>46</v>
      </c>
      <c r="I1491" t="s">
        <v>11</v>
      </c>
      <c r="J1491" t="s">
        <v>7</v>
      </c>
      <c r="K1491" t="s">
        <v>35</v>
      </c>
      <c r="L1491" t="s">
        <v>45</v>
      </c>
      <c r="M1491" t="s">
        <v>20</v>
      </c>
      <c r="N1491">
        <v>39</v>
      </c>
      <c r="O1491">
        <v>4</v>
      </c>
      <c r="P1491">
        <v>13283.639999999998</v>
      </c>
      <c r="Q1491">
        <v>0</v>
      </c>
    </row>
    <row r="1492" spans="7:17" x14ac:dyDescent="0.25">
      <c r="G1492" t="str">
        <f t="shared" si="23"/>
        <v/>
      </c>
      <c r="H1492" t="s">
        <v>46</v>
      </c>
      <c r="I1492" t="s">
        <v>11</v>
      </c>
      <c r="J1492" t="s">
        <v>7</v>
      </c>
      <c r="K1492" t="s">
        <v>36</v>
      </c>
      <c r="L1492" t="s">
        <v>42</v>
      </c>
      <c r="M1492" t="s">
        <v>19</v>
      </c>
      <c r="N1492">
        <v>162</v>
      </c>
      <c r="O1492">
        <v>7</v>
      </c>
      <c r="P1492">
        <v>35913.129999999946</v>
      </c>
      <c r="Q1492">
        <v>35913.129999999946</v>
      </c>
    </row>
    <row r="1493" spans="7:17" x14ac:dyDescent="0.25">
      <c r="G1493" t="str">
        <f t="shared" si="23"/>
        <v/>
      </c>
      <c r="H1493" t="s">
        <v>46</v>
      </c>
      <c r="I1493" t="s">
        <v>11</v>
      </c>
      <c r="J1493" t="s">
        <v>7</v>
      </c>
      <c r="K1493" t="s">
        <v>36</v>
      </c>
      <c r="L1493" t="s">
        <v>42</v>
      </c>
      <c r="M1493" t="s">
        <v>20</v>
      </c>
      <c r="N1493">
        <v>83</v>
      </c>
      <c r="O1493">
        <v>4</v>
      </c>
      <c r="P1493">
        <v>4849.3999999999987</v>
      </c>
      <c r="Q1493">
        <v>0</v>
      </c>
    </row>
    <row r="1494" spans="7:17" x14ac:dyDescent="0.25">
      <c r="G1494" t="str">
        <f t="shared" si="23"/>
        <v/>
      </c>
      <c r="H1494" t="s">
        <v>46</v>
      </c>
      <c r="I1494" t="s">
        <v>11</v>
      </c>
      <c r="J1494" t="s">
        <v>7</v>
      </c>
      <c r="K1494" t="s">
        <v>36</v>
      </c>
      <c r="L1494" t="s">
        <v>43</v>
      </c>
      <c r="M1494" t="s">
        <v>19</v>
      </c>
      <c r="N1494">
        <v>633</v>
      </c>
      <c r="O1494">
        <v>6</v>
      </c>
      <c r="P1494">
        <v>458597.38000000152</v>
      </c>
      <c r="Q1494">
        <v>251407.90000000159</v>
      </c>
    </row>
    <row r="1495" spans="7:17" x14ac:dyDescent="0.25">
      <c r="G1495" t="str">
        <f t="shared" si="23"/>
        <v/>
      </c>
      <c r="H1495" t="s">
        <v>46</v>
      </c>
      <c r="I1495" t="s">
        <v>11</v>
      </c>
      <c r="J1495" t="s">
        <v>7</v>
      </c>
      <c r="K1495" t="s">
        <v>36</v>
      </c>
      <c r="L1495" t="s">
        <v>43</v>
      </c>
      <c r="M1495" t="s">
        <v>20</v>
      </c>
      <c r="N1495">
        <v>28</v>
      </c>
      <c r="O1495">
        <v>4</v>
      </c>
      <c r="P1495">
        <v>12010.4</v>
      </c>
      <c r="Q1495">
        <v>0</v>
      </c>
    </row>
    <row r="1496" spans="7:17" x14ac:dyDescent="0.25">
      <c r="G1496" t="str">
        <f t="shared" si="23"/>
        <v/>
      </c>
      <c r="H1496" t="s">
        <v>46</v>
      </c>
      <c r="I1496" t="s">
        <v>11</v>
      </c>
      <c r="J1496" t="s">
        <v>7</v>
      </c>
      <c r="K1496" t="s">
        <v>36</v>
      </c>
      <c r="L1496" t="s">
        <v>44</v>
      </c>
      <c r="M1496" t="s">
        <v>19</v>
      </c>
      <c r="N1496">
        <v>7</v>
      </c>
      <c r="O1496">
        <v>3</v>
      </c>
      <c r="P1496">
        <v>2490.3000000000002</v>
      </c>
      <c r="Q1496">
        <v>2202.17</v>
      </c>
    </row>
    <row r="1497" spans="7:17" x14ac:dyDescent="0.25">
      <c r="G1497" t="str">
        <f t="shared" si="23"/>
        <v/>
      </c>
      <c r="H1497" t="s">
        <v>46</v>
      </c>
      <c r="I1497" t="s">
        <v>11</v>
      </c>
      <c r="J1497" t="s">
        <v>7</v>
      </c>
      <c r="K1497" t="s">
        <v>36</v>
      </c>
      <c r="L1497" t="s">
        <v>44</v>
      </c>
      <c r="M1497" t="s">
        <v>20</v>
      </c>
      <c r="N1497">
        <v>8</v>
      </c>
      <c r="O1497">
        <v>2</v>
      </c>
      <c r="P1497">
        <v>2043.82</v>
      </c>
      <c r="Q1497">
        <v>0</v>
      </c>
    </row>
    <row r="1498" spans="7:17" x14ac:dyDescent="0.25">
      <c r="G1498" t="str">
        <f t="shared" si="23"/>
        <v/>
      </c>
      <c r="H1498" t="s">
        <v>46</v>
      </c>
      <c r="I1498" t="s">
        <v>11</v>
      </c>
      <c r="J1498" t="s">
        <v>7</v>
      </c>
      <c r="K1498" t="s">
        <v>36</v>
      </c>
      <c r="L1498" t="s">
        <v>39</v>
      </c>
      <c r="M1498" t="s">
        <v>19</v>
      </c>
      <c r="N1498">
        <v>2</v>
      </c>
      <c r="O1498">
        <v>2</v>
      </c>
      <c r="P1498">
        <v>1912.15</v>
      </c>
      <c r="Q1498">
        <v>1470.1499999999999</v>
      </c>
    </row>
    <row r="1499" spans="7:17" x14ac:dyDescent="0.25">
      <c r="G1499" t="str">
        <f t="shared" si="23"/>
        <v/>
      </c>
      <c r="H1499" t="s">
        <v>46</v>
      </c>
      <c r="I1499" t="s">
        <v>11</v>
      </c>
      <c r="J1499" t="s">
        <v>7</v>
      </c>
      <c r="K1499" t="s">
        <v>36</v>
      </c>
      <c r="L1499" t="s">
        <v>39</v>
      </c>
      <c r="M1499" t="s">
        <v>20</v>
      </c>
      <c r="N1499">
        <v>19</v>
      </c>
      <c r="O1499">
        <v>6</v>
      </c>
      <c r="P1499">
        <v>5189.5199999999995</v>
      </c>
      <c r="Q1499">
        <v>0</v>
      </c>
    </row>
    <row r="1500" spans="7:17" x14ac:dyDescent="0.25">
      <c r="G1500" t="str">
        <f t="shared" si="23"/>
        <v/>
      </c>
      <c r="H1500" t="s">
        <v>46</v>
      </c>
      <c r="I1500" t="s">
        <v>11</v>
      </c>
      <c r="J1500" t="s">
        <v>7</v>
      </c>
      <c r="K1500" t="s">
        <v>36</v>
      </c>
      <c r="L1500" t="s">
        <v>40</v>
      </c>
      <c r="M1500" t="s">
        <v>19</v>
      </c>
      <c r="N1500">
        <v>2</v>
      </c>
      <c r="O1500">
        <v>1</v>
      </c>
      <c r="P1500">
        <v>2064.25</v>
      </c>
      <c r="Q1500">
        <v>862.61</v>
      </c>
    </row>
    <row r="1501" spans="7:17" x14ac:dyDescent="0.25">
      <c r="G1501" t="str">
        <f t="shared" si="23"/>
        <v/>
      </c>
      <c r="H1501" t="s">
        <v>46</v>
      </c>
      <c r="I1501" t="s">
        <v>11</v>
      </c>
      <c r="J1501" t="s">
        <v>7</v>
      </c>
      <c r="K1501" t="s">
        <v>36</v>
      </c>
      <c r="L1501" t="s">
        <v>40</v>
      </c>
      <c r="M1501" t="s">
        <v>20</v>
      </c>
      <c r="N1501">
        <v>7</v>
      </c>
      <c r="O1501">
        <v>0</v>
      </c>
      <c r="P1501">
        <v>5037.6399999999994</v>
      </c>
      <c r="Q1501">
        <v>0</v>
      </c>
    </row>
    <row r="1502" spans="7:17" x14ac:dyDescent="0.25">
      <c r="G1502" t="str">
        <f t="shared" si="23"/>
        <v/>
      </c>
      <c r="H1502" t="s">
        <v>46</v>
      </c>
      <c r="I1502" t="s">
        <v>11</v>
      </c>
      <c r="J1502" t="s">
        <v>7</v>
      </c>
      <c r="K1502" t="s">
        <v>36</v>
      </c>
      <c r="L1502" t="s">
        <v>41</v>
      </c>
      <c r="M1502" t="s">
        <v>20</v>
      </c>
      <c r="N1502">
        <v>4</v>
      </c>
      <c r="O1502">
        <v>1</v>
      </c>
      <c r="P1502">
        <v>3520.33</v>
      </c>
      <c r="Q1502">
        <v>0</v>
      </c>
    </row>
    <row r="1503" spans="7:17" x14ac:dyDescent="0.25">
      <c r="G1503" t="str">
        <f t="shared" si="23"/>
        <v/>
      </c>
      <c r="H1503" t="s">
        <v>46</v>
      </c>
      <c r="I1503" t="s">
        <v>11</v>
      </c>
      <c r="J1503" t="s">
        <v>7</v>
      </c>
      <c r="K1503" t="s">
        <v>36</v>
      </c>
      <c r="L1503" t="s">
        <v>45</v>
      </c>
      <c r="M1503" t="s">
        <v>19</v>
      </c>
      <c r="N1503">
        <v>2</v>
      </c>
      <c r="O1503">
        <v>1</v>
      </c>
      <c r="P1503">
        <v>2488.52</v>
      </c>
      <c r="Q1503">
        <v>2305.5500000000002</v>
      </c>
    </row>
    <row r="1504" spans="7:17" x14ac:dyDescent="0.25">
      <c r="G1504" t="str">
        <f t="shared" si="23"/>
        <v/>
      </c>
      <c r="H1504" t="s">
        <v>46</v>
      </c>
      <c r="I1504" t="s">
        <v>11</v>
      </c>
      <c r="J1504" t="s">
        <v>7</v>
      </c>
      <c r="K1504" t="s">
        <v>36</v>
      </c>
      <c r="L1504" t="s">
        <v>45</v>
      </c>
      <c r="M1504" t="s">
        <v>20</v>
      </c>
      <c r="N1504">
        <v>26</v>
      </c>
      <c r="O1504">
        <v>6</v>
      </c>
      <c r="P1504">
        <v>4840.1500000000015</v>
      </c>
      <c r="Q1504">
        <v>0</v>
      </c>
    </row>
    <row r="1505" spans="7:17" x14ac:dyDescent="0.25">
      <c r="G1505" t="str">
        <f t="shared" si="23"/>
        <v/>
      </c>
      <c r="H1505" t="s">
        <v>46</v>
      </c>
      <c r="I1505" t="s">
        <v>11</v>
      </c>
      <c r="J1505" t="s">
        <v>7</v>
      </c>
      <c r="K1505" t="s">
        <v>37</v>
      </c>
      <c r="L1505" t="s">
        <v>42</v>
      </c>
      <c r="M1505" t="s">
        <v>19</v>
      </c>
      <c r="N1505">
        <v>137</v>
      </c>
      <c r="O1505">
        <v>9</v>
      </c>
      <c r="P1505">
        <v>12311.830000000005</v>
      </c>
      <c r="Q1505">
        <v>12286.310000000003</v>
      </c>
    </row>
    <row r="1506" spans="7:17" x14ac:dyDescent="0.25">
      <c r="G1506" t="str">
        <f t="shared" si="23"/>
        <v/>
      </c>
      <c r="H1506" t="s">
        <v>46</v>
      </c>
      <c r="I1506" t="s">
        <v>11</v>
      </c>
      <c r="J1506" t="s">
        <v>7</v>
      </c>
      <c r="K1506" t="s">
        <v>37</v>
      </c>
      <c r="L1506" t="s">
        <v>42</v>
      </c>
      <c r="M1506" t="s">
        <v>20</v>
      </c>
      <c r="N1506">
        <v>43</v>
      </c>
      <c r="O1506">
        <v>6</v>
      </c>
      <c r="P1506">
        <v>8813.9599999999991</v>
      </c>
      <c r="Q1506">
        <v>0</v>
      </c>
    </row>
    <row r="1507" spans="7:17" x14ac:dyDescent="0.25">
      <c r="G1507" t="str">
        <f t="shared" si="23"/>
        <v/>
      </c>
      <c r="H1507" t="s">
        <v>46</v>
      </c>
      <c r="I1507" t="s">
        <v>11</v>
      </c>
      <c r="J1507" t="s">
        <v>7</v>
      </c>
      <c r="K1507" t="s">
        <v>37</v>
      </c>
      <c r="L1507" t="s">
        <v>43</v>
      </c>
      <c r="M1507" t="s">
        <v>19</v>
      </c>
      <c r="N1507">
        <v>20</v>
      </c>
      <c r="O1507">
        <v>4</v>
      </c>
      <c r="P1507">
        <v>10841.800000000001</v>
      </c>
      <c r="Q1507">
        <v>10841.470000000001</v>
      </c>
    </row>
    <row r="1508" spans="7:17" x14ac:dyDescent="0.25">
      <c r="G1508" t="str">
        <f t="shared" si="23"/>
        <v/>
      </c>
      <c r="H1508" t="s">
        <v>46</v>
      </c>
      <c r="I1508" t="s">
        <v>11</v>
      </c>
      <c r="J1508" t="s">
        <v>7</v>
      </c>
      <c r="K1508" t="s">
        <v>37</v>
      </c>
      <c r="L1508" t="s">
        <v>43</v>
      </c>
      <c r="M1508" t="s">
        <v>20</v>
      </c>
      <c r="N1508">
        <v>10</v>
      </c>
      <c r="O1508">
        <v>2</v>
      </c>
      <c r="P1508">
        <v>3502.5299999999997</v>
      </c>
      <c r="Q1508">
        <v>0</v>
      </c>
    </row>
    <row r="1509" spans="7:17" x14ac:dyDescent="0.25">
      <c r="G1509" t="str">
        <f t="shared" si="23"/>
        <v/>
      </c>
      <c r="H1509" t="s">
        <v>46</v>
      </c>
      <c r="I1509" t="s">
        <v>11</v>
      </c>
      <c r="J1509" t="s">
        <v>7</v>
      </c>
      <c r="K1509" t="s">
        <v>37</v>
      </c>
      <c r="L1509" t="s">
        <v>44</v>
      </c>
      <c r="M1509" t="s">
        <v>19</v>
      </c>
      <c r="N1509">
        <v>6</v>
      </c>
      <c r="O1509">
        <v>3</v>
      </c>
      <c r="P1509">
        <v>4204.79</v>
      </c>
      <c r="Q1509">
        <v>3315.33</v>
      </c>
    </row>
    <row r="1510" spans="7:17" x14ac:dyDescent="0.25">
      <c r="G1510" t="str">
        <f t="shared" si="23"/>
        <v/>
      </c>
      <c r="H1510" t="s">
        <v>46</v>
      </c>
      <c r="I1510" t="s">
        <v>11</v>
      </c>
      <c r="J1510" t="s">
        <v>7</v>
      </c>
      <c r="K1510" t="s">
        <v>37</v>
      </c>
      <c r="L1510" t="s">
        <v>44</v>
      </c>
      <c r="M1510" t="s">
        <v>20</v>
      </c>
      <c r="N1510">
        <v>10</v>
      </c>
      <c r="O1510">
        <v>5</v>
      </c>
      <c r="P1510">
        <v>3534.5</v>
      </c>
      <c r="Q1510">
        <v>0</v>
      </c>
    </row>
    <row r="1511" spans="7:17" x14ac:dyDescent="0.25">
      <c r="G1511" t="str">
        <f t="shared" si="23"/>
        <v/>
      </c>
      <c r="H1511" t="s">
        <v>46</v>
      </c>
      <c r="I1511" t="s">
        <v>11</v>
      </c>
      <c r="J1511" t="s">
        <v>7</v>
      </c>
      <c r="K1511" t="s">
        <v>37</v>
      </c>
      <c r="L1511" t="s">
        <v>39</v>
      </c>
      <c r="M1511" t="s">
        <v>19</v>
      </c>
      <c r="N1511">
        <v>1</v>
      </c>
      <c r="O1511">
        <v>0</v>
      </c>
      <c r="P1511">
        <v>1529.1</v>
      </c>
      <c r="Q1511">
        <v>1529.1</v>
      </c>
    </row>
    <row r="1512" spans="7:17" x14ac:dyDescent="0.25">
      <c r="G1512" t="str">
        <f t="shared" si="23"/>
        <v/>
      </c>
      <c r="H1512" t="s">
        <v>46</v>
      </c>
      <c r="I1512" t="s">
        <v>11</v>
      </c>
      <c r="J1512" t="s">
        <v>7</v>
      </c>
      <c r="K1512" t="s">
        <v>37</v>
      </c>
      <c r="L1512" t="s">
        <v>39</v>
      </c>
      <c r="M1512" t="s">
        <v>20</v>
      </c>
      <c r="N1512">
        <v>10</v>
      </c>
      <c r="O1512">
        <v>4</v>
      </c>
      <c r="P1512">
        <v>2747.03</v>
      </c>
      <c r="Q1512">
        <v>0</v>
      </c>
    </row>
    <row r="1513" spans="7:17" x14ac:dyDescent="0.25">
      <c r="G1513" t="str">
        <f t="shared" si="23"/>
        <v/>
      </c>
      <c r="H1513" t="s">
        <v>46</v>
      </c>
      <c r="I1513" t="s">
        <v>11</v>
      </c>
      <c r="J1513" t="s">
        <v>7</v>
      </c>
      <c r="K1513" t="s">
        <v>37</v>
      </c>
      <c r="L1513" t="s">
        <v>40</v>
      </c>
      <c r="M1513" t="s">
        <v>19</v>
      </c>
      <c r="N1513">
        <v>1</v>
      </c>
      <c r="O1513">
        <v>0</v>
      </c>
      <c r="P1513">
        <v>1137.28</v>
      </c>
      <c r="Q1513">
        <v>1128</v>
      </c>
    </row>
    <row r="1514" spans="7:17" x14ac:dyDescent="0.25">
      <c r="G1514" t="str">
        <f t="shared" si="23"/>
        <v/>
      </c>
      <c r="H1514" t="s">
        <v>46</v>
      </c>
      <c r="I1514" t="s">
        <v>11</v>
      </c>
      <c r="J1514" t="s">
        <v>7</v>
      </c>
      <c r="K1514" t="s">
        <v>37</v>
      </c>
      <c r="L1514" t="s">
        <v>40</v>
      </c>
      <c r="M1514" t="s">
        <v>20</v>
      </c>
      <c r="N1514">
        <v>2</v>
      </c>
      <c r="O1514">
        <v>0</v>
      </c>
      <c r="P1514">
        <v>1202.08</v>
      </c>
      <c r="Q1514">
        <v>0</v>
      </c>
    </row>
    <row r="1515" spans="7:17" x14ac:dyDescent="0.25">
      <c r="G1515" t="str">
        <f t="shared" si="23"/>
        <v/>
      </c>
      <c r="H1515" t="s">
        <v>46</v>
      </c>
      <c r="I1515" t="s">
        <v>11</v>
      </c>
      <c r="J1515" t="s">
        <v>7</v>
      </c>
      <c r="K1515" t="s">
        <v>37</v>
      </c>
      <c r="L1515" t="s">
        <v>41</v>
      </c>
      <c r="M1515" t="s">
        <v>20</v>
      </c>
      <c r="N1515">
        <v>2</v>
      </c>
      <c r="O1515">
        <v>0</v>
      </c>
      <c r="P1515">
        <v>572.29</v>
      </c>
      <c r="Q1515">
        <v>0</v>
      </c>
    </row>
    <row r="1516" spans="7:17" x14ac:dyDescent="0.25">
      <c r="G1516" t="str">
        <f t="shared" si="23"/>
        <v/>
      </c>
      <c r="H1516" t="s">
        <v>46</v>
      </c>
      <c r="I1516" t="s">
        <v>11</v>
      </c>
      <c r="J1516" t="s">
        <v>7</v>
      </c>
      <c r="K1516" t="s">
        <v>37</v>
      </c>
      <c r="L1516" t="s">
        <v>45</v>
      </c>
      <c r="M1516" t="s">
        <v>19</v>
      </c>
      <c r="N1516">
        <v>1</v>
      </c>
      <c r="O1516">
        <v>0</v>
      </c>
      <c r="P1516">
        <v>6.44</v>
      </c>
      <c r="Q1516">
        <v>6.4399999999999995</v>
      </c>
    </row>
    <row r="1517" spans="7:17" x14ac:dyDescent="0.25">
      <c r="G1517" t="str">
        <f t="shared" si="23"/>
        <v/>
      </c>
      <c r="H1517" t="s">
        <v>46</v>
      </c>
      <c r="I1517" t="s">
        <v>11</v>
      </c>
      <c r="J1517" t="s">
        <v>7</v>
      </c>
      <c r="K1517" t="s">
        <v>37</v>
      </c>
      <c r="L1517" t="s">
        <v>45</v>
      </c>
      <c r="M1517" t="s">
        <v>20</v>
      </c>
      <c r="N1517">
        <v>29</v>
      </c>
      <c r="O1517">
        <v>9</v>
      </c>
      <c r="P1517">
        <v>37433.79</v>
      </c>
      <c r="Q1517">
        <v>0</v>
      </c>
    </row>
    <row r="1518" spans="7:17" x14ac:dyDescent="0.25">
      <c r="G1518" t="str">
        <f t="shared" si="23"/>
        <v/>
      </c>
      <c r="H1518" t="s">
        <v>46</v>
      </c>
      <c r="I1518" t="s">
        <v>11</v>
      </c>
      <c r="J1518" t="s">
        <v>7</v>
      </c>
      <c r="K1518" t="s">
        <v>38</v>
      </c>
      <c r="L1518" t="s">
        <v>42</v>
      </c>
      <c r="M1518" t="s">
        <v>19</v>
      </c>
      <c r="N1518">
        <v>723</v>
      </c>
      <c r="O1518">
        <v>1</v>
      </c>
      <c r="P1518">
        <v>337174.37000000168</v>
      </c>
      <c r="Q1518">
        <v>319954.1800000018</v>
      </c>
    </row>
    <row r="1519" spans="7:17" x14ac:dyDescent="0.25">
      <c r="G1519" t="str">
        <f t="shared" si="23"/>
        <v/>
      </c>
      <c r="H1519" t="s">
        <v>46</v>
      </c>
      <c r="I1519" t="s">
        <v>11</v>
      </c>
      <c r="J1519" t="s">
        <v>7</v>
      </c>
      <c r="K1519" t="s">
        <v>38</v>
      </c>
      <c r="L1519" t="s">
        <v>42</v>
      </c>
      <c r="M1519" t="s">
        <v>20</v>
      </c>
      <c r="N1519">
        <v>14</v>
      </c>
      <c r="O1519">
        <v>0</v>
      </c>
      <c r="P1519">
        <v>3048.2000000000003</v>
      </c>
      <c r="Q1519">
        <v>0</v>
      </c>
    </row>
    <row r="1520" spans="7:17" x14ac:dyDescent="0.25">
      <c r="G1520" t="str">
        <f t="shared" si="23"/>
        <v/>
      </c>
      <c r="H1520" t="s">
        <v>46</v>
      </c>
      <c r="I1520" t="s">
        <v>11</v>
      </c>
      <c r="J1520" t="s">
        <v>7</v>
      </c>
      <c r="K1520" t="s">
        <v>38</v>
      </c>
      <c r="L1520" t="s">
        <v>43</v>
      </c>
      <c r="M1520" t="s">
        <v>19</v>
      </c>
      <c r="N1520">
        <v>119</v>
      </c>
      <c r="O1520">
        <v>3</v>
      </c>
      <c r="P1520">
        <v>114730.22</v>
      </c>
      <c r="Q1520">
        <v>79172.249999999971</v>
      </c>
    </row>
    <row r="1521" spans="7:17" x14ac:dyDescent="0.25">
      <c r="G1521" t="str">
        <f t="shared" si="23"/>
        <v/>
      </c>
      <c r="H1521" t="s">
        <v>46</v>
      </c>
      <c r="I1521" t="s">
        <v>11</v>
      </c>
      <c r="J1521" t="s">
        <v>7</v>
      </c>
      <c r="K1521" t="s">
        <v>38</v>
      </c>
      <c r="L1521" t="s">
        <v>43</v>
      </c>
      <c r="M1521" t="s">
        <v>20</v>
      </c>
      <c r="N1521">
        <v>22</v>
      </c>
      <c r="O1521">
        <v>0</v>
      </c>
      <c r="P1521">
        <v>18967.629999999997</v>
      </c>
      <c r="Q1521">
        <v>0</v>
      </c>
    </row>
    <row r="1522" spans="7:17" x14ac:dyDescent="0.25">
      <c r="G1522" t="str">
        <f t="shared" si="23"/>
        <v/>
      </c>
      <c r="H1522" t="s">
        <v>46</v>
      </c>
      <c r="I1522" t="s">
        <v>11</v>
      </c>
      <c r="J1522" t="s">
        <v>7</v>
      </c>
      <c r="K1522" t="s">
        <v>38</v>
      </c>
      <c r="L1522" t="s">
        <v>44</v>
      </c>
      <c r="M1522" t="s">
        <v>19</v>
      </c>
      <c r="N1522">
        <v>20</v>
      </c>
      <c r="O1522">
        <v>4</v>
      </c>
      <c r="P1522">
        <v>22848.959999999999</v>
      </c>
      <c r="Q1522">
        <v>22163.609999999997</v>
      </c>
    </row>
    <row r="1523" spans="7:17" x14ac:dyDescent="0.25">
      <c r="G1523" t="str">
        <f t="shared" si="23"/>
        <v/>
      </c>
      <c r="H1523" t="s">
        <v>46</v>
      </c>
      <c r="I1523" t="s">
        <v>11</v>
      </c>
      <c r="J1523" t="s">
        <v>7</v>
      </c>
      <c r="K1523" t="s">
        <v>38</v>
      </c>
      <c r="L1523" t="s">
        <v>44</v>
      </c>
      <c r="M1523" t="s">
        <v>20</v>
      </c>
      <c r="N1523">
        <v>2</v>
      </c>
      <c r="O1523">
        <v>1</v>
      </c>
      <c r="P1523">
        <v>2181.75</v>
      </c>
      <c r="Q1523">
        <v>0</v>
      </c>
    </row>
    <row r="1524" spans="7:17" x14ac:dyDescent="0.25">
      <c r="G1524" t="str">
        <f t="shared" si="23"/>
        <v/>
      </c>
      <c r="H1524" t="s">
        <v>46</v>
      </c>
      <c r="I1524" t="s">
        <v>11</v>
      </c>
      <c r="J1524" t="s">
        <v>7</v>
      </c>
      <c r="K1524" t="s">
        <v>38</v>
      </c>
      <c r="L1524" t="s">
        <v>39</v>
      </c>
      <c r="M1524" t="s">
        <v>19</v>
      </c>
      <c r="N1524">
        <v>8</v>
      </c>
      <c r="O1524">
        <v>2</v>
      </c>
      <c r="P1524">
        <v>21998.219999999998</v>
      </c>
      <c r="Q1524">
        <v>20933.87</v>
      </c>
    </row>
    <row r="1525" spans="7:17" x14ac:dyDescent="0.25">
      <c r="G1525" t="str">
        <f t="shared" si="23"/>
        <v/>
      </c>
      <c r="H1525" t="s">
        <v>46</v>
      </c>
      <c r="I1525" t="s">
        <v>11</v>
      </c>
      <c r="J1525" t="s">
        <v>7</v>
      </c>
      <c r="K1525" t="s">
        <v>38</v>
      </c>
      <c r="L1525" t="s">
        <v>39</v>
      </c>
      <c r="M1525" t="s">
        <v>20</v>
      </c>
      <c r="N1525">
        <v>3</v>
      </c>
      <c r="O1525">
        <v>2</v>
      </c>
      <c r="P1525">
        <v>3770.45</v>
      </c>
      <c r="Q1525">
        <v>0</v>
      </c>
    </row>
    <row r="1526" spans="7:17" x14ac:dyDescent="0.25">
      <c r="G1526" t="str">
        <f t="shared" si="23"/>
        <v/>
      </c>
      <c r="H1526" t="s">
        <v>46</v>
      </c>
      <c r="I1526" t="s">
        <v>11</v>
      </c>
      <c r="J1526" t="s">
        <v>7</v>
      </c>
      <c r="K1526" t="s">
        <v>38</v>
      </c>
      <c r="L1526" t="s">
        <v>41</v>
      </c>
      <c r="M1526" t="s">
        <v>20</v>
      </c>
      <c r="N1526">
        <v>2</v>
      </c>
      <c r="O1526">
        <v>0</v>
      </c>
      <c r="P1526">
        <v>3875.6299999999997</v>
      </c>
      <c r="Q1526">
        <v>0</v>
      </c>
    </row>
    <row r="1527" spans="7:17" x14ac:dyDescent="0.25">
      <c r="G1527" t="str">
        <f t="shared" si="23"/>
        <v/>
      </c>
      <c r="H1527" t="s">
        <v>46</v>
      </c>
      <c r="I1527" t="s">
        <v>11</v>
      </c>
      <c r="J1527" t="s">
        <v>7</v>
      </c>
      <c r="K1527" t="s">
        <v>38</v>
      </c>
      <c r="L1527" t="s">
        <v>45</v>
      </c>
      <c r="M1527" t="s">
        <v>19</v>
      </c>
      <c r="N1527">
        <v>3</v>
      </c>
      <c r="O1527">
        <v>0</v>
      </c>
      <c r="P1527">
        <v>9.9600000000000009</v>
      </c>
      <c r="Q1527">
        <v>9.9600000000000009</v>
      </c>
    </row>
    <row r="1528" spans="7:17" x14ac:dyDescent="0.25">
      <c r="G1528" t="str">
        <f t="shared" si="23"/>
        <v/>
      </c>
      <c r="H1528" t="s">
        <v>46</v>
      </c>
      <c r="I1528" t="s">
        <v>11</v>
      </c>
      <c r="J1528" t="s">
        <v>7</v>
      </c>
      <c r="K1528" t="s">
        <v>38</v>
      </c>
      <c r="L1528" t="s">
        <v>45</v>
      </c>
      <c r="M1528" t="s">
        <v>20</v>
      </c>
      <c r="N1528">
        <v>26</v>
      </c>
      <c r="O1528">
        <v>9</v>
      </c>
      <c r="P1528">
        <v>23528.569999999992</v>
      </c>
      <c r="Q1528">
        <v>0</v>
      </c>
    </row>
    <row r="1529" spans="7:17" x14ac:dyDescent="0.25">
      <c r="G1529" t="str">
        <f t="shared" si="23"/>
        <v/>
      </c>
      <c r="H1529" t="s">
        <v>46</v>
      </c>
      <c r="I1529" t="s">
        <v>11</v>
      </c>
      <c r="J1529" t="s">
        <v>4</v>
      </c>
      <c r="K1529" t="s">
        <v>23</v>
      </c>
      <c r="L1529" t="s">
        <v>42</v>
      </c>
      <c r="M1529" t="s">
        <v>19</v>
      </c>
      <c r="N1529">
        <v>464</v>
      </c>
      <c r="O1529">
        <v>5</v>
      </c>
      <c r="P1529">
        <v>99888.979999999559</v>
      </c>
      <c r="Q1529">
        <v>98564.839999999545</v>
      </c>
    </row>
    <row r="1530" spans="7:17" x14ac:dyDescent="0.25">
      <c r="G1530" t="str">
        <f t="shared" si="23"/>
        <v/>
      </c>
      <c r="H1530" t="s">
        <v>46</v>
      </c>
      <c r="I1530" t="s">
        <v>11</v>
      </c>
      <c r="J1530" t="s">
        <v>4</v>
      </c>
      <c r="K1530" t="s">
        <v>23</v>
      </c>
      <c r="L1530" t="s">
        <v>42</v>
      </c>
      <c r="M1530" t="s">
        <v>20</v>
      </c>
      <c r="N1530">
        <v>168</v>
      </c>
      <c r="O1530">
        <v>3</v>
      </c>
      <c r="P1530">
        <v>46639.209999999992</v>
      </c>
      <c r="Q1530">
        <v>0</v>
      </c>
    </row>
    <row r="1531" spans="7:17" x14ac:dyDescent="0.25">
      <c r="G1531" t="str">
        <f t="shared" si="23"/>
        <v/>
      </c>
      <c r="H1531" t="s">
        <v>46</v>
      </c>
      <c r="I1531" t="s">
        <v>11</v>
      </c>
      <c r="J1531" t="s">
        <v>4</v>
      </c>
      <c r="K1531" t="s">
        <v>23</v>
      </c>
      <c r="L1531" t="s">
        <v>43</v>
      </c>
      <c r="M1531" t="s">
        <v>19</v>
      </c>
      <c r="N1531">
        <v>211</v>
      </c>
      <c r="O1531">
        <v>10</v>
      </c>
      <c r="P1531">
        <v>146720.00999999992</v>
      </c>
      <c r="Q1531">
        <v>112094.63000000008</v>
      </c>
    </row>
    <row r="1532" spans="7:17" x14ac:dyDescent="0.25">
      <c r="G1532" t="str">
        <f t="shared" si="23"/>
        <v/>
      </c>
      <c r="H1532" t="s">
        <v>46</v>
      </c>
      <c r="I1532" t="s">
        <v>11</v>
      </c>
      <c r="J1532" t="s">
        <v>4</v>
      </c>
      <c r="K1532" t="s">
        <v>23</v>
      </c>
      <c r="L1532" t="s">
        <v>43</v>
      </c>
      <c r="M1532" t="s">
        <v>20</v>
      </c>
      <c r="N1532">
        <v>130</v>
      </c>
      <c r="O1532">
        <v>9</v>
      </c>
      <c r="P1532">
        <v>110016.72000000003</v>
      </c>
      <c r="Q1532">
        <v>0</v>
      </c>
    </row>
    <row r="1533" spans="7:17" x14ac:dyDescent="0.25">
      <c r="G1533" t="str">
        <f t="shared" si="23"/>
        <v/>
      </c>
      <c r="H1533" t="s">
        <v>46</v>
      </c>
      <c r="I1533" t="s">
        <v>11</v>
      </c>
      <c r="J1533" t="s">
        <v>4</v>
      </c>
      <c r="K1533" t="s">
        <v>23</v>
      </c>
      <c r="L1533" t="s">
        <v>44</v>
      </c>
      <c r="M1533" t="s">
        <v>19</v>
      </c>
      <c r="N1533">
        <v>111</v>
      </c>
      <c r="O1533">
        <v>4</v>
      </c>
      <c r="P1533">
        <v>90957.130000000048</v>
      </c>
      <c r="Q1533">
        <v>59445.710000000043</v>
      </c>
    </row>
    <row r="1534" spans="7:17" x14ac:dyDescent="0.25">
      <c r="G1534" t="str">
        <f t="shared" si="23"/>
        <v/>
      </c>
      <c r="H1534" t="s">
        <v>46</v>
      </c>
      <c r="I1534" t="s">
        <v>11</v>
      </c>
      <c r="J1534" t="s">
        <v>4</v>
      </c>
      <c r="K1534" t="s">
        <v>23</v>
      </c>
      <c r="L1534" t="s">
        <v>44</v>
      </c>
      <c r="M1534" t="s">
        <v>20</v>
      </c>
      <c r="N1534">
        <v>26</v>
      </c>
      <c r="O1534">
        <v>8</v>
      </c>
      <c r="P1534">
        <v>13786.319999999996</v>
      </c>
      <c r="Q1534">
        <v>0</v>
      </c>
    </row>
    <row r="1535" spans="7:17" x14ac:dyDescent="0.25">
      <c r="G1535" t="str">
        <f t="shared" si="23"/>
        <v/>
      </c>
      <c r="H1535" t="s">
        <v>46</v>
      </c>
      <c r="I1535" t="s">
        <v>11</v>
      </c>
      <c r="J1535" t="s">
        <v>4</v>
      </c>
      <c r="K1535" t="s">
        <v>23</v>
      </c>
      <c r="L1535" t="s">
        <v>39</v>
      </c>
      <c r="M1535" t="s">
        <v>19</v>
      </c>
      <c r="N1535">
        <v>76</v>
      </c>
      <c r="O1535">
        <v>4</v>
      </c>
      <c r="P1535">
        <v>80862.64999999998</v>
      </c>
      <c r="Q1535">
        <v>36318.779999999984</v>
      </c>
    </row>
    <row r="1536" spans="7:17" x14ac:dyDescent="0.25">
      <c r="G1536" t="str">
        <f t="shared" si="23"/>
        <v/>
      </c>
      <c r="H1536" t="s">
        <v>46</v>
      </c>
      <c r="I1536" t="s">
        <v>11</v>
      </c>
      <c r="J1536" t="s">
        <v>4</v>
      </c>
      <c r="K1536" t="s">
        <v>23</v>
      </c>
      <c r="L1536" t="s">
        <v>39</v>
      </c>
      <c r="M1536" t="s">
        <v>20</v>
      </c>
      <c r="N1536">
        <v>14</v>
      </c>
      <c r="O1536">
        <v>3</v>
      </c>
      <c r="P1536">
        <v>7200.0100000000011</v>
      </c>
      <c r="Q1536">
        <v>0</v>
      </c>
    </row>
    <row r="1537" spans="7:17" x14ac:dyDescent="0.25">
      <c r="G1537" t="str">
        <f t="shared" si="23"/>
        <v/>
      </c>
      <c r="H1537" t="s">
        <v>46</v>
      </c>
      <c r="I1537" t="s">
        <v>11</v>
      </c>
      <c r="J1537" t="s">
        <v>4</v>
      </c>
      <c r="K1537" t="s">
        <v>23</v>
      </c>
      <c r="L1537" t="s">
        <v>40</v>
      </c>
      <c r="M1537" t="s">
        <v>19</v>
      </c>
      <c r="N1537">
        <v>6</v>
      </c>
      <c r="O1537">
        <v>0</v>
      </c>
      <c r="P1537">
        <v>7317.34</v>
      </c>
      <c r="Q1537">
        <v>4321.3500000000004</v>
      </c>
    </row>
    <row r="1538" spans="7:17" x14ac:dyDescent="0.25">
      <c r="G1538" t="str">
        <f t="shared" ref="G1538:G1601" si="24">IF(G$1="Overall","Overall",IF(G$1=L1538,L1538,""))</f>
        <v/>
      </c>
      <c r="H1538" t="s">
        <v>46</v>
      </c>
      <c r="I1538" t="s">
        <v>11</v>
      </c>
      <c r="J1538" t="s">
        <v>4</v>
      </c>
      <c r="K1538" t="s">
        <v>23</v>
      </c>
      <c r="L1538" t="s">
        <v>40</v>
      </c>
      <c r="M1538" t="s">
        <v>20</v>
      </c>
      <c r="N1538">
        <v>14</v>
      </c>
      <c r="O1538">
        <v>0</v>
      </c>
      <c r="P1538">
        <v>13685.71</v>
      </c>
      <c r="Q1538">
        <v>0</v>
      </c>
    </row>
    <row r="1539" spans="7:17" x14ac:dyDescent="0.25">
      <c r="G1539" t="str">
        <f t="shared" si="24"/>
        <v/>
      </c>
      <c r="H1539" t="s">
        <v>46</v>
      </c>
      <c r="I1539" t="s">
        <v>11</v>
      </c>
      <c r="J1539" t="s">
        <v>4</v>
      </c>
      <c r="K1539" t="s">
        <v>23</v>
      </c>
      <c r="L1539" t="s">
        <v>41</v>
      </c>
      <c r="M1539" t="s">
        <v>20</v>
      </c>
      <c r="N1539">
        <v>15</v>
      </c>
      <c r="O1539">
        <v>1</v>
      </c>
      <c r="P1539">
        <v>9275.1899999999987</v>
      </c>
      <c r="Q1539">
        <v>0</v>
      </c>
    </row>
    <row r="1540" spans="7:17" x14ac:dyDescent="0.25">
      <c r="G1540" t="str">
        <f t="shared" si="24"/>
        <v/>
      </c>
      <c r="H1540" t="s">
        <v>46</v>
      </c>
      <c r="I1540" t="s">
        <v>11</v>
      </c>
      <c r="J1540" t="s">
        <v>4</v>
      </c>
      <c r="K1540" t="s">
        <v>23</v>
      </c>
      <c r="L1540" t="s">
        <v>45</v>
      </c>
      <c r="M1540" t="s">
        <v>19</v>
      </c>
      <c r="N1540">
        <v>7</v>
      </c>
      <c r="O1540">
        <v>0</v>
      </c>
      <c r="P1540">
        <v>23598.33</v>
      </c>
      <c r="Q1540">
        <v>3895.2499999999995</v>
      </c>
    </row>
    <row r="1541" spans="7:17" x14ac:dyDescent="0.25">
      <c r="G1541" t="str">
        <f t="shared" si="24"/>
        <v/>
      </c>
      <c r="H1541" t="s">
        <v>46</v>
      </c>
      <c r="I1541" t="s">
        <v>11</v>
      </c>
      <c r="J1541" t="s">
        <v>4</v>
      </c>
      <c r="K1541" t="s">
        <v>23</v>
      </c>
      <c r="L1541" t="s">
        <v>45</v>
      </c>
      <c r="M1541" t="s">
        <v>20</v>
      </c>
      <c r="N1541">
        <v>117</v>
      </c>
      <c r="O1541">
        <v>24</v>
      </c>
      <c r="P1541">
        <v>113506.97000000003</v>
      </c>
      <c r="Q1541">
        <v>0</v>
      </c>
    </row>
    <row r="1542" spans="7:17" x14ac:dyDescent="0.25">
      <c r="G1542" t="str">
        <f t="shared" si="24"/>
        <v/>
      </c>
      <c r="H1542" t="s">
        <v>46</v>
      </c>
      <c r="I1542" t="s">
        <v>11</v>
      </c>
      <c r="J1542" t="s">
        <v>4</v>
      </c>
      <c r="K1542" t="s">
        <v>24</v>
      </c>
      <c r="L1542" t="s">
        <v>42</v>
      </c>
      <c r="M1542" t="s">
        <v>19</v>
      </c>
      <c r="N1542">
        <v>357</v>
      </c>
      <c r="O1542">
        <v>11</v>
      </c>
      <c r="P1542">
        <v>86392.150000000169</v>
      </c>
      <c r="Q1542">
        <v>86366.040000000168</v>
      </c>
    </row>
    <row r="1543" spans="7:17" x14ac:dyDescent="0.25">
      <c r="G1543" t="str">
        <f t="shared" si="24"/>
        <v/>
      </c>
      <c r="H1543" t="s">
        <v>46</v>
      </c>
      <c r="I1543" t="s">
        <v>11</v>
      </c>
      <c r="J1543" t="s">
        <v>4</v>
      </c>
      <c r="K1543" t="s">
        <v>24</v>
      </c>
      <c r="L1543" t="s">
        <v>42</v>
      </c>
      <c r="M1543" t="s">
        <v>20</v>
      </c>
      <c r="N1543">
        <v>31</v>
      </c>
      <c r="O1543">
        <v>2</v>
      </c>
      <c r="P1543">
        <v>54416.869999999988</v>
      </c>
      <c r="Q1543">
        <v>0</v>
      </c>
    </row>
    <row r="1544" spans="7:17" x14ac:dyDescent="0.25">
      <c r="G1544" t="str">
        <f t="shared" si="24"/>
        <v/>
      </c>
      <c r="H1544" t="s">
        <v>46</v>
      </c>
      <c r="I1544" t="s">
        <v>11</v>
      </c>
      <c r="J1544" t="s">
        <v>4</v>
      </c>
      <c r="K1544" t="s">
        <v>24</v>
      </c>
      <c r="L1544" t="s">
        <v>43</v>
      </c>
      <c r="M1544" t="s">
        <v>19</v>
      </c>
      <c r="N1544">
        <v>186</v>
      </c>
      <c r="O1544">
        <v>7</v>
      </c>
      <c r="P1544">
        <v>142900.24000000008</v>
      </c>
      <c r="Q1544">
        <v>113648.12000000024</v>
      </c>
    </row>
    <row r="1545" spans="7:17" x14ac:dyDescent="0.25">
      <c r="G1545" t="str">
        <f t="shared" si="24"/>
        <v/>
      </c>
      <c r="H1545" t="s">
        <v>46</v>
      </c>
      <c r="I1545" t="s">
        <v>11</v>
      </c>
      <c r="J1545" t="s">
        <v>4</v>
      </c>
      <c r="K1545" t="s">
        <v>24</v>
      </c>
      <c r="L1545" t="s">
        <v>43</v>
      </c>
      <c r="M1545" t="s">
        <v>20</v>
      </c>
      <c r="N1545">
        <v>28</v>
      </c>
      <c r="O1545">
        <v>2</v>
      </c>
      <c r="P1545">
        <v>23812.660000000003</v>
      </c>
      <c r="Q1545">
        <v>0</v>
      </c>
    </row>
    <row r="1546" spans="7:17" x14ac:dyDescent="0.25">
      <c r="G1546" t="str">
        <f t="shared" si="24"/>
        <v/>
      </c>
      <c r="H1546" t="s">
        <v>46</v>
      </c>
      <c r="I1546" t="s">
        <v>11</v>
      </c>
      <c r="J1546" t="s">
        <v>4</v>
      </c>
      <c r="K1546" t="s">
        <v>24</v>
      </c>
      <c r="L1546" t="s">
        <v>44</v>
      </c>
      <c r="M1546" t="s">
        <v>19</v>
      </c>
      <c r="N1546">
        <v>75</v>
      </c>
      <c r="O1546">
        <v>5</v>
      </c>
      <c r="P1546">
        <v>93720.470000000016</v>
      </c>
      <c r="Q1546">
        <v>71681.920000000027</v>
      </c>
    </row>
    <row r="1547" spans="7:17" x14ac:dyDescent="0.25">
      <c r="G1547" t="str">
        <f t="shared" si="24"/>
        <v/>
      </c>
      <c r="H1547" t="s">
        <v>46</v>
      </c>
      <c r="I1547" t="s">
        <v>11</v>
      </c>
      <c r="J1547" t="s">
        <v>4</v>
      </c>
      <c r="K1547" t="s">
        <v>24</v>
      </c>
      <c r="L1547" t="s">
        <v>44</v>
      </c>
      <c r="M1547" t="s">
        <v>20</v>
      </c>
      <c r="N1547">
        <v>11</v>
      </c>
      <c r="O1547">
        <v>3</v>
      </c>
      <c r="P1547">
        <v>22439.14</v>
      </c>
      <c r="Q1547">
        <v>0</v>
      </c>
    </row>
    <row r="1548" spans="7:17" x14ac:dyDescent="0.25">
      <c r="G1548" t="str">
        <f t="shared" si="24"/>
        <v/>
      </c>
      <c r="H1548" t="s">
        <v>46</v>
      </c>
      <c r="I1548" t="s">
        <v>11</v>
      </c>
      <c r="J1548" t="s">
        <v>4</v>
      </c>
      <c r="K1548" t="s">
        <v>24</v>
      </c>
      <c r="L1548" t="s">
        <v>39</v>
      </c>
      <c r="M1548" t="s">
        <v>19</v>
      </c>
      <c r="N1548">
        <v>3</v>
      </c>
      <c r="O1548">
        <v>1</v>
      </c>
      <c r="P1548">
        <v>3892.33</v>
      </c>
      <c r="Q1548">
        <v>3522.9900000000002</v>
      </c>
    </row>
    <row r="1549" spans="7:17" x14ac:dyDescent="0.25">
      <c r="G1549" t="str">
        <f t="shared" si="24"/>
        <v/>
      </c>
      <c r="H1549" t="s">
        <v>46</v>
      </c>
      <c r="I1549" t="s">
        <v>11</v>
      </c>
      <c r="J1549" t="s">
        <v>4</v>
      </c>
      <c r="K1549" t="s">
        <v>24</v>
      </c>
      <c r="L1549" t="s">
        <v>40</v>
      </c>
      <c r="M1549" t="s">
        <v>19</v>
      </c>
      <c r="N1549">
        <v>3</v>
      </c>
      <c r="O1549">
        <v>0</v>
      </c>
      <c r="P1549">
        <v>11010.189999999999</v>
      </c>
      <c r="Q1549">
        <v>6971.7699999999995</v>
      </c>
    </row>
    <row r="1550" spans="7:17" x14ac:dyDescent="0.25">
      <c r="G1550" t="str">
        <f t="shared" si="24"/>
        <v/>
      </c>
      <c r="H1550" t="s">
        <v>46</v>
      </c>
      <c r="I1550" t="s">
        <v>11</v>
      </c>
      <c r="J1550" t="s">
        <v>4</v>
      </c>
      <c r="K1550" t="s">
        <v>24</v>
      </c>
      <c r="L1550" t="s">
        <v>41</v>
      </c>
      <c r="M1550" t="s">
        <v>19</v>
      </c>
      <c r="N1550">
        <v>3</v>
      </c>
      <c r="O1550">
        <v>0</v>
      </c>
      <c r="P1550">
        <v>5175.18</v>
      </c>
      <c r="Q1550">
        <v>2831.49</v>
      </c>
    </row>
    <row r="1551" spans="7:17" x14ac:dyDescent="0.25">
      <c r="G1551" t="str">
        <f t="shared" si="24"/>
        <v/>
      </c>
      <c r="H1551" t="s">
        <v>46</v>
      </c>
      <c r="I1551" t="s">
        <v>11</v>
      </c>
      <c r="J1551" t="s">
        <v>4</v>
      </c>
      <c r="K1551" t="s">
        <v>24</v>
      </c>
      <c r="L1551" t="s">
        <v>41</v>
      </c>
      <c r="M1551" t="s">
        <v>20</v>
      </c>
      <c r="N1551">
        <v>6</v>
      </c>
      <c r="O1551">
        <v>0</v>
      </c>
      <c r="P1551">
        <v>3128.91</v>
      </c>
      <c r="Q1551">
        <v>0</v>
      </c>
    </row>
    <row r="1552" spans="7:17" x14ac:dyDescent="0.25">
      <c r="G1552" t="str">
        <f t="shared" si="24"/>
        <v/>
      </c>
      <c r="H1552" t="s">
        <v>46</v>
      </c>
      <c r="I1552" t="s">
        <v>11</v>
      </c>
      <c r="J1552" t="s">
        <v>4</v>
      </c>
      <c r="K1552" t="s">
        <v>24</v>
      </c>
      <c r="L1552" t="s">
        <v>45</v>
      </c>
      <c r="M1552" t="s">
        <v>20</v>
      </c>
      <c r="N1552">
        <v>39</v>
      </c>
      <c r="O1552">
        <v>6</v>
      </c>
      <c r="P1552">
        <v>14660.02</v>
      </c>
      <c r="Q1552">
        <v>0</v>
      </c>
    </row>
    <row r="1553" spans="7:17" x14ac:dyDescent="0.25">
      <c r="G1553" t="str">
        <f t="shared" si="24"/>
        <v/>
      </c>
      <c r="H1553" t="s">
        <v>46</v>
      </c>
      <c r="I1553" t="s">
        <v>11</v>
      </c>
      <c r="J1553" t="s">
        <v>4</v>
      </c>
      <c r="K1553" t="s">
        <v>25</v>
      </c>
      <c r="L1553" t="s">
        <v>42</v>
      </c>
      <c r="M1553" t="s">
        <v>19</v>
      </c>
      <c r="N1553">
        <v>541</v>
      </c>
      <c r="O1553">
        <v>28</v>
      </c>
      <c r="P1553">
        <v>131989.26000000013</v>
      </c>
      <c r="Q1553">
        <v>130815.80000000022</v>
      </c>
    </row>
    <row r="1554" spans="7:17" x14ac:dyDescent="0.25">
      <c r="G1554" t="str">
        <f t="shared" si="24"/>
        <v/>
      </c>
      <c r="H1554" t="s">
        <v>46</v>
      </c>
      <c r="I1554" t="s">
        <v>11</v>
      </c>
      <c r="J1554" t="s">
        <v>4</v>
      </c>
      <c r="K1554" t="s">
        <v>25</v>
      </c>
      <c r="L1554" t="s">
        <v>42</v>
      </c>
      <c r="M1554" t="s">
        <v>20</v>
      </c>
      <c r="N1554">
        <v>1056</v>
      </c>
      <c r="O1554">
        <v>11</v>
      </c>
      <c r="P1554">
        <v>63963.259999999558</v>
      </c>
      <c r="Q1554">
        <v>0</v>
      </c>
    </row>
    <row r="1555" spans="7:17" x14ac:dyDescent="0.25">
      <c r="G1555" t="str">
        <f t="shared" si="24"/>
        <v/>
      </c>
      <c r="H1555" t="s">
        <v>46</v>
      </c>
      <c r="I1555" t="s">
        <v>11</v>
      </c>
      <c r="J1555" t="s">
        <v>4</v>
      </c>
      <c r="K1555" t="s">
        <v>25</v>
      </c>
      <c r="L1555" t="s">
        <v>43</v>
      </c>
      <c r="M1555" t="s">
        <v>19</v>
      </c>
      <c r="N1555">
        <v>186</v>
      </c>
      <c r="O1555">
        <v>26</v>
      </c>
      <c r="P1555">
        <v>116507.20999999998</v>
      </c>
      <c r="Q1555">
        <v>106061.28000000007</v>
      </c>
    </row>
    <row r="1556" spans="7:17" x14ac:dyDescent="0.25">
      <c r="G1556" t="str">
        <f t="shared" si="24"/>
        <v/>
      </c>
      <c r="H1556" t="s">
        <v>46</v>
      </c>
      <c r="I1556" t="s">
        <v>11</v>
      </c>
      <c r="J1556" t="s">
        <v>4</v>
      </c>
      <c r="K1556" t="s">
        <v>25</v>
      </c>
      <c r="L1556" t="s">
        <v>43</v>
      </c>
      <c r="M1556" t="s">
        <v>20</v>
      </c>
      <c r="N1556">
        <v>178</v>
      </c>
      <c r="O1556">
        <v>17</v>
      </c>
      <c r="P1556">
        <v>81743.270000000033</v>
      </c>
      <c r="Q1556">
        <v>0</v>
      </c>
    </row>
    <row r="1557" spans="7:17" x14ac:dyDescent="0.25">
      <c r="G1557" t="str">
        <f t="shared" si="24"/>
        <v/>
      </c>
      <c r="H1557" t="s">
        <v>46</v>
      </c>
      <c r="I1557" t="s">
        <v>11</v>
      </c>
      <c r="J1557" t="s">
        <v>4</v>
      </c>
      <c r="K1557" t="s">
        <v>25</v>
      </c>
      <c r="L1557" t="s">
        <v>44</v>
      </c>
      <c r="M1557" t="s">
        <v>19</v>
      </c>
      <c r="N1557">
        <v>55</v>
      </c>
      <c r="O1557">
        <v>6</v>
      </c>
      <c r="P1557">
        <v>58341.840000000011</v>
      </c>
      <c r="Q1557">
        <v>43728.220000000008</v>
      </c>
    </row>
    <row r="1558" spans="7:17" x14ac:dyDescent="0.25">
      <c r="G1558" t="str">
        <f t="shared" si="24"/>
        <v/>
      </c>
      <c r="H1558" t="s">
        <v>46</v>
      </c>
      <c r="I1558" t="s">
        <v>11</v>
      </c>
      <c r="J1558" t="s">
        <v>4</v>
      </c>
      <c r="K1558" t="s">
        <v>25</v>
      </c>
      <c r="L1558" t="s">
        <v>44</v>
      </c>
      <c r="M1558" t="s">
        <v>20</v>
      </c>
      <c r="N1558">
        <v>174</v>
      </c>
      <c r="O1558">
        <v>12</v>
      </c>
      <c r="P1558">
        <v>43841.870000000337</v>
      </c>
      <c r="Q1558">
        <v>0</v>
      </c>
    </row>
    <row r="1559" spans="7:17" x14ac:dyDescent="0.25">
      <c r="G1559" t="str">
        <f t="shared" si="24"/>
        <v/>
      </c>
      <c r="H1559" t="s">
        <v>46</v>
      </c>
      <c r="I1559" t="s">
        <v>11</v>
      </c>
      <c r="J1559" t="s">
        <v>4</v>
      </c>
      <c r="K1559" t="s">
        <v>25</v>
      </c>
      <c r="L1559" t="s">
        <v>39</v>
      </c>
      <c r="M1559" t="s">
        <v>19</v>
      </c>
      <c r="N1559">
        <v>43</v>
      </c>
      <c r="O1559">
        <v>3</v>
      </c>
      <c r="P1559">
        <v>98641.420000000042</v>
      </c>
      <c r="Q1559">
        <v>88991.710000000065</v>
      </c>
    </row>
    <row r="1560" spans="7:17" x14ac:dyDescent="0.25">
      <c r="G1560" t="str">
        <f t="shared" si="24"/>
        <v/>
      </c>
      <c r="H1560" t="s">
        <v>46</v>
      </c>
      <c r="I1560" t="s">
        <v>11</v>
      </c>
      <c r="J1560" t="s">
        <v>4</v>
      </c>
      <c r="K1560" t="s">
        <v>25</v>
      </c>
      <c r="L1560" t="s">
        <v>39</v>
      </c>
      <c r="M1560" t="s">
        <v>20</v>
      </c>
      <c r="N1560">
        <v>21</v>
      </c>
      <c r="O1560">
        <v>11</v>
      </c>
      <c r="P1560">
        <v>18081.02</v>
      </c>
      <c r="Q1560">
        <v>0</v>
      </c>
    </row>
    <row r="1561" spans="7:17" x14ac:dyDescent="0.25">
      <c r="G1561" t="str">
        <f t="shared" si="24"/>
        <v/>
      </c>
      <c r="H1561" t="s">
        <v>46</v>
      </c>
      <c r="I1561" t="s">
        <v>11</v>
      </c>
      <c r="J1561" t="s">
        <v>4</v>
      </c>
      <c r="K1561" t="s">
        <v>25</v>
      </c>
      <c r="L1561" t="s">
        <v>40</v>
      </c>
      <c r="M1561" t="s">
        <v>19</v>
      </c>
      <c r="N1561">
        <v>7</v>
      </c>
      <c r="O1561">
        <v>0</v>
      </c>
      <c r="P1561">
        <v>7112.4800000000005</v>
      </c>
      <c r="Q1561">
        <v>4372.95</v>
      </c>
    </row>
    <row r="1562" spans="7:17" x14ac:dyDescent="0.25">
      <c r="G1562" t="str">
        <f t="shared" si="24"/>
        <v/>
      </c>
      <c r="H1562" t="s">
        <v>46</v>
      </c>
      <c r="I1562" t="s">
        <v>11</v>
      </c>
      <c r="J1562" t="s">
        <v>4</v>
      </c>
      <c r="K1562" t="s">
        <v>25</v>
      </c>
      <c r="L1562" t="s">
        <v>40</v>
      </c>
      <c r="M1562" t="s">
        <v>20</v>
      </c>
      <c r="N1562">
        <v>17</v>
      </c>
      <c r="O1562">
        <v>3</v>
      </c>
      <c r="P1562">
        <v>8000.95</v>
      </c>
      <c r="Q1562">
        <v>0</v>
      </c>
    </row>
    <row r="1563" spans="7:17" x14ac:dyDescent="0.25">
      <c r="G1563" t="str">
        <f t="shared" si="24"/>
        <v/>
      </c>
      <c r="H1563" t="s">
        <v>46</v>
      </c>
      <c r="I1563" t="s">
        <v>11</v>
      </c>
      <c r="J1563" t="s">
        <v>4</v>
      </c>
      <c r="K1563" t="s">
        <v>25</v>
      </c>
      <c r="L1563" t="s">
        <v>41</v>
      </c>
      <c r="M1563" t="s">
        <v>19</v>
      </c>
      <c r="N1563">
        <v>2</v>
      </c>
      <c r="O1563">
        <v>1</v>
      </c>
      <c r="P1563">
        <v>1606.5</v>
      </c>
      <c r="Q1563">
        <v>1536.76</v>
      </c>
    </row>
    <row r="1564" spans="7:17" x14ac:dyDescent="0.25">
      <c r="G1564" t="str">
        <f t="shared" si="24"/>
        <v/>
      </c>
      <c r="H1564" t="s">
        <v>46</v>
      </c>
      <c r="I1564" t="s">
        <v>11</v>
      </c>
      <c r="J1564" t="s">
        <v>4</v>
      </c>
      <c r="K1564" t="s">
        <v>25</v>
      </c>
      <c r="L1564" t="s">
        <v>41</v>
      </c>
      <c r="M1564" t="s">
        <v>20</v>
      </c>
      <c r="N1564">
        <v>58</v>
      </c>
      <c r="O1564">
        <v>2</v>
      </c>
      <c r="P1564">
        <v>32760.920000000002</v>
      </c>
      <c r="Q1564">
        <v>0</v>
      </c>
    </row>
    <row r="1565" spans="7:17" x14ac:dyDescent="0.25">
      <c r="G1565" t="str">
        <f t="shared" si="24"/>
        <v/>
      </c>
      <c r="H1565" t="s">
        <v>46</v>
      </c>
      <c r="I1565" t="s">
        <v>11</v>
      </c>
      <c r="J1565" t="s">
        <v>4</v>
      </c>
      <c r="K1565" t="s">
        <v>25</v>
      </c>
      <c r="L1565" t="s">
        <v>45</v>
      </c>
      <c r="M1565" t="s">
        <v>19</v>
      </c>
      <c r="N1565">
        <v>1</v>
      </c>
      <c r="O1565">
        <v>0</v>
      </c>
      <c r="P1565">
        <v>53.5</v>
      </c>
      <c r="Q1565">
        <v>53.5</v>
      </c>
    </row>
    <row r="1566" spans="7:17" x14ac:dyDescent="0.25">
      <c r="G1566" t="str">
        <f t="shared" si="24"/>
        <v/>
      </c>
      <c r="H1566" t="s">
        <v>46</v>
      </c>
      <c r="I1566" t="s">
        <v>11</v>
      </c>
      <c r="J1566" t="s">
        <v>4</v>
      </c>
      <c r="K1566" t="s">
        <v>25</v>
      </c>
      <c r="L1566" t="s">
        <v>45</v>
      </c>
      <c r="M1566" t="s">
        <v>20</v>
      </c>
      <c r="N1566">
        <v>161</v>
      </c>
      <c r="O1566">
        <v>23</v>
      </c>
      <c r="P1566">
        <v>83698.130000000048</v>
      </c>
      <c r="Q1566">
        <v>0</v>
      </c>
    </row>
    <row r="1567" spans="7:17" x14ac:dyDescent="0.25">
      <c r="G1567" t="str">
        <f t="shared" si="24"/>
        <v/>
      </c>
      <c r="H1567" t="s">
        <v>46</v>
      </c>
      <c r="I1567" t="s">
        <v>11</v>
      </c>
      <c r="J1567" t="s">
        <v>4</v>
      </c>
      <c r="K1567" t="s">
        <v>26</v>
      </c>
      <c r="L1567" t="s">
        <v>42</v>
      </c>
      <c r="M1567" t="s">
        <v>19</v>
      </c>
      <c r="N1567">
        <v>393</v>
      </c>
      <c r="O1567">
        <v>21</v>
      </c>
      <c r="P1567">
        <v>100965.0100000002</v>
      </c>
      <c r="Q1567">
        <v>96576.36000000019</v>
      </c>
    </row>
    <row r="1568" spans="7:17" x14ac:dyDescent="0.25">
      <c r="G1568" t="str">
        <f t="shared" si="24"/>
        <v/>
      </c>
      <c r="H1568" t="s">
        <v>46</v>
      </c>
      <c r="I1568" t="s">
        <v>11</v>
      </c>
      <c r="J1568" t="s">
        <v>4</v>
      </c>
      <c r="K1568" t="s">
        <v>26</v>
      </c>
      <c r="L1568" t="s">
        <v>42</v>
      </c>
      <c r="M1568" t="s">
        <v>20</v>
      </c>
      <c r="N1568">
        <v>55</v>
      </c>
      <c r="O1568">
        <v>10</v>
      </c>
      <c r="P1568">
        <v>12247.34</v>
      </c>
      <c r="Q1568">
        <v>0</v>
      </c>
    </row>
    <row r="1569" spans="7:17" x14ac:dyDescent="0.25">
      <c r="G1569" t="str">
        <f t="shared" si="24"/>
        <v/>
      </c>
      <c r="H1569" t="s">
        <v>46</v>
      </c>
      <c r="I1569" t="s">
        <v>11</v>
      </c>
      <c r="J1569" t="s">
        <v>4</v>
      </c>
      <c r="K1569" t="s">
        <v>26</v>
      </c>
      <c r="L1569" t="s">
        <v>43</v>
      </c>
      <c r="M1569" t="s">
        <v>19</v>
      </c>
      <c r="N1569">
        <v>61</v>
      </c>
      <c r="O1569">
        <v>11</v>
      </c>
      <c r="P1569">
        <v>39924.069999999985</v>
      </c>
      <c r="Q1569">
        <v>35523.919999999984</v>
      </c>
    </row>
    <row r="1570" spans="7:17" x14ac:dyDescent="0.25">
      <c r="G1570" t="str">
        <f t="shared" si="24"/>
        <v/>
      </c>
      <c r="H1570" t="s">
        <v>46</v>
      </c>
      <c r="I1570" t="s">
        <v>11</v>
      </c>
      <c r="J1570" t="s">
        <v>4</v>
      </c>
      <c r="K1570" t="s">
        <v>26</v>
      </c>
      <c r="L1570" t="s">
        <v>43</v>
      </c>
      <c r="M1570" t="s">
        <v>20</v>
      </c>
      <c r="N1570">
        <v>30</v>
      </c>
      <c r="O1570">
        <v>3</v>
      </c>
      <c r="P1570">
        <v>6069.5400000000009</v>
      </c>
      <c r="Q1570">
        <v>0</v>
      </c>
    </row>
    <row r="1571" spans="7:17" x14ac:dyDescent="0.25">
      <c r="G1571" t="str">
        <f t="shared" si="24"/>
        <v/>
      </c>
      <c r="H1571" t="s">
        <v>46</v>
      </c>
      <c r="I1571" t="s">
        <v>11</v>
      </c>
      <c r="J1571" t="s">
        <v>4</v>
      </c>
      <c r="K1571" t="s">
        <v>26</v>
      </c>
      <c r="L1571" t="s">
        <v>44</v>
      </c>
      <c r="M1571" t="s">
        <v>19</v>
      </c>
      <c r="N1571">
        <v>46</v>
      </c>
      <c r="O1571">
        <v>7</v>
      </c>
      <c r="P1571">
        <v>39506.759999999995</v>
      </c>
      <c r="Q1571">
        <v>33467.450000000004</v>
      </c>
    </row>
    <row r="1572" spans="7:17" x14ac:dyDescent="0.25">
      <c r="G1572" t="str">
        <f t="shared" si="24"/>
        <v/>
      </c>
      <c r="H1572" t="s">
        <v>46</v>
      </c>
      <c r="I1572" t="s">
        <v>11</v>
      </c>
      <c r="J1572" t="s">
        <v>4</v>
      </c>
      <c r="K1572" t="s">
        <v>26</v>
      </c>
      <c r="L1572" t="s">
        <v>44</v>
      </c>
      <c r="M1572" t="s">
        <v>20</v>
      </c>
      <c r="N1572">
        <v>27</v>
      </c>
      <c r="O1572">
        <v>14</v>
      </c>
      <c r="P1572">
        <v>18467.049999999996</v>
      </c>
      <c r="Q1572">
        <v>0</v>
      </c>
    </row>
    <row r="1573" spans="7:17" x14ac:dyDescent="0.25">
      <c r="G1573" t="str">
        <f t="shared" si="24"/>
        <v/>
      </c>
      <c r="H1573" t="s">
        <v>46</v>
      </c>
      <c r="I1573" t="s">
        <v>11</v>
      </c>
      <c r="J1573" t="s">
        <v>4</v>
      </c>
      <c r="K1573" t="s">
        <v>26</v>
      </c>
      <c r="L1573" t="s">
        <v>39</v>
      </c>
      <c r="M1573" t="s">
        <v>19</v>
      </c>
      <c r="N1573">
        <v>3</v>
      </c>
      <c r="O1573">
        <v>3</v>
      </c>
      <c r="P1573">
        <v>3978.38</v>
      </c>
      <c r="Q1573">
        <v>3978.38</v>
      </c>
    </row>
    <row r="1574" spans="7:17" x14ac:dyDescent="0.25">
      <c r="G1574" t="str">
        <f t="shared" si="24"/>
        <v/>
      </c>
      <c r="H1574" t="s">
        <v>46</v>
      </c>
      <c r="I1574" t="s">
        <v>11</v>
      </c>
      <c r="J1574" t="s">
        <v>4</v>
      </c>
      <c r="K1574" t="s">
        <v>26</v>
      </c>
      <c r="L1574" t="s">
        <v>39</v>
      </c>
      <c r="M1574" t="s">
        <v>20</v>
      </c>
      <c r="N1574">
        <v>13</v>
      </c>
      <c r="O1574">
        <v>3</v>
      </c>
      <c r="P1574">
        <v>2065.58</v>
      </c>
      <c r="Q1574">
        <v>0</v>
      </c>
    </row>
    <row r="1575" spans="7:17" x14ac:dyDescent="0.25">
      <c r="G1575" t="str">
        <f t="shared" si="24"/>
        <v/>
      </c>
      <c r="H1575" t="s">
        <v>46</v>
      </c>
      <c r="I1575" t="s">
        <v>11</v>
      </c>
      <c r="J1575" t="s">
        <v>4</v>
      </c>
      <c r="K1575" t="s">
        <v>26</v>
      </c>
      <c r="L1575" t="s">
        <v>40</v>
      </c>
      <c r="M1575" t="s">
        <v>20</v>
      </c>
      <c r="N1575">
        <v>3</v>
      </c>
      <c r="O1575">
        <v>0</v>
      </c>
      <c r="P1575">
        <v>2021.56</v>
      </c>
      <c r="Q1575">
        <v>0</v>
      </c>
    </row>
    <row r="1576" spans="7:17" x14ac:dyDescent="0.25">
      <c r="G1576" t="str">
        <f t="shared" si="24"/>
        <v/>
      </c>
      <c r="H1576" t="s">
        <v>46</v>
      </c>
      <c r="I1576" t="s">
        <v>11</v>
      </c>
      <c r="J1576" t="s">
        <v>4</v>
      </c>
      <c r="K1576" t="s">
        <v>26</v>
      </c>
      <c r="L1576" t="s">
        <v>41</v>
      </c>
      <c r="M1576" t="s">
        <v>19</v>
      </c>
      <c r="N1576">
        <v>1</v>
      </c>
      <c r="O1576">
        <v>0</v>
      </c>
      <c r="P1576">
        <v>1563.37</v>
      </c>
      <c r="Q1576">
        <v>625.35</v>
      </c>
    </row>
    <row r="1577" spans="7:17" x14ac:dyDescent="0.25">
      <c r="G1577" t="str">
        <f t="shared" si="24"/>
        <v/>
      </c>
      <c r="H1577" t="s">
        <v>46</v>
      </c>
      <c r="I1577" t="s">
        <v>11</v>
      </c>
      <c r="J1577" t="s">
        <v>4</v>
      </c>
      <c r="K1577" t="s">
        <v>26</v>
      </c>
      <c r="L1577" t="s">
        <v>41</v>
      </c>
      <c r="M1577" t="s">
        <v>20</v>
      </c>
      <c r="N1577">
        <v>3</v>
      </c>
      <c r="O1577">
        <v>1</v>
      </c>
      <c r="P1577">
        <v>7452.79</v>
      </c>
      <c r="Q1577">
        <v>0</v>
      </c>
    </row>
    <row r="1578" spans="7:17" x14ac:dyDescent="0.25">
      <c r="G1578" t="str">
        <f t="shared" si="24"/>
        <v/>
      </c>
      <c r="H1578" t="s">
        <v>46</v>
      </c>
      <c r="I1578" t="s">
        <v>11</v>
      </c>
      <c r="J1578" t="s">
        <v>4</v>
      </c>
      <c r="K1578" t="s">
        <v>26</v>
      </c>
      <c r="L1578" t="s">
        <v>45</v>
      </c>
      <c r="M1578" t="s">
        <v>19</v>
      </c>
      <c r="N1578">
        <v>16</v>
      </c>
      <c r="O1578">
        <v>2</v>
      </c>
      <c r="P1578">
        <v>33928.97</v>
      </c>
      <c r="Q1578">
        <v>9816.86</v>
      </c>
    </row>
    <row r="1579" spans="7:17" x14ac:dyDescent="0.25">
      <c r="G1579" t="str">
        <f t="shared" si="24"/>
        <v/>
      </c>
      <c r="H1579" t="s">
        <v>46</v>
      </c>
      <c r="I1579" t="s">
        <v>11</v>
      </c>
      <c r="J1579" t="s">
        <v>4</v>
      </c>
      <c r="K1579" t="s">
        <v>26</v>
      </c>
      <c r="L1579" t="s">
        <v>45</v>
      </c>
      <c r="M1579" t="s">
        <v>20</v>
      </c>
      <c r="N1579">
        <v>56</v>
      </c>
      <c r="O1579">
        <v>26</v>
      </c>
      <c r="P1579">
        <v>39687.64</v>
      </c>
      <c r="Q1579">
        <v>0</v>
      </c>
    </row>
    <row r="1580" spans="7:17" x14ac:dyDescent="0.25">
      <c r="G1580" t="str">
        <f t="shared" si="24"/>
        <v/>
      </c>
      <c r="H1580" t="s">
        <v>46</v>
      </c>
      <c r="I1580" t="s">
        <v>11</v>
      </c>
      <c r="J1580" t="s">
        <v>4</v>
      </c>
      <c r="K1580" t="s">
        <v>27</v>
      </c>
      <c r="L1580" t="s">
        <v>42</v>
      </c>
      <c r="M1580" t="s">
        <v>19</v>
      </c>
      <c r="N1580">
        <v>32</v>
      </c>
      <c r="O1580">
        <v>7</v>
      </c>
      <c r="P1580">
        <v>1612.81</v>
      </c>
      <c r="Q1580">
        <v>1612.75</v>
      </c>
    </row>
    <row r="1581" spans="7:17" x14ac:dyDescent="0.25">
      <c r="G1581" t="str">
        <f t="shared" si="24"/>
        <v/>
      </c>
      <c r="H1581" t="s">
        <v>46</v>
      </c>
      <c r="I1581" t="s">
        <v>11</v>
      </c>
      <c r="J1581" t="s">
        <v>4</v>
      </c>
      <c r="K1581" t="s">
        <v>27</v>
      </c>
      <c r="L1581" t="s">
        <v>42</v>
      </c>
      <c r="M1581" t="s">
        <v>20</v>
      </c>
      <c r="N1581">
        <v>5</v>
      </c>
      <c r="O1581">
        <v>0</v>
      </c>
      <c r="P1581">
        <v>3278.47</v>
      </c>
      <c r="Q1581">
        <v>0</v>
      </c>
    </row>
    <row r="1582" spans="7:17" x14ac:dyDescent="0.25">
      <c r="G1582" t="str">
        <f t="shared" si="24"/>
        <v/>
      </c>
      <c r="H1582" t="s">
        <v>46</v>
      </c>
      <c r="I1582" t="s">
        <v>11</v>
      </c>
      <c r="J1582" t="s">
        <v>4</v>
      </c>
      <c r="K1582" t="s">
        <v>27</v>
      </c>
      <c r="L1582" t="s">
        <v>43</v>
      </c>
      <c r="M1582" t="s">
        <v>19</v>
      </c>
      <c r="N1582">
        <v>5</v>
      </c>
      <c r="O1582">
        <v>2</v>
      </c>
      <c r="P1582">
        <v>2053.9900000000002</v>
      </c>
      <c r="Q1582">
        <v>1954.35</v>
      </c>
    </row>
    <row r="1583" spans="7:17" x14ac:dyDescent="0.25">
      <c r="G1583" t="str">
        <f t="shared" si="24"/>
        <v/>
      </c>
      <c r="H1583" t="s">
        <v>46</v>
      </c>
      <c r="I1583" t="s">
        <v>11</v>
      </c>
      <c r="J1583" t="s">
        <v>4</v>
      </c>
      <c r="K1583" t="s">
        <v>27</v>
      </c>
      <c r="L1583" t="s">
        <v>43</v>
      </c>
      <c r="M1583" t="s">
        <v>20</v>
      </c>
      <c r="N1583">
        <v>2</v>
      </c>
      <c r="O1583">
        <v>2</v>
      </c>
      <c r="P1583">
        <v>471.85999999999996</v>
      </c>
      <c r="Q1583">
        <v>0</v>
      </c>
    </row>
    <row r="1584" spans="7:17" x14ac:dyDescent="0.25">
      <c r="G1584" t="str">
        <f t="shared" si="24"/>
        <v/>
      </c>
      <c r="H1584" t="s">
        <v>46</v>
      </c>
      <c r="I1584" t="s">
        <v>11</v>
      </c>
      <c r="J1584" t="s">
        <v>4</v>
      </c>
      <c r="K1584" t="s">
        <v>27</v>
      </c>
      <c r="L1584" t="s">
        <v>44</v>
      </c>
      <c r="M1584" t="s">
        <v>19</v>
      </c>
      <c r="N1584">
        <v>9</v>
      </c>
      <c r="O1584">
        <v>1</v>
      </c>
      <c r="P1584">
        <v>15045.18</v>
      </c>
      <c r="Q1584">
        <v>15045.18</v>
      </c>
    </row>
    <row r="1585" spans="7:17" x14ac:dyDescent="0.25">
      <c r="G1585" t="str">
        <f t="shared" si="24"/>
        <v/>
      </c>
      <c r="H1585" t="s">
        <v>46</v>
      </c>
      <c r="I1585" t="s">
        <v>11</v>
      </c>
      <c r="J1585" t="s">
        <v>4</v>
      </c>
      <c r="K1585" t="s">
        <v>27</v>
      </c>
      <c r="L1585" t="s">
        <v>44</v>
      </c>
      <c r="M1585" t="s">
        <v>20</v>
      </c>
      <c r="N1585">
        <v>1</v>
      </c>
      <c r="O1585">
        <v>1</v>
      </c>
      <c r="P1585">
        <v>443.69</v>
      </c>
      <c r="Q1585">
        <v>0</v>
      </c>
    </row>
    <row r="1586" spans="7:17" x14ac:dyDescent="0.25">
      <c r="G1586" t="str">
        <f t="shared" si="24"/>
        <v/>
      </c>
      <c r="H1586" t="s">
        <v>46</v>
      </c>
      <c r="I1586" t="s">
        <v>11</v>
      </c>
      <c r="J1586" t="s">
        <v>4</v>
      </c>
      <c r="K1586" t="s">
        <v>27</v>
      </c>
      <c r="L1586" t="s">
        <v>39</v>
      </c>
      <c r="M1586" t="s">
        <v>19</v>
      </c>
      <c r="N1586">
        <v>4</v>
      </c>
      <c r="O1586">
        <v>3</v>
      </c>
      <c r="P1586">
        <v>5995.07</v>
      </c>
      <c r="Q1586">
        <v>5667.54</v>
      </c>
    </row>
    <row r="1587" spans="7:17" x14ac:dyDescent="0.25">
      <c r="G1587" t="str">
        <f t="shared" si="24"/>
        <v/>
      </c>
      <c r="H1587" t="s">
        <v>46</v>
      </c>
      <c r="I1587" t="s">
        <v>11</v>
      </c>
      <c r="J1587" t="s">
        <v>4</v>
      </c>
      <c r="K1587" t="s">
        <v>27</v>
      </c>
      <c r="L1587" t="s">
        <v>39</v>
      </c>
      <c r="M1587" t="s">
        <v>20</v>
      </c>
      <c r="N1587">
        <v>4</v>
      </c>
      <c r="O1587">
        <v>1</v>
      </c>
      <c r="P1587">
        <v>1310.73</v>
      </c>
      <c r="Q1587">
        <v>0</v>
      </c>
    </row>
    <row r="1588" spans="7:17" x14ac:dyDescent="0.25">
      <c r="G1588" t="str">
        <f t="shared" si="24"/>
        <v/>
      </c>
      <c r="H1588" t="s">
        <v>46</v>
      </c>
      <c r="I1588" t="s">
        <v>11</v>
      </c>
      <c r="J1588" t="s">
        <v>4</v>
      </c>
      <c r="K1588" t="s">
        <v>27</v>
      </c>
      <c r="L1588" t="s">
        <v>40</v>
      </c>
      <c r="M1588" t="s">
        <v>19</v>
      </c>
      <c r="N1588">
        <v>1</v>
      </c>
      <c r="O1588">
        <v>0</v>
      </c>
      <c r="P1588">
        <v>2632.54</v>
      </c>
      <c r="Q1588">
        <v>2000</v>
      </c>
    </row>
    <row r="1589" spans="7:17" x14ac:dyDescent="0.25">
      <c r="G1589" t="str">
        <f t="shared" si="24"/>
        <v/>
      </c>
      <c r="H1589" t="s">
        <v>46</v>
      </c>
      <c r="I1589" t="s">
        <v>11</v>
      </c>
      <c r="J1589" t="s">
        <v>4</v>
      </c>
      <c r="K1589" t="s">
        <v>27</v>
      </c>
      <c r="L1589" t="s">
        <v>45</v>
      </c>
      <c r="M1589" t="s">
        <v>20</v>
      </c>
      <c r="N1589">
        <v>25</v>
      </c>
      <c r="O1589">
        <v>4</v>
      </c>
      <c r="P1589">
        <v>16783.979999999996</v>
      </c>
      <c r="Q1589">
        <v>0</v>
      </c>
    </row>
    <row r="1590" spans="7:17" x14ac:dyDescent="0.25">
      <c r="G1590" t="str">
        <f t="shared" si="24"/>
        <v/>
      </c>
      <c r="H1590" t="s">
        <v>46</v>
      </c>
      <c r="I1590" t="s">
        <v>11</v>
      </c>
      <c r="J1590" t="s">
        <v>4</v>
      </c>
      <c r="K1590" t="s">
        <v>28</v>
      </c>
      <c r="L1590" t="s">
        <v>42</v>
      </c>
      <c r="M1590" t="s">
        <v>19</v>
      </c>
      <c r="N1590">
        <v>599</v>
      </c>
      <c r="O1590">
        <v>13</v>
      </c>
      <c r="P1590">
        <v>21574.800000000145</v>
      </c>
      <c r="Q1590">
        <v>20791.920000000136</v>
      </c>
    </row>
    <row r="1591" spans="7:17" x14ac:dyDescent="0.25">
      <c r="G1591" t="str">
        <f t="shared" si="24"/>
        <v/>
      </c>
      <c r="H1591" t="s">
        <v>46</v>
      </c>
      <c r="I1591" t="s">
        <v>11</v>
      </c>
      <c r="J1591" t="s">
        <v>4</v>
      </c>
      <c r="K1591" t="s">
        <v>28</v>
      </c>
      <c r="L1591" t="s">
        <v>42</v>
      </c>
      <c r="M1591" t="s">
        <v>20</v>
      </c>
      <c r="N1591">
        <v>26</v>
      </c>
      <c r="O1591">
        <v>3</v>
      </c>
      <c r="P1591">
        <v>4763.74</v>
      </c>
      <c r="Q1591">
        <v>0</v>
      </c>
    </row>
    <row r="1592" spans="7:17" x14ac:dyDescent="0.25">
      <c r="G1592" t="str">
        <f t="shared" si="24"/>
        <v/>
      </c>
      <c r="H1592" t="s">
        <v>46</v>
      </c>
      <c r="I1592" t="s">
        <v>11</v>
      </c>
      <c r="J1592" t="s">
        <v>4</v>
      </c>
      <c r="K1592" t="s">
        <v>28</v>
      </c>
      <c r="L1592" t="s">
        <v>43</v>
      </c>
      <c r="M1592" t="s">
        <v>19</v>
      </c>
      <c r="N1592">
        <v>88</v>
      </c>
      <c r="O1592">
        <v>8</v>
      </c>
      <c r="P1592">
        <v>47822.410000000033</v>
      </c>
      <c r="Q1592">
        <v>35404.179999999993</v>
      </c>
    </row>
    <row r="1593" spans="7:17" x14ac:dyDescent="0.25">
      <c r="G1593" t="str">
        <f t="shared" si="24"/>
        <v/>
      </c>
      <c r="H1593" t="s">
        <v>46</v>
      </c>
      <c r="I1593" t="s">
        <v>11</v>
      </c>
      <c r="J1593" t="s">
        <v>4</v>
      </c>
      <c r="K1593" t="s">
        <v>28</v>
      </c>
      <c r="L1593" t="s">
        <v>43</v>
      </c>
      <c r="M1593" t="s">
        <v>20</v>
      </c>
      <c r="N1593">
        <v>48</v>
      </c>
      <c r="O1593">
        <v>8</v>
      </c>
      <c r="P1593">
        <v>13266.630000000003</v>
      </c>
      <c r="Q1593">
        <v>0</v>
      </c>
    </row>
    <row r="1594" spans="7:17" x14ac:dyDescent="0.25">
      <c r="G1594" t="str">
        <f t="shared" si="24"/>
        <v/>
      </c>
      <c r="H1594" t="s">
        <v>46</v>
      </c>
      <c r="I1594" t="s">
        <v>11</v>
      </c>
      <c r="J1594" t="s">
        <v>4</v>
      </c>
      <c r="K1594" t="s">
        <v>28</v>
      </c>
      <c r="L1594" t="s">
        <v>44</v>
      </c>
      <c r="M1594" t="s">
        <v>19</v>
      </c>
      <c r="N1594">
        <v>17</v>
      </c>
      <c r="O1594">
        <v>8</v>
      </c>
      <c r="P1594">
        <v>20885.77</v>
      </c>
      <c r="Q1594">
        <v>16410.39</v>
      </c>
    </row>
    <row r="1595" spans="7:17" x14ac:dyDescent="0.25">
      <c r="G1595" t="str">
        <f t="shared" si="24"/>
        <v/>
      </c>
      <c r="H1595" t="s">
        <v>46</v>
      </c>
      <c r="I1595" t="s">
        <v>11</v>
      </c>
      <c r="J1595" t="s">
        <v>4</v>
      </c>
      <c r="K1595" t="s">
        <v>28</v>
      </c>
      <c r="L1595" t="s">
        <v>44</v>
      </c>
      <c r="M1595" t="s">
        <v>20</v>
      </c>
      <c r="N1595">
        <v>11</v>
      </c>
      <c r="O1595">
        <v>4</v>
      </c>
      <c r="P1595">
        <v>2370.16</v>
      </c>
      <c r="Q1595">
        <v>0</v>
      </c>
    </row>
    <row r="1596" spans="7:17" x14ac:dyDescent="0.25">
      <c r="G1596" t="str">
        <f t="shared" si="24"/>
        <v/>
      </c>
      <c r="H1596" t="s">
        <v>46</v>
      </c>
      <c r="I1596" t="s">
        <v>11</v>
      </c>
      <c r="J1596" t="s">
        <v>4</v>
      </c>
      <c r="K1596" t="s">
        <v>28</v>
      </c>
      <c r="L1596" t="s">
        <v>39</v>
      </c>
      <c r="M1596" t="s">
        <v>19</v>
      </c>
      <c r="N1596">
        <v>2</v>
      </c>
      <c r="O1596">
        <v>0</v>
      </c>
      <c r="P1596">
        <v>890.61</v>
      </c>
      <c r="Q1596">
        <v>890.61</v>
      </c>
    </row>
    <row r="1597" spans="7:17" x14ac:dyDescent="0.25">
      <c r="G1597" t="str">
        <f t="shared" si="24"/>
        <v/>
      </c>
      <c r="H1597" t="s">
        <v>46</v>
      </c>
      <c r="I1597" t="s">
        <v>11</v>
      </c>
      <c r="J1597" t="s">
        <v>4</v>
      </c>
      <c r="K1597" t="s">
        <v>28</v>
      </c>
      <c r="L1597" t="s">
        <v>39</v>
      </c>
      <c r="M1597" t="s">
        <v>20</v>
      </c>
      <c r="N1597">
        <v>6</v>
      </c>
      <c r="O1597">
        <v>4</v>
      </c>
      <c r="P1597">
        <v>4471.6399999999994</v>
      </c>
      <c r="Q1597">
        <v>0</v>
      </c>
    </row>
    <row r="1598" spans="7:17" x14ac:dyDescent="0.25">
      <c r="G1598" t="str">
        <f t="shared" si="24"/>
        <v/>
      </c>
      <c r="H1598" t="s">
        <v>46</v>
      </c>
      <c r="I1598" t="s">
        <v>11</v>
      </c>
      <c r="J1598" t="s">
        <v>4</v>
      </c>
      <c r="K1598" t="s">
        <v>28</v>
      </c>
      <c r="L1598" t="s">
        <v>40</v>
      </c>
      <c r="M1598" t="s">
        <v>20</v>
      </c>
      <c r="N1598">
        <v>2</v>
      </c>
      <c r="O1598">
        <v>1</v>
      </c>
      <c r="P1598">
        <v>32.729999999999997</v>
      </c>
      <c r="Q1598">
        <v>0</v>
      </c>
    </row>
    <row r="1599" spans="7:17" x14ac:dyDescent="0.25">
      <c r="G1599" t="str">
        <f t="shared" si="24"/>
        <v/>
      </c>
      <c r="H1599" t="s">
        <v>46</v>
      </c>
      <c r="I1599" t="s">
        <v>11</v>
      </c>
      <c r="J1599" t="s">
        <v>4</v>
      </c>
      <c r="K1599" t="s">
        <v>28</v>
      </c>
      <c r="L1599" t="s">
        <v>41</v>
      </c>
      <c r="M1599" t="s">
        <v>20</v>
      </c>
      <c r="N1599">
        <v>3</v>
      </c>
      <c r="O1599">
        <v>1</v>
      </c>
      <c r="P1599">
        <v>1215.25</v>
      </c>
      <c r="Q1599">
        <v>0</v>
      </c>
    </row>
    <row r="1600" spans="7:17" x14ac:dyDescent="0.25">
      <c r="G1600" t="str">
        <f t="shared" si="24"/>
        <v/>
      </c>
      <c r="H1600" t="s">
        <v>46</v>
      </c>
      <c r="I1600" t="s">
        <v>11</v>
      </c>
      <c r="J1600" t="s">
        <v>4</v>
      </c>
      <c r="K1600" t="s">
        <v>28</v>
      </c>
      <c r="L1600" t="s">
        <v>45</v>
      </c>
      <c r="M1600" t="s">
        <v>19</v>
      </c>
      <c r="N1600">
        <v>1</v>
      </c>
      <c r="O1600">
        <v>0</v>
      </c>
      <c r="P1600">
        <v>250.55</v>
      </c>
      <c r="Q1600">
        <v>250.55</v>
      </c>
    </row>
    <row r="1601" spans="7:17" x14ac:dyDescent="0.25">
      <c r="G1601" t="str">
        <f t="shared" si="24"/>
        <v/>
      </c>
      <c r="H1601" t="s">
        <v>46</v>
      </c>
      <c r="I1601" t="s">
        <v>11</v>
      </c>
      <c r="J1601" t="s">
        <v>4</v>
      </c>
      <c r="K1601" t="s">
        <v>28</v>
      </c>
      <c r="L1601" t="s">
        <v>45</v>
      </c>
      <c r="M1601" t="s">
        <v>20</v>
      </c>
      <c r="N1601">
        <v>38</v>
      </c>
      <c r="O1601">
        <v>14</v>
      </c>
      <c r="P1601">
        <v>16315.880000000003</v>
      </c>
      <c r="Q1601">
        <v>0</v>
      </c>
    </row>
    <row r="1602" spans="7:17" x14ac:dyDescent="0.25">
      <c r="G1602" t="str">
        <f t="shared" ref="G1602:G1665" si="25">IF(G$1="Overall","Overall",IF(G$1=L1602,L1602,""))</f>
        <v/>
      </c>
      <c r="H1602" t="s">
        <v>46</v>
      </c>
      <c r="I1602" t="s">
        <v>11</v>
      </c>
      <c r="J1602" t="s">
        <v>4</v>
      </c>
      <c r="K1602" t="s">
        <v>29</v>
      </c>
      <c r="L1602" t="s">
        <v>42</v>
      </c>
      <c r="M1602" t="s">
        <v>19</v>
      </c>
      <c r="N1602">
        <v>28</v>
      </c>
      <c r="O1602">
        <v>3</v>
      </c>
      <c r="P1602">
        <v>7987.19</v>
      </c>
      <c r="Q1602">
        <v>7969.5199999999995</v>
      </c>
    </row>
    <row r="1603" spans="7:17" x14ac:dyDescent="0.25">
      <c r="G1603" t="str">
        <f t="shared" si="25"/>
        <v/>
      </c>
      <c r="H1603" t="s">
        <v>46</v>
      </c>
      <c r="I1603" t="s">
        <v>11</v>
      </c>
      <c r="J1603" t="s">
        <v>4</v>
      </c>
      <c r="K1603" t="s">
        <v>29</v>
      </c>
      <c r="L1603" t="s">
        <v>42</v>
      </c>
      <c r="M1603" t="s">
        <v>20</v>
      </c>
      <c r="N1603">
        <v>27</v>
      </c>
      <c r="O1603">
        <v>5</v>
      </c>
      <c r="P1603">
        <v>1914.1699999999992</v>
      </c>
      <c r="Q1603">
        <v>0</v>
      </c>
    </row>
    <row r="1604" spans="7:17" x14ac:dyDescent="0.25">
      <c r="G1604" t="str">
        <f t="shared" si="25"/>
        <v/>
      </c>
      <c r="H1604" t="s">
        <v>46</v>
      </c>
      <c r="I1604" t="s">
        <v>11</v>
      </c>
      <c r="J1604" t="s">
        <v>4</v>
      </c>
      <c r="K1604" t="s">
        <v>29</v>
      </c>
      <c r="L1604" t="s">
        <v>43</v>
      </c>
      <c r="M1604" t="s">
        <v>19</v>
      </c>
      <c r="N1604">
        <v>38</v>
      </c>
      <c r="O1604">
        <v>6</v>
      </c>
      <c r="P1604">
        <v>21050.649999999994</v>
      </c>
      <c r="Q1604">
        <v>20157.619999999995</v>
      </c>
    </row>
    <row r="1605" spans="7:17" x14ac:dyDescent="0.25">
      <c r="G1605" t="str">
        <f t="shared" si="25"/>
        <v/>
      </c>
      <c r="H1605" t="s">
        <v>46</v>
      </c>
      <c r="I1605" t="s">
        <v>11</v>
      </c>
      <c r="J1605" t="s">
        <v>4</v>
      </c>
      <c r="K1605" t="s">
        <v>29</v>
      </c>
      <c r="L1605" t="s">
        <v>43</v>
      </c>
      <c r="M1605" t="s">
        <v>20</v>
      </c>
      <c r="N1605">
        <v>9</v>
      </c>
      <c r="O1605">
        <v>6</v>
      </c>
      <c r="P1605">
        <v>4259.57</v>
      </c>
      <c r="Q1605">
        <v>0</v>
      </c>
    </row>
    <row r="1606" spans="7:17" x14ac:dyDescent="0.25">
      <c r="G1606" t="str">
        <f t="shared" si="25"/>
        <v/>
      </c>
      <c r="H1606" t="s">
        <v>46</v>
      </c>
      <c r="I1606" t="s">
        <v>11</v>
      </c>
      <c r="J1606" t="s">
        <v>4</v>
      </c>
      <c r="K1606" t="s">
        <v>29</v>
      </c>
      <c r="L1606" t="s">
        <v>44</v>
      </c>
      <c r="M1606" t="s">
        <v>19</v>
      </c>
      <c r="N1606">
        <v>21</v>
      </c>
      <c r="O1606">
        <v>5</v>
      </c>
      <c r="P1606">
        <v>25381.170000000002</v>
      </c>
      <c r="Q1606">
        <v>24928.180000000004</v>
      </c>
    </row>
    <row r="1607" spans="7:17" x14ac:dyDescent="0.25">
      <c r="G1607" t="str">
        <f t="shared" si="25"/>
        <v/>
      </c>
      <c r="H1607" t="s">
        <v>46</v>
      </c>
      <c r="I1607" t="s">
        <v>11</v>
      </c>
      <c r="J1607" t="s">
        <v>4</v>
      </c>
      <c r="K1607" t="s">
        <v>29</v>
      </c>
      <c r="L1607" t="s">
        <v>44</v>
      </c>
      <c r="M1607" t="s">
        <v>20</v>
      </c>
      <c r="N1607">
        <v>8</v>
      </c>
      <c r="O1607">
        <v>7</v>
      </c>
      <c r="P1607">
        <v>4448.6099999999997</v>
      </c>
      <c r="Q1607">
        <v>0</v>
      </c>
    </row>
    <row r="1608" spans="7:17" x14ac:dyDescent="0.25">
      <c r="G1608" t="str">
        <f t="shared" si="25"/>
        <v/>
      </c>
      <c r="H1608" t="s">
        <v>46</v>
      </c>
      <c r="I1608" t="s">
        <v>11</v>
      </c>
      <c r="J1608" t="s">
        <v>4</v>
      </c>
      <c r="K1608" t="s">
        <v>29</v>
      </c>
      <c r="L1608" t="s">
        <v>39</v>
      </c>
      <c r="M1608" t="s">
        <v>19</v>
      </c>
      <c r="N1608">
        <v>1</v>
      </c>
      <c r="O1608">
        <v>1</v>
      </c>
      <c r="P1608">
        <v>873.24</v>
      </c>
      <c r="Q1608">
        <v>873.24</v>
      </c>
    </row>
    <row r="1609" spans="7:17" x14ac:dyDescent="0.25">
      <c r="G1609" t="str">
        <f t="shared" si="25"/>
        <v/>
      </c>
      <c r="H1609" t="s">
        <v>46</v>
      </c>
      <c r="I1609" t="s">
        <v>11</v>
      </c>
      <c r="J1609" t="s">
        <v>4</v>
      </c>
      <c r="K1609" t="s">
        <v>29</v>
      </c>
      <c r="L1609" t="s">
        <v>39</v>
      </c>
      <c r="M1609" t="s">
        <v>20</v>
      </c>
      <c r="N1609">
        <v>3</v>
      </c>
      <c r="O1609">
        <v>3</v>
      </c>
      <c r="P1609">
        <v>3024.15</v>
      </c>
      <c r="Q1609">
        <v>0</v>
      </c>
    </row>
    <row r="1610" spans="7:17" x14ac:dyDescent="0.25">
      <c r="G1610" t="str">
        <f t="shared" si="25"/>
        <v/>
      </c>
      <c r="H1610" t="s">
        <v>46</v>
      </c>
      <c r="I1610" t="s">
        <v>11</v>
      </c>
      <c r="J1610" t="s">
        <v>4</v>
      </c>
      <c r="K1610" t="s">
        <v>29</v>
      </c>
      <c r="L1610" t="s">
        <v>40</v>
      </c>
      <c r="M1610" t="s">
        <v>20</v>
      </c>
      <c r="N1610">
        <v>1</v>
      </c>
      <c r="O1610">
        <v>0</v>
      </c>
      <c r="P1610">
        <v>135.29</v>
      </c>
      <c r="Q1610">
        <v>0</v>
      </c>
    </row>
    <row r="1611" spans="7:17" x14ac:dyDescent="0.25">
      <c r="G1611" t="str">
        <f t="shared" si="25"/>
        <v/>
      </c>
      <c r="H1611" t="s">
        <v>46</v>
      </c>
      <c r="I1611" t="s">
        <v>11</v>
      </c>
      <c r="J1611" t="s">
        <v>4</v>
      </c>
      <c r="K1611" t="s">
        <v>29</v>
      </c>
      <c r="L1611" t="s">
        <v>41</v>
      </c>
      <c r="M1611" t="s">
        <v>20</v>
      </c>
      <c r="N1611">
        <v>4</v>
      </c>
      <c r="O1611">
        <v>4</v>
      </c>
      <c r="P1611">
        <v>2394.4899999999998</v>
      </c>
      <c r="Q1611">
        <v>0</v>
      </c>
    </row>
    <row r="1612" spans="7:17" x14ac:dyDescent="0.25">
      <c r="G1612" t="str">
        <f t="shared" si="25"/>
        <v/>
      </c>
      <c r="H1612" t="s">
        <v>46</v>
      </c>
      <c r="I1612" t="s">
        <v>11</v>
      </c>
      <c r="J1612" t="s">
        <v>4</v>
      </c>
      <c r="K1612" t="s">
        <v>29</v>
      </c>
      <c r="L1612" t="s">
        <v>45</v>
      </c>
      <c r="M1612" t="s">
        <v>19</v>
      </c>
      <c r="N1612">
        <v>2</v>
      </c>
      <c r="O1612">
        <v>0</v>
      </c>
      <c r="P1612">
        <v>4863.3099999999995</v>
      </c>
      <c r="Q1612">
        <v>4863.3099999999995</v>
      </c>
    </row>
    <row r="1613" spans="7:17" x14ac:dyDescent="0.25">
      <c r="G1613" t="str">
        <f t="shared" si="25"/>
        <v/>
      </c>
      <c r="H1613" t="s">
        <v>46</v>
      </c>
      <c r="I1613" t="s">
        <v>11</v>
      </c>
      <c r="J1613" t="s">
        <v>4</v>
      </c>
      <c r="K1613" t="s">
        <v>29</v>
      </c>
      <c r="L1613" t="s">
        <v>45</v>
      </c>
      <c r="M1613" t="s">
        <v>20</v>
      </c>
      <c r="N1613">
        <v>25</v>
      </c>
      <c r="O1613">
        <v>11</v>
      </c>
      <c r="P1613">
        <v>24561.379999999997</v>
      </c>
      <c r="Q1613">
        <v>0</v>
      </c>
    </row>
    <row r="1614" spans="7:17" x14ac:dyDescent="0.25">
      <c r="G1614" t="str">
        <f t="shared" si="25"/>
        <v/>
      </c>
      <c r="H1614" t="s">
        <v>46</v>
      </c>
      <c r="I1614" t="s">
        <v>11</v>
      </c>
      <c r="J1614" t="s">
        <v>4</v>
      </c>
      <c r="K1614" t="s">
        <v>30</v>
      </c>
      <c r="L1614" t="s">
        <v>42</v>
      </c>
      <c r="M1614" t="s">
        <v>20</v>
      </c>
      <c r="N1614">
        <v>1</v>
      </c>
      <c r="O1614">
        <v>1</v>
      </c>
      <c r="P1614">
        <v>0.16</v>
      </c>
      <c r="Q1614">
        <v>0</v>
      </c>
    </row>
    <row r="1615" spans="7:17" x14ac:dyDescent="0.25">
      <c r="G1615" t="str">
        <f t="shared" si="25"/>
        <v/>
      </c>
      <c r="H1615" t="s">
        <v>46</v>
      </c>
      <c r="I1615" t="s">
        <v>11</v>
      </c>
      <c r="J1615" t="s">
        <v>4</v>
      </c>
      <c r="K1615" t="s">
        <v>30</v>
      </c>
      <c r="L1615" t="s">
        <v>45</v>
      </c>
      <c r="M1615" t="s">
        <v>20</v>
      </c>
      <c r="N1615">
        <v>15</v>
      </c>
      <c r="O1615">
        <v>2</v>
      </c>
      <c r="P1615">
        <v>374.8599999999999</v>
      </c>
      <c r="Q1615">
        <v>0</v>
      </c>
    </row>
    <row r="1616" spans="7:17" x14ac:dyDescent="0.25">
      <c r="G1616" t="str">
        <f t="shared" si="25"/>
        <v/>
      </c>
      <c r="H1616" t="s">
        <v>46</v>
      </c>
      <c r="I1616" t="s">
        <v>11</v>
      </c>
      <c r="J1616" t="s">
        <v>4</v>
      </c>
      <c r="K1616" t="s">
        <v>31</v>
      </c>
      <c r="L1616" t="s">
        <v>42</v>
      </c>
      <c r="M1616" t="s">
        <v>20</v>
      </c>
      <c r="N1616">
        <v>2</v>
      </c>
      <c r="O1616">
        <v>1</v>
      </c>
      <c r="P1616">
        <v>1.2</v>
      </c>
      <c r="Q1616">
        <v>0</v>
      </c>
    </row>
    <row r="1617" spans="7:17" x14ac:dyDescent="0.25">
      <c r="G1617" t="str">
        <f t="shared" si="25"/>
        <v/>
      </c>
      <c r="H1617" t="s">
        <v>46</v>
      </c>
      <c r="I1617" t="s">
        <v>11</v>
      </c>
      <c r="J1617" t="s">
        <v>4</v>
      </c>
      <c r="K1617" t="s">
        <v>31</v>
      </c>
      <c r="L1617" t="s">
        <v>39</v>
      </c>
      <c r="M1617" t="s">
        <v>20</v>
      </c>
      <c r="N1617">
        <v>5</v>
      </c>
      <c r="O1617">
        <v>1</v>
      </c>
      <c r="P1617">
        <v>9730.9</v>
      </c>
      <c r="Q1617">
        <v>0</v>
      </c>
    </row>
    <row r="1618" spans="7:17" x14ac:dyDescent="0.25">
      <c r="G1618" t="str">
        <f t="shared" si="25"/>
        <v/>
      </c>
      <c r="H1618" t="s">
        <v>46</v>
      </c>
      <c r="I1618" t="s">
        <v>11</v>
      </c>
      <c r="J1618" t="s">
        <v>4</v>
      </c>
      <c r="K1618" t="s">
        <v>31</v>
      </c>
      <c r="L1618" t="s">
        <v>45</v>
      </c>
      <c r="M1618" t="s">
        <v>20</v>
      </c>
      <c r="N1618">
        <v>1</v>
      </c>
      <c r="O1618">
        <v>1</v>
      </c>
      <c r="P1618">
        <v>3.44</v>
      </c>
      <c r="Q1618">
        <v>0</v>
      </c>
    </row>
    <row r="1619" spans="7:17" x14ac:dyDescent="0.25">
      <c r="G1619" t="str">
        <f t="shared" si="25"/>
        <v/>
      </c>
      <c r="H1619" t="s">
        <v>46</v>
      </c>
      <c r="I1619" t="s">
        <v>11</v>
      </c>
      <c r="J1619" t="s">
        <v>4</v>
      </c>
      <c r="K1619" t="s">
        <v>32</v>
      </c>
      <c r="L1619" t="s">
        <v>42</v>
      </c>
      <c r="M1619" t="s">
        <v>19</v>
      </c>
      <c r="N1619">
        <v>74</v>
      </c>
      <c r="O1619">
        <v>2</v>
      </c>
      <c r="P1619">
        <v>13697.550000000003</v>
      </c>
      <c r="Q1619">
        <v>13324.950000000003</v>
      </c>
    </row>
    <row r="1620" spans="7:17" x14ac:dyDescent="0.25">
      <c r="G1620" t="str">
        <f t="shared" si="25"/>
        <v/>
      </c>
      <c r="H1620" t="s">
        <v>46</v>
      </c>
      <c r="I1620" t="s">
        <v>11</v>
      </c>
      <c r="J1620" t="s">
        <v>4</v>
      </c>
      <c r="K1620" t="s">
        <v>32</v>
      </c>
      <c r="L1620" t="s">
        <v>42</v>
      </c>
      <c r="M1620" t="s">
        <v>20</v>
      </c>
      <c r="N1620">
        <v>11</v>
      </c>
      <c r="O1620">
        <v>0</v>
      </c>
      <c r="P1620">
        <v>341.76000000000005</v>
      </c>
      <c r="Q1620">
        <v>0</v>
      </c>
    </row>
    <row r="1621" spans="7:17" x14ac:dyDescent="0.25">
      <c r="G1621" t="str">
        <f t="shared" si="25"/>
        <v/>
      </c>
      <c r="H1621" t="s">
        <v>46</v>
      </c>
      <c r="I1621" t="s">
        <v>11</v>
      </c>
      <c r="J1621" t="s">
        <v>4</v>
      </c>
      <c r="K1621" t="s">
        <v>32</v>
      </c>
      <c r="L1621" t="s">
        <v>43</v>
      </c>
      <c r="M1621" t="s">
        <v>20</v>
      </c>
      <c r="N1621">
        <v>1</v>
      </c>
      <c r="O1621">
        <v>0</v>
      </c>
      <c r="P1621">
        <v>69.430000000000007</v>
      </c>
      <c r="Q1621">
        <v>0</v>
      </c>
    </row>
    <row r="1622" spans="7:17" x14ac:dyDescent="0.25">
      <c r="G1622" t="str">
        <f t="shared" si="25"/>
        <v/>
      </c>
      <c r="H1622" t="s">
        <v>46</v>
      </c>
      <c r="I1622" t="s">
        <v>11</v>
      </c>
      <c r="J1622" t="s">
        <v>4</v>
      </c>
      <c r="K1622" t="s">
        <v>32</v>
      </c>
      <c r="L1622" t="s">
        <v>44</v>
      </c>
      <c r="M1622" t="s">
        <v>19</v>
      </c>
      <c r="N1622">
        <v>1</v>
      </c>
      <c r="O1622">
        <v>0</v>
      </c>
      <c r="P1622">
        <v>1210.6600000000001</v>
      </c>
      <c r="Q1622">
        <v>388</v>
      </c>
    </row>
    <row r="1623" spans="7:17" x14ac:dyDescent="0.25">
      <c r="G1623" t="str">
        <f t="shared" si="25"/>
        <v/>
      </c>
      <c r="H1623" t="s">
        <v>46</v>
      </c>
      <c r="I1623" t="s">
        <v>11</v>
      </c>
      <c r="J1623" t="s">
        <v>4</v>
      </c>
      <c r="K1623" t="s">
        <v>32</v>
      </c>
      <c r="L1623" t="s">
        <v>44</v>
      </c>
      <c r="M1623" t="s">
        <v>20</v>
      </c>
      <c r="N1623">
        <v>2</v>
      </c>
      <c r="O1623">
        <v>0</v>
      </c>
      <c r="P1623">
        <v>81.05</v>
      </c>
      <c r="Q1623">
        <v>0</v>
      </c>
    </row>
    <row r="1624" spans="7:17" x14ac:dyDescent="0.25">
      <c r="G1624" t="str">
        <f t="shared" si="25"/>
        <v/>
      </c>
      <c r="H1624" t="s">
        <v>46</v>
      </c>
      <c r="I1624" t="s">
        <v>11</v>
      </c>
      <c r="J1624" t="s">
        <v>4</v>
      </c>
      <c r="K1624" t="s">
        <v>32</v>
      </c>
      <c r="L1624" t="s">
        <v>39</v>
      </c>
      <c r="M1624" t="s">
        <v>19</v>
      </c>
      <c r="N1624">
        <v>5</v>
      </c>
      <c r="O1624">
        <v>1</v>
      </c>
      <c r="P1624">
        <v>2532.84</v>
      </c>
      <c r="Q1624">
        <v>2432.5300000000002</v>
      </c>
    </row>
    <row r="1625" spans="7:17" x14ac:dyDescent="0.25">
      <c r="G1625" t="str">
        <f t="shared" si="25"/>
        <v/>
      </c>
      <c r="H1625" t="s">
        <v>46</v>
      </c>
      <c r="I1625" t="s">
        <v>11</v>
      </c>
      <c r="J1625" t="s">
        <v>4</v>
      </c>
      <c r="K1625" t="s">
        <v>32</v>
      </c>
      <c r="L1625" t="s">
        <v>39</v>
      </c>
      <c r="M1625" t="s">
        <v>20</v>
      </c>
      <c r="N1625">
        <v>7</v>
      </c>
      <c r="O1625">
        <v>1</v>
      </c>
      <c r="P1625">
        <v>3226.88</v>
      </c>
      <c r="Q1625">
        <v>0</v>
      </c>
    </row>
    <row r="1626" spans="7:17" x14ac:dyDescent="0.25">
      <c r="G1626" t="str">
        <f t="shared" si="25"/>
        <v/>
      </c>
      <c r="H1626" t="s">
        <v>46</v>
      </c>
      <c r="I1626" t="s">
        <v>11</v>
      </c>
      <c r="J1626" t="s">
        <v>4</v>
      </c>
      <c r="K1626" t="s">
        <v>32</v>
      </c>
      <c r="L1626" t="s">
        <v>41</v>
      </c>
      <c r="M1626" t="s">
        <v>20</v>
      </c>
      <c r="N1626">
        <v>2</v>
      </c>
      <c r="O1626">
        <v>0</v>
      </c>
      <c r="P1626">
        <v>2994.31</v>
      </c>
      <c r="Q1626">
        <v>0</v>
      </c>
    </row>
    <row r="1627" spans="7:17" x14ac:dyDescent="0.25">
      <c r="G1627" t="str">
        <f t="shared" si="25"/>
        <v/>
      </c>
      <c r="H1627" t="s">
        <v>46</v>
      </c>
      <c r="I1627" t="s">
        <v>11</v>
      </c>
      <c r="J1627" t="s">
        <v>4</v>
      </c>
      <c r="K1627" t="s">
        <v>32</v>
      </c>
      <c r="L1627" t="s">
        <v>45</v>
      </c>
      <c r="M1627" t="s">
        <v>20</v>
      </c>
      <c r="N1627">
        <v>3</v>
      </c>
      <c r="O1627">
        <v>1</v>
      </c>
      <c r="P1627">
        <v>1402.33</v>
      </c>
      <c r="Q1627">
        <v>0</v>
      </c>
    </row>
    <row r="1628" spans="7:17" x14ac:dyDescent="0.25">
      <c r="G1628" t="str">
        <f t="shared" si="25"/>
        <v/>
      </c>
      <c r="H1628" t="s">
        <v>46</v>
      </c>
      <c r="I1628" t="s">
        <v>11</v>
      </c>
      <c r="J1628" t="s">
        <v>4</v>
      </c>
      <c r="K1628" t="s">
        <v>33</v>
      </c>
      <c r="L1628" t="s">
        <v>42</v>
      </c>
      <c r="M1628" t="s">
        <v>19</v>
      </c>
      <c r="N1628">
        <v>179</v>
      </c>
      <c r="O1628">
        <v>8</v>
      </c>
      <c r="P1628">
        <v>40342.829999999987</v>
      </c>
      <c r="Q1628">
        <v>40342.829999999987</v>
      </c>
    </row>
    <row r="1629" spans="7:17" x14ac:dyDescent="0.25">
      <c r="G1629" t="str">
        <f t="shared" si="25"/>
        <v/>
      </c>
      <c r="H1629" t="s">
        <v>46</v>
      </c>
      <c r="I1629" t="s">
        <v>11</v>
      </c>
      <c r="J1629" t="s">
        <v>4</v>
      </c>
      <c r="K1629" t="s">
        <v>33</v>
      </c>
      <c r="L1629" t="s">
        <v>42</v>
      </c>
      <c r="M1629" t="s">
        <v>20</v>
      </c>
      <c r="N1629">
        <v>10</v>
      </c>
      <c r="O1629">
        <v>2</v>
      </c>
      <c r="P1629">
        <v>1060.74</v>
      </c>
      <c r="Q1629">
        <v>0</v>
      </c>
    </row>
    <row r="1630" spans="7:17" x14ac:dyDescent="0.25">
      <c r="G1630" t="str">
        <f t="shared" si="25"/>
        <v/>
      </c>
      <c r="H1630" t="s">
        <v>46</v>
      </c>
      <c r="I1630" t="s">
        <v>11</v>
      </c>
      <c r="J1630" t="s">
        <v>4</v>
      </c>
      <c r="K1630" t="s">
        <v>33</v>
      </c>
      <c r="L1630" t="s">
        <v>43</v>
      </c>
      <c r="M1630" t="s">
        <v>19</v>
      </c>
      <c r="N1630">
        <v>10</v>
      </c>
      <c r="O1630">
        <v>3</v>
      </c>
      <c r="P1630">
        <v>5437.2699999999995</v>
      </c>
      <c r="Q1630">
        <v>5437.2699999999995</v>
      </c>
    </row>
    <row r="1631" spans="7:17" x14ac:dyDescent="0.25">
      <c r="G1631" t="str">
        <f t="shared" si="25"/>
        <v/>
      </c>
      <c r="H1631" t="s">
        <v>46</v>
      </c>
      <c r="I1631" t="s">
        <v>11</v>
      </c>
      <c r="J1631" t="s">
        <v>4</v>
      </c>
      <c r="K1631" t="s">
        <v>33</v>
      </c>
      <c r="L1631" t="s">
        <v>43</v>
      </c>
      <c r="M1631" t="s">
        <v>20</v>
      </c>
      <c r="N1631">
        <v>1</v>
      </c>
      <c r="O1631">
        <v>0</v>
      </c>
      <c r="P1631">
        <v>252.25</v>
      </c>
      <c r="Q1631">
        <v>0</v>
      </c>
    </row>
    <row r="1632" spans="7:17" x14ac:dyDescent="0.25">
      <c r="G1632" t="str">
        <f t="shared" si="25"/>
        <v/>
      </c>
      <c r="H1632" t="s">
        <v>46</v>
      </c>
      <c r="I1632" t="s">
        <v>11</v>
      </c>
      <c r="J1632" t="s">
        <v>4</v>
      </c>
      <c r="K1632" t="s">
        <v>33</v>
      </c>
      <c r="L1632" t="s">
        <v>44</v>
      </c>
      <c r="M1632" t="s">
        <v>19</v>
      </c>
      <c r="N1632">
        <v>2</v>
      </c>
      <c r="O1632">
        <v>1</v>
      </c>
      <c r="P1632">
        <v>1314.28</v>
      </c>
      <c r="Q1632">
        <v>1295.81</v>
      </c>
    </row>
    <row r="1633" spans="7:17" x14ac:dyDescent="0.25">
      <c r="G1633" t="str">
        <f t="shared" si="25"/>
        <v/>
      </c>
      <c r="H1633" t="s">
        <v>46</v>
      </c>
      <c r="I1633" t="s">
        <v>11</v>
      </c>
      <c r="J1633" t="s">
        <v>4</v>
      </c>
      <c r="K1633" t="s">
        <v>33</v>
      </c>
      <c r="L1633" t="s">
        <v>44</v>
      </c>
      <c r="M1633" t="s">
        <v>20</v>
      </c>
      <c r="N1633">
        <v>6</v>
      </c>
      <c r="O1633">
        <v>4</v>
      </c>
      <c r="P1633">
        <v>5000.04</v>
      </c>
      <c r="Q1633">
        <v>0</v>
      </c>
    </row>
    <row r="1634" spans="7:17" x14ac:dyDescent="0.25">
      <c r="G1634" t="str">
        <f t="shared" si="25"/>
        <v/>
      </c>
      <c r="H1634" t="s">
        <v>46</v>
      </c>
      <c r="I1634" t="s">
        <v>11</v>
      </c>
      <c r="J1634" t="s">
        <v>4</v>
      </c>
      <c r="K1634" t="s">
        <v>33</v>
      </c>
      <c r="L1634" t="s">
        <v>39</v>
      </c>
      <c r="M1634" t="s">
        <v>20</v>
      </c>
      <c r="N1634">
        <v>5</v>
      </c>
      <c r="O1634">
        <v>2</v>
      </c>
      <c r="P1634">
        <v>979.67</v>
      </c>
      <c r="Q1634">
        <v>0</v>
      </c>
    </row>
    <row r="1635" spans="7:17" x14ac:dyDescent="0.25">
      <c r="G1635" t="str">
        <f t="shared" si="25"/>
        <v/>
      </c>
      <c r="H1635" t="s">
        <v>46</v>
      </c>
      <c r="I1635" t="s">
        <v>11</v>
      </c>
      <c r="J1635" t="s">
        <v>4</v>
      </c>
      <c r="K1635" t="s">
        <v>33</v>
      </c>
      <c r="L1635" t="s">
        <v>40</v>
      </c>
      <c r="M1635" t="s">
        <v>20</v>
      </c>
      <c r="N1635">
        <v>4</v>
      </c>
      <c r="O1635">
        <v>0</v>
      </c>
      <c r="P1635">
        <v>5323.7</v>
      </c>
      <c r="Q1635">
        <v>0</v>
      </c>
    </row>
    <row r="1636" spans="7:17" x14ac:dyDescent="0.25">
      <c r="G1636" t="str">
        <f t="shared" si="25"/>
        <v/>
      </c>
      <c r="H1636" t="s">
        <v>46</v>
      </c>
      <c r="I1636" t="s">
        <v>11</v>
      </c>
      <c r="J1636" t="s">
        <v>4</v>
      </c>
      <c r="K1636" t="s">
        <v>33</v>
      </c>
      <c r="L1636" t="s">
        <v>41</v>
      </c>
      <c r="M1636" t="s">
        <v>20</v>
      </c>
      <c r="N1636">
        <v>1</v>
      </c>
      <c r="O1636">
        <v>0</v>
      </c>
      <c r="P1636">
        <v>1620.55</v>
      </c>
      <c r="Q1636">
        <v>0</v>
      </c>
    </row>
    <row r="1637" spans="7:17" x14ac:dyDescent="0.25">
      <c r="G1637" t="str">
        <f t="shared" si="25"/>
        <v/>
      </c>
      <c r="H1637" t="s">
        <v>46</v>
      </c>
      <c r="I1637" t="s">
        <v>11</v>
      </c>
      <c r="J1637" t="s">
        <v>4</v>
      </c>
      <c r="K1637" t="s">
        <v>33</v>
      </c>
      <c r="L1637" t="s">
        <v>45</v>
      </c>
      <c r="M1637" t="s">
        <v>20</v>
      </c>
      <c r="N1637">
        <v>35</v>
      </c>
      <c r="O1637">
        <v>5</v>
      </c>
      <c r="P1637">
        <v>38899.58</v>
      </c>
      <c r="Q1637">
        <v>0</v>
      </c>
    </row>
    <row r="1638" spans="7:17" x14ac:dyDescent="0.25">
      <c r="G1638" t="str">
        <f t="shared" si="25"/>
        <v/>
      </c>
      <c r="H1638" t="s">
        <v>46</v>
      </c>
      <c r="I1638" t="s">
        <v>11</v>
      </c>
      <c r="J1638" t="s">
        <v>4</v>
      </c>
      <c r="K1638" t="s">
        <v>34</v>
      </c>
      <c r="L1638" t="s">
        <v>42</v>
      </c>
      <c r="M1638" t="s">
        <v>19</v>
      </c>
      <c r="N1638">
        <v>44</v>
      </c>
      <c r="O1638">
        <v>5</v>
      </c>
      <c r="P1638">
        <v>2935.9400000000005</v>
      </c>
      <c r="Q1638">
        <v>2935.9400000000005</v>
      </c>
    </row>
    <row r="1639" spans="7:17" x14ac:dyDescent="0.25">
      <c r="G1639" t="str">
        <f t="shared" si="25"/>
        <v/>
      </c>
      <c r="H1639" t="s">
        <v>46</v>
      </c>
      <c r="I1639" t="s">
        <v>11</v>
      </c>
      <c r="J1639" t="s">
        <v>4</v>
      </c>
      <c r="K1639" t="s">
        <v>34</v>
      </c>
      <c r="L1639" t="s">
        <v>42</v>
      </c>
      <c r="M1639" t="s">
        <v>20</v>
      </c>
      <c r="N1639">
        <v>19</v>
      </c>
      <c r="O1639">
        <v>2</v>
      </c>
      <c r="P1639">
        <v>5085.37</v>
      </c>
      <c r="Q1639">
        <v>0</v>
      </c>
    </row>
    <row r="1640" spans="7:17" x14ac:dyDescent="0.25">
      <c r="G1640" t="str">
        <f t="shared" si="25"/>
        <v/>
      </c>
      <c r="H1640" t="s">
        <v>46</v>
      </c>
      <c r="I1640" t="s">
        <v>11</v>
      </c>
      <c r="J1640" t="s">
        <v>4</v>
      </c>
      <c r="K1640" t="s">
        <v>34</v>
      </c>
      <c r="L1640" t="s">
        <v>43</v>
      </c>
      <c r="M1640" t="s">
        <v>19</v>
      </c>
      <c r="N1640">
        <v>11</v>
      </c>
      <c r="O1640">
        <v>3</v>
      </c>
      <c r="P1640">
        <v>7626.98</v>
      </c>
      <c r="Q1640">
        <v>7626.48</v>
      </c>
    </row>
    <row r="1641" spans="7:17" x14ac:dyDescent="0.25">
      <c r="G1641" t="str">
        <f t="shared" si="25"/>
        <v/>
      </c>
      <c r="H1641" t="s">
        <v>46</v>
      </c>
      <c r="I1641" t="s">
        <v>11</v>
      </c>
      <c r="J1641" t="s">
        <v>4</v>
      </c>
      <c r="K1641" t="s">
        <v>34</v>
      </c>
      <c r="L1641" t="s">
        <v>43</v>
      </c>
      <c r="M1641" t="s">
        <v>20</v>
      </c>
      <c r="N1641">
        <v>7</v>
      </c>
      <c r="O1641">
        <v>0</v>
      </c>
      <c r="P1641">
        <v>3093.69</v>
      </c>
      <c r="Q1641">
        <v>0</v>
      </c>
    </row>
    <row r="1642" spans="7:17" x14ac:dyDescent="0.25">
      <c r="G1642" t="str">
        <f t="shared" si="25"/>
        <v/>
      </c>
      <c r="H1642" t="s">
        <v>46</v>
      </c>
      <c r="I1642" t="s">
        <v>11</v>
      </c>
      <c r="J1642" t="s">
        <v>4</v>
      </c>
      <c r="K1642" t="s">
        <v>34</v>
      </c>
      <c r="L1642" t="s">
        <v>44</v>
      </c>
      <c r="M1642" t="s">
        <v>19</v>
      </c>
      <c r="N1642">
        <v>11</v>
      </c>
      <c r="O1642">
        <v>4</v>
      </c>
      <c r="P1642">
        <v>10689.220000000001</v>
      </c>
      <c r="Q1642">
        <v>9199.1200000000008</v>
      </c>
    </row>
    <row r="1643" spans="7:17" x14ac:dyDescent="0.25">
      <c r="G1643" t="str">
        <f t="shared" si="25"/>
        <v/>
      </c>
      <c r="H1643" t="s">
        <v>46</v>
      </c>
      <c r="I1643" t="s">
        <v>11</v>
      </c>
      <c r="J1643" t="s">
        <v>4</v>
      </c>
      <c r="K1643" t="s">
        <v>34</v>
      </c>
      <c r="L1643" t="s">
        <v>44</v>
      </c>
      <c r="M1643" t="s">
        <v>20</v>
      </c>
      <c r="N1643">
        <v>7</v>
      </c>
      <c r="O1643">
        <v>1</v>
      </c>
      <c r="P1643">
        <v>4214.7099999999991</v>
      </c>
      <c r="Q1643">
        <v>0</v>
      </c>
    </row>
    <row r="1644" spans="7:17" x14ac:dyDescent="0.25">
      <c r="G1644" t="str">
        <f t="shared" si="25"/>
        <v/>
      </c>
      <c r="H1644" t="s">
        <v>46</v>
      </c>
      <c r="I1644" t="s">
        <v>11</v>
      </c>
      <c r="J1644" t="s">
        <v>4</v>
      </c>
      <c r="K1644" t="s">
        <v>34</v>
      </c>
      <c r="L1644" t="s">
        <v>39</v>
      </c>
      <c r="M1644" t="s">
        <v>19</v>
      </c>
      <c r="N1644">
        <v>4</v>
      </c>
      <c r="O1644">
        <v>4</v>
      </c>
      <c r="P1644">
        <v>4427.13</v>
      </c>
      <c r="Q1644">
        <v>3680.25</v>
      </c>
    </row>
    <row r="1645" spans="7:17" x14ac:dyDescent="0.25">
      <c r="G1645" t="str">
        <f t="shared" si="25"/>
        <v/>
      </c>
      <c r="H1645" t="s">
        <v>46</v>
      </c>
      <c r="I1645" t="s">
        <v>11</v>
      </c>
      <c r="J1645" t="s">
        <v>4</v>
      </c>
      <c r="K1645" t="s">
        <v>34</v>
      </c>
      <c r="L1645" t="s">
        <v>39</v>
      </c>
      <c r="M1645" t="s">
        <v>20</v>
      </c>
      <c r="N1645">
        <v>1</v>
      </c>
      <c r="O1645">
        <v>1</v>
      </c>
      <c r="P1645">
        <v>1182.31</v>
      </c>
      <c r="Q1645">
        <v>0</v>
      </c>
    </row>
    <row r="1646" spans="7:17" x14ac:dyDescent="0.25">
      <c r="G1646" t="str">
        <f t="shared" si="25"/>
        <v/>
      </c>
      <c r="H1646" t="s">
        <v>46</v>
      </c>
      <c r="I1646" t="s">
        <v>11</v>
      </c>
      <c r="J1646" t="s">
        <v>4</v>
      </c>
      <c r="K1646" t="s">
        <v>34</v>
      </c>
      <c r="L1646" t="s">
        <v>40</v>
      </c>
      <c r="M1646" t="s">
        <v>20</v>
      </c>
      <c r="N1646">
        <v>11</v>
      </c>
      <c r="O1646">
        <v>2</v>
      </c>
      <c r="P1646">
        <v>1437.6599999999999</v>
      </c>
      <c r="Q1646">
        <v>0</v>
      </c>
    </row>
    <row r="1647" spans="7:17" x14ac:dyDescent="0.25">
      <c r="G1647" t="str">
        <f t="shared" si="25"/>
        <v/>
      </c>
      <c r="H1647" t="s">
        <v>46</v>
      </c>
      <c r="I1647" t="s">
        <v>11</v>
      </c>
      <c r="J1647" t="s">
        <v>4</v>
      </c>
      <c r="K1647" t="s">
        <v>34</v>
      </c>
      <c r="L1647" t="s">
        <v>45</v>
      </c>
      <c r="M1647" t="s">
        <v>20</v>
      </c>
      <c r="N1647">
        <v>49</v>
      </c>
      <c r="O1647">
        <v>13</v>
      </c>
      <c r="P1647">
        <v>5188.3600000000006</v>
      </c>
      <c r="Q1647">
        <v>0</v>
      </c>
    </row>
    <row r="1648" spans="7:17" x14ac:dyDescent="0.25">
      <c r="G1648" t="str">
        <f t="shared" si="25"/>
        <v/>
      </c>
      <c r="H1648" t="s">
        <v>46</v>
      </c>
      <c r="I1648" t="s">
        <v>11</v>
      </c>
      <c r="J1648" t="s">
        <v>4</v>
      </c>
      <c r="K1648" t="s">
        <v>35</v>
      </c>
      <c r="L1648" t="s">
        <v>42</v>
      </c>
      <c r="M1648" t="s">
        <v>19</v>
      </c>
      <c r="N1648">
        <v>96</v>
      </c>
      <c r="O1648">
        <v>10</v>
      </c>
      <c r="P1648">
        <v>11298.240000000002</v>
      </c>
      <c r="Q1648">
        <v>11148.689999999999</v>
      </c>
    </row>
    <row r="1649" spans="7:17" x14ac:dyDescent="0.25">
      <c r="G1649" t="str">
        <f t="shared" si="25"/>
        <v/>
      </c>
      <c r="H1649" t="s">
        <v>46</v>
      </c>
      <c r="I1649" t="s">
        <v>11</v>
      </c>
      <c r="J1649" t="s">
        <v>4</v>
      </c>
      <c r="K1649" t="s">
        <v>35</v>
      </c>
      <c r="L1649" t="s">
        <v>42</v>
      </c>
      <c r="M1649" t="s">
        <v>20</v>
      </c>
      <c r="N1649">
        <v>29</v>
      </c>
      <c r="O1649">
        <v>2</v>
      </c>
      <c r="P1649">
        <v>2597.6799999999998</v>
      </c>
      <c r="Q1649">
        <v>0</v>
      </c>
    </row>
    <row r="1650" spans="7:17" x14ac:dyDescent="0.25">
      <c r="G1650" t="str">
        <f t="shared" si="25"/>
        <v/>
      </c>
      <c r="H1650" t="s">
        <v>46</v>
      </c>
      <c r="I1650" t="s">
        <v>11</v>
      </c>
      <c r="J1650" t="s">
        <v>4</v>
      </c>
      <c r="K1650" t="s">
        <v>35</v>
      </c>
      <c r="L1650" t="s">
        <v>43</v>
      </c>
      <c r="M1650" t="s">
        <v>19</v>
      </c>
      <c r="N1650">
        <v>95</v>
      </c>
      <c r="O1650">
        <v>5</v>
      </c>
      <c r="P1650">
        <v>40062.29</v>
      </c>
      <c r="Q1650">
        <v>37486.480000000003</v>
      </c>
    </row>
    <row r="1651" spans="7:17" x14ac:dyDescent="0.25">
      <c r="G1651" t="str">
        <f t="shared" si="25"/>
        <v/>
      </c>
      <c r="H1651" t="s">
        <v>46</v>
      </c>
      <c r="I1651" t="s">
        <v>11</v>
      </c>
      <c r="J1651" t="s">
        <v>4</v>
      </c>
      <c r="K1651" t="s">
        <v>35</v>
      </c>
      <c r="L1651" t="s">
        <v>43</v>
      </c>
      <c r="M1651" t="s">
        <v>20</v>
      </c>
      <c r="N1651">
        <v>6</v>
      </c>
      <c r="O1651">
        <v>3</v>
      </c>
      <c r="P1651">
        <v>2048.7799999999997</v>
      </c>
      <c r="Q1651">
        <v>0</v>
      </c>
    </row>
    <row r="1652" spans="7:17" x14ac:dyDescent="0.25">
      <c r="G1652" t="str">
        <f t="shared" si="25"/>
        <v/>
      </c>
      <c r="H1652" t="s">
        <v>46</v>
      </c>
      <c r="I1652" t="s">
        <v>11</v>
      </c>
      <c r="J1652" t="s">
        <v>4</v>
      </c>
      <c r="K1652" t="s">
        <v>35</v>
      </c>
      <c r="L1652" t="s">
        <v>44</v>
      </c>
      <c r="M1652" t="s">
        <v>19</v>
      </c>
      <c r="N1652">
        <v>13</v>
      </c>
      <c r="O1652">
        <v>4</v>
      </c>
      <c r="P1652">
        <v>14421.630000000001</v>
      </c>
      <c r="Q1652">
        <v>10318.57</v>
      </c>
    </row>
    <row r="1653" spans="7:17" x14ac:dyDescent="0.25">
      <c r="G1653" t="str">
        <f t="shared" si="25"/>
        <v/>
      </c>
      <c r="H1653" t="s">
        <v>46</v>
      </c>
      <c r="I1653" t="s">
        <v>11</v>
      </c>
      <c r="J1653" t="s">
        <v>4</v>
      </c>
      <c r="K1653" t="s">
        <v>35</v>
      </c>
      <c r="L1653" t="s">
        <v>44</v>
      </c>
      <c r="M1653" t="s">
        <v>20</v>
      </c>
      <c r="N1653">
        <v>28</v>
      </c>
      <c r="O1653">
        <v>3</v>
      </c>
      <c r="P1653">
        <v>49587.909999999974</v>
      </c>
      <c r="Q1653">
        <v>0</v>
      </c>
    </row>
    <row r="1654" spans="7:17" x14ac:dyDescent="0.25">
      <c r="G1654" t="str">
        <f t="shared" si="25"/>
        <v/>
      </c>
      <c r="H1654" t="s">
        <v>46</v>
      </c>
      <c r="I1654" t="s">
        <v>11</v>
      </c>
      <c r="J1654" t="s">
        <v>4</v>
      </c>
      <c r="K1654" t="s">
        <v>35</v>
      </c>
      <c r="L1654" t="s">
        <v>39</v>
      </c>
      <c r="M1654" t="s">
        <v>19</v>
      </c>
      <c r="N1654">
        <v>2</v>
      </c>
      <c r="O1654">
        <v>2</v>
      </c>
      <c r="P1654">
        <v>2711.61</v>
      </c>
      <c r="Q1654">
        <v>1458.75</v>
      </c>
    </row>
    <row r="1655" spans="7:17" x14ac:dyDescent="0.25">
      <c r="G1655" t="str">
        <f t="shared" si="25"/>
        <v/>
      </c>
      <c r="H1655" t="s">
        <v>46</v>
      </c>
      <c r="I1655" t="s">
        <v>11</v>
      </c>
      <c r="J1655" t="s">
        <v>4</v>
      </c>
      <c r="K1655" t="s">
        <v>35</v>
      </c>
      <c r="L1655" t="s">
        <v>39</v>
      </c>
      <c r="M1655" t="s">
        <v>20</v>
      </c>
      <c r="N1655">
        <v>12</v>
      </c>
      <c r="O1655">
        <v>7</v>
      </c>
      <c r="P1655">
        <v>7567.26</v>
      </c>
      <c r="Q1655">
        <v>0</v>
      </c>
    </row>
    <row r="1656" spans="7:17" x14ac:dyDescent="0.25">
      <c r="G1656" t="str">
        <f t="shared" si="25"/>
        <v/>
      </c>
      <c r="H1656" t="s">
        <v>46</v>
      </c>
      <c r="I1656" t="s">
        <v>11</v>
      </c>
      <c r="J1656" t="s">
        <v>4</v>
      </c>
      <c r="K1656" t="s">
        <v>35</v>
      </c>
      <c r="L1656" t="s">
        <v>40</v>
      </c>
      <c r="M1656" t="s">
        <v>19</v>
      </c>
      <c r="N1656">
        <v>4</v>
      </c>
      <c r="O1656">
        <v>0</v>
      </c>
      <c r="P1656">
        <v>12269.04</v>
      </c>
      <c r="Q1656">
        <v>-4600</v>
      </c>
    </row>
    <row r="1657" spans="7:17" x14ac:dyDescent="0.25">
      <c r="G1657" t="str">
        <f t="shared" si="25"/>
        <v/>
      </c>
      <c r="H1657" t="s">
        <v>46</v>
      </c>
      <c r="I1657" t="s">
        <v>11</v>
      </c>
      <c r="J1657" t="s">
        <v>4</v>
      </c>
      <c r="K1657" t="s">
        <v>35</v>
      </c>
      <c r="L1657" t="s">
        <v>40</v>
      </c>
      <c r="M1657" t="s">
        <v>20</v>
      </c>
      <c r="N1657">
        <v>1</v>
      </c>
      <c r="O1657">
        <v>0</v>
      </c>
      <c r="P1657">
        <v>410.91</v>
      </c>
      <c r="Q1657">
        <v>0</v>
      </c>
    </row>
    <row r="1658" spans="7:17" x14ac:dyDescent="0.25">
      <c r="G1658" t="str">
        <f t="shared" si="25"/>
        <v/>
      </c>
      <c r="H1658" t="s">
        <v>46</v>
      </c>
      <c r="I1658" t="s">
        <v>11</v>
      </c>
      <c r="J1658" t="s">
        <v>4</v>
      </c>
      <c r="K1658" t="s">
        <v>35</v>
      </c>
      <c r="L1658" t="s">
        <v>41</v>
      </c>
      <c r="M1658" t="s">
        <v>20</v>
      </c>
      <c r="N1658">
        <v>4</v>
      </c>
      <c r="O1658">
        <v>1</v>
      </c>
      <c r="P1658">
        <v>1526.81</v>
      </c>
      <c r="Q1658">
        <v>0</v>
      </c>
    </row>
    <row r="1659" spans="7:17" x14ac:dyDescent="0.25">
      <c r="G1659" t="str">
        <f t="shared" si="25"/>
        <v/>
      </c>
      <c r="H1659" t="s">
        <v>46</v>
      </c>
      <c r="I1659" t="s">
        <v>11</v>
      </c>
      <c r="J1659" t="s">
        <v>4</v>
      </c>
      <c r="K1659" t="s">
        <v>35</v>
      </c>
      <c r="L1659" t="s">
        <v>45</v>
      </c>
      <c r="M1659" t="s">
        <v>19</v>
      </c>
      <c r="N1659">
        <v>1</v>
      </c>
      <c r="O1659">
        <v>0</v>
      </c>
      <c r="P1659">
        <v>267.63</v>
      </c>
      <c r="Q1659">
        <v>267.63</v>
      </c>
    </row>
    <row r="1660" spans="7:17" x14ac:dyDescent="0.25">
      <c r="G1660" t="str">
        <f t="shared" si="25"/>
        <v/>
      </c>
      <c r="H1660" t="s">
        <v>46</v>
      </c>
      <c r="I1660" t="s">
        <v>11</v>
      </c>
      <c r="J1660" t="s">
        <v>4</v>
      </c>
      <c r="K1660" t="s">
        <v>35</v>
      </c>
      <c r="L1660" t="s">
        <v>45</v>
      </c>
      <c r="M1660" t="s">
        <v>20</v>
      </c>
      <c r="N1660">
        <v>40</v>
      </c>
      <c r="O1660">
        <v>16</v>
      </c>
      <c r="P1660">
        <v>36521.950000000004</v>
      </c>
      <c r="Q1660">
        <v>0</v>
      </c>
    </row>
    <row r="1661" spans="7:17" x14ac:dyDescent="0.25">
      <c r="G1661" t="str">
        <f t="shared" si="25"/>
        <v/>
      </c>
      <c r="H1661" t="s">
        <v>46</v>
      </c>
      <c r="I1661" t="s">
        <v>11</v>
      </c>
      <c r="J1661" t="s">
        <v>4</v>
      </c>
      <c r="K1661" t="s">
        <v>36</v>
      </c>
      <c r="L1661" t="s">
        <v>42</v>
      </c>
      <c r="M1661" t="s">
        <v>19</v>
      </c>
      <c r="N1661">
        <v>1075</v>
      </c>
      <c r="O1661">
        <v>23</v>
      </c>
      <c r="P1661">
        <v>217257.64000000156</v>
      </c>
      <c r="Q1661">
        <v>215983.94000000154</v>
      </c>
    </row>
    <row r="1662" spans="7:17" x14ac:dyDescent="0.25">
      <c r="G1662" t="str">
        <f t="shared" si="25"/>
        <v/>
      </c>
      <c r="H1662" t="s">
        <v>46</v>
      </c>
      <c r="I1662" t="s">
        <v>11</v>
      </c>
      <c r="J1662" t="s">
        <v>4</v>
      </c>
      <c r="K1662" t="s">
        <v>36</v>
      </c>
      <c r="L1662" t="s">
        <v>42</v>
      </c>
      <c r="M1662" t="s">
        <v>20</v>
      </c>
      <c r="N1662">
        <v>31</v>
      </c>
      <c r="O1662">
        <v>2</v>
      </c>
      <c r="P1662">
        <v>4046.7800000000029</v>
      </c>
      <c r="Q1662">
        <v>0</v>
      </c>
    </row>
    <row r="1663" spans="7:17" x14ac:dyDescent="0.25">
      <c r="G1663" t="str">
        <f t="shared" si="25"/>
        <v/>
      </c>
      <c r="H1663" t="s">
        <v>46</v>
      </c>
      <c r="I1663" t="s">
        <v>11</v>
      </c>
      <c r="J1663" t="s">
        <v>4</v>
      </c>
      <c r="K1663" t="s">
        <v>36</v>
      </c>
      <c r="L1663" t="s">
        <v>43</v>
      </c>
      <c r="M1663" t="s">
        <v>19</v>
      </c>
      <c r="N1663">
        <v>50</v>
      </c>
      <c r="O1663">
        <v>6</v>
      </c>
      <c r="P1663">
        <v>25339.439999999999</v>
      </c>
      <c r="Q1663">
        <v>22236.01</v>
      </c>
    </row>
    <row r="1664" spans="7:17" x14ac:dyDescent="0.25">
      <c r="G1664" t="str">
        <f t="shared" si="25"/>
        <v/>
      </c>
      <c r="H1664" t="s">
        <v>46</v>
      </c>
      <c r="I1664" t="s">
        <v>11</v>
      </c>
      <c r="J1664" t="s">
        <v>4</v>
      </c>
      <c r="K1664" t="s">
        <v>36</v>
      </c>
      <c r="L1664" t="s">
        <v>43</v>
      </c>
      <c r="M1664" t="s">
        <v>20</v>
      </c>
      <c r="N1664">
        <v>10</v>
      </c>
      <c r="O1664">
        <v>2</v>
      </c>
      <c r="P1664">
        <v>3256.0600000000004</v>
      </c>
      <c r="Q1664">
        <v>0</v>
      </c>
    </row>
    <row r="1665" spans="7:17" x14ac:dyDescent="0.25">
      <c r="G1665" t="str">
        <f t="shared" si="25"/>
        <v/>
      </c>
      <c r="H1665" t="s">
        <v>46</v>
      </c>
      <c r="I1665" t="s">
        <v>11</v>
      </c>
      <c r="J1665" t="s">
        <v>4</v>
      </c>
      <c r="K1665" t="s">
        <v>36</v>
      </c>
      <c r="L1665" t="s">
        <v>44</v>
      </c>
      <c r="M1665" t="s">
        <v>19</v>
      </c>
      <c r="N1665">
        <v>8</v>
      </c>
      <c r="O1665">
        <v>2</v>
      </c>
      <c r="P1665">
        <v>8987.9</v>
      </c>
      <c r="Q1665">
        <v>7029.71</v>
      </c>
    </row>
    <row r="1666" spans="7:17" x14ac:dyDescent="0.25">
      <c r="G1666" t="str">
        <f t="shared" ref="G1666:G1729" si="26">IF(G$1="Overall","Overall",IF(G$1=L1666,L1666,""))</f>
        <v/>
      </c>
      <c r="H1666" t="s">
        <v>46</v>
      </c>
      <c r="I1666" t="s">
        <v>11</v>
      </c>
      <c r="J1666" t="s">
        <v>4</v>
      </c>
      <c r="K1666" t="s">
        <v>36</v>
      </c>
      <c r="L1666" t="s">
        <v>44</v>
      </c>
      <c r="M1666" t="s">
        <v>20</v>
      </c>
      <c r="N1666">
        <v>6</v>
      </c>
      <c r="O1666">
        <v>4</v>
      </c>
      <c r="P1666">
        <v>3677.72</v>
      </c>
      <c r="Q1666">
        <v>0</v>
      </c>
    </row>
    <row r="1667" spans="7:17" x14ac:dyDescent="0.25">
      <c r="G1667" t="str">
        <f t="shared" si="26"/>
        <v/>
      </c>
      <c r="H1667" t="s">
        <v>46</v>
      </c>
      <c r="I1667" t="s">
        <v>11</v>
      </c>
      <c r="J1667" t="s">
        <v>4</v>
      </c>
      <c r="K1667" t="s">
        <v>36</v>
      </c>
      <c r="L1667" t="s">
        <v>39</v>
      </c>
      <c r="M1667" t="s">
        <v>19</v>
      </c>
      <c r="N1667">
        <v>7</v>
      </c>
      <c r="O1667">
        <v>3</v>
      </c>
      <c r="P1667">
        <v>6716.4400000000005</v>
      </c>
      <c r="Q1667">
        <v>3827.29</v>
      </c>
    </row>
    <row r="1668" spans="7:17" x14ac:dyDescent="0.25">
      <c r="G1668" t="str">
        <f t="shared" si="26"/>
        <v/>
      </c>
      <c r="H1668" t="s">
        <v>46</v>
      </c>
      <c r="I1668" t="s">
        <v>11</v>
      </c>
      <c r="J1668" t="s">
        <v>4</v>
      </c>
      <c r="K1668" t="s">
        <v>36</v>
      </c>
      <c r="L1668" t="s">
        <v>39</v>
      </c>
      <c r="M1668" t="s">
        <v>20</v>
      </c>
      <c r="N1668">
        <v>20</v>
      </c>
      <c r="O1668">
        <v>6</v>
      </c>
      <c r="P1668">
        <v>14064.780000000004</v>
      </c>
      <c r="Q1668">
        <v>0</v>
      </c>
    </row>
    <row r="1669" spans="7:17" x14ac:dyDescent="0.25">
      <c r="G1669" t="str">
        <f t="shared" si="26"/>
        <v/>
      </c>
      <c r="H1669" t="s">
        <v>46</v>
      </c>
      <c r="I1669" t="s">
        <v>11</v>
      </c>
      <c r="J1669" t="s">
        <v>4</v>
      </c>
      <c r="K1669" t="s">
        <v>36</v>
      </c>
      <c r="L1669" t="s">
        <v>40</v>
      </c>
      <c r="M1669" t="s">
        <v>19</v>
      </c>
      <c r="N1669">
        <v>8</v>
      </c>
      <c r="O1669">
        <v>0</v>
      </c>
      <c r="P1669">
        <v>12085.02</v>
      </c>
      <c r="Q1669">
        <v>6312.37</v>
      </c>
    </row>
    <row r="1670" spans="7:17" x14ac:dyDescent="0.25">
      <c r="G1670" t="str">
        <f t="shared" si="26"/>
        <v/>
      </c>
      <c r="H1670" t="s">
        <v>46</v>
      </c>
      <c r="I1670" t="s">
        <v>11</v>
      </c>
      <c r="J1670" t="s">
        <v>4</v>
      </c>
      <c r="K1670" t="s">
        <v>36</v>
      </c>
      <c r="L1670" t="s">
        <v>40</v>
      </c>
      <c r="M1670" t="s">
        <v>20</v>
      </c>
      <c r="N1670">
        <v>8</v>
      </c>
      <c r="O1670">
        <v>1</v>
      </c>
      <c r="P1670">
        <v>811.13999999999987</v>
      </c>
      <c r="Q1670">
        <v>0</v>
      </c>
    </row>
    <row r="1671" spans="7:17" x14ac:dyDescent="0.25">
      <c r="G1671" t="str">
        <f t="shared" si="26"/>
        <v/>
      </c>
      <c r="H1671" t="s">
        <v>46</v>
      </c>
      <c r="I1671" t="s">
        <v>11</v>
      </c>
      <c r="J1671" t="s">
        <v>4</v>
      </c>
      <c r="K1671" t="s">
        <v>36</v>
      </c>
      <c r="L1671" t="s">
        <v>41</v>
      </c>
      <c r="M1671" t="s">
        <v>20</v>
      </c>
      <c r="N1671">
        <v>1</v>
      </c>
      <c r="O1671">
        <v>0</v>
      </c>
      <c r="P1671">
        <v>750</v>
      </c>
      <c r="Q1671">
        <v>0</v>
      </c>
    </row>
    <row r="1672" spans="7:17" x14ac:dyDescent="0.25">
      <c r="G1672" t="str">
        <f t="shared" si="26"/>
        <v/>
      </c>
      <c r="H1672" t="s">
        <v>46</v>
      </c>
      <c r="I1672" t="s">
        <v>11</v>
      </c>
      <c r="J1672" t="s">
        <v>4</v>
      </c>
      <c r="K1672" t="s">
        <v>36</v>
      </c>
      <c r="L1672" t="s">
        <v>45</v>
      </c>
      <c r="M1672" t="s">
        <v>19</v>
      </c>
      <c r="N1672">
        <v>2</v>
      </c>
      <c r="O1672">
        <v>1</v>
      </c>
      <c r="P1672">
        <v>3118.63</v>
      </c>
      <c r="Q1672">
        <v>3118.63</v>
      </c>
    </row>
    <row r="1673" spans="7:17" x14ac:dyDescent="0.25">
      <c r="G1673" t="str">
        <f t="shared" si="26"/>
        <v/>
      </c>
      <c r="H1673" t="s">
        <v>46</v>
      </c>
      <c r="I1673" t="s">
        <v>11</v>
      </c>
      <c r="J1673" t="s">
        <v>4</v>
      </c>
      <c r="K1673" t="s">
        <v>36</v>
      </c>
      <c r="L1673" t="s">
        <v>45</v>
      </c>
      <c r="M1673" t="s">
        <v>20</v>
      </c>
      <c r="N1673">
        <v>68</v>
      </c>
      <c r="O1673">
        <v>9</v>
      </c>
      <c r="P1673">
        <v>11005.300000000001</v>
      </c>
      <c r="Q1673">
        <v>0</v>
      </c>
    </row>
    <row r="1674" spans="7:17" x14ac:dyDescent="0.25">
      <c r="G1674" t="str">
        <f t="shared" si="26"/>
        <v/>
      </c>
      <c r="H1674" t="s">
        <v>46</v>
      </c>
      <c r="I1674" t="s">
        <v>11</v>
      </c>
      <c r="J1674" t="s">
        <v>4</v>
      </c>
      <c r="K1674" t="s">
        <v>37</v>
      </c>
      <c r="L1674" t="s">
        <v>42</v>
      </c>
      <c r="M1674" t="s">
        <v>19</v>
      </c>
      <c r="N1674">
        <v>288</v>
      </c>
      <c r="O1674">
        <v>16</v>
      </c>
      <c r="P1674">
        <v>57762.970000000016</v>
      </c>
      <c r="Q1674">
        <v>53096.749999999993</v>
      </c>
    </row>
    <row r="1675" spans="7:17" x14ac:dyDescent="0.25">
      <c r="G1675" t="str">
        <f t="shared" si="26"/>
        <v/>
      </c>
      <c r="H1675" t="s">
        <v>46</v>
      </c>
      <c r="I1675" t="s">
        <v>11</v>
      </c>
      <c r="J1675" t="s">
        <v>4</v>
      </c>
      <c r="K1675" t="s">
        <v>37</v>
      </c>
      <c r="L1675" t="s">
        <v>42</v>
      </c>
      <c r="M1675" t="s">
        <v>20</v>
      </c>
      <c r="N1675">
        <v>50</v>
      </c>
      <c r="O1675">
        <v>10</v>
      </c>
      <c r="P1675">
        <v>4151.57</v>
      </c>
      <c r="Q1675">
        <v>0</v>
      </c>
    </row>
    <row r="1676" spans="7:17" x14ac:dyDescent="0.25">
      <c r="G1676" t="str">
        <f t="shared" si="26"/>
        <v/>
      </c>
      <c r="H1676" t="s">
        <v>46</v>
      </c>
      <c r="I1676" t="s">
        <v>11</v>
      </c>
      <c r="J1676" t="s">
        <v>4</v>
      </c>
      <c r="K1676" t="s">
        <v>37</v>
      </c>
      <c r="L1676" t="s">
        <v>43</v>
      </c>
      <c r="M1676" t="s">
        <v>19</v>
      </c>
      <c r="N1676">
        <v>26</v>
      </c>
      <c r="O1676">
        <v>2</v>
      </c>
      <c r="P1676">
        <v>13827.649999999998</v>
      </c>
      <c r="Q1676">
        <v>13825.05</v>
      </c>
    </row>
    <row r="1677" spans="7:17" x14ac:dyDescent="0.25">
      <c r="G1677" t="str">
        <f t="shared" si="26"/>
        <v/>
      </c>
      <c r="H1677" t="s">
        <v>46</v>
      </c>
      <c r="I1677" t="s">
        <v>11</v>
      </c>
      <c r="J1677" t="s">
        <v>4</v>
      </c>
      <c r="K1677" t="s">
        <v>37</v>
      </c>
      <c r="L1677" t="s">
        <v>43</v>
      </c>
      <c r="M1677" t="s">
        <v>20</v>
      </c>
      <c r="N1677">
        <v>12</v>
      </c>
      <c r="O1677">
        <v>5</v>
      </c>
      <c r="P1677">
        <v>6593.78</v>
      </c>
      <c r="Q1677">
        <v>0</v>
      </c>
    </row>
    <row r="1678" spans="7:17" x14ac:dyDescent="0.25">
      <c r="G1678" t="str">
        <f t="shared" si="26"/>
        <v/>
      </c>
      <c r="H1678" t="s">
        <v>46</v>
      </c>
      <c r="I1678" t="s">
        <v>11</v>
      </c>
      <c r="J1678" t="s">
        <v>4</v>
      </c>
      <c r="K1678" t="s">
        <v>37</v>
      </c>
      <c r="L1678" t="s">
        <v>44</v>
      </c>
      <c r="M1678" t="s">
        <v>19</v>
      </c>
      <c r="N1678">
        <v>14</v>
      </c>
      <c r="O1678">
        <v>6</v>
      </c>
      <c r="P1678">
        <v>12931.08</v>
      </c>
      <c r="Q1678">
        <v>11929.89</v>
      </c>
    </row>
    <row r="1679" spans="7:17" x14ac:dyDescent="0.25">
      <c r="G1679" t="str">
        <f t="shared" si="26"/>
        <v/>
      </c>
      <c r="H1679" t="s">
        <v>46</v>
      </c>
      <c r="I1679" t="s">
        <v>11</v>
      </c>
      <c r="J1679" t="s">
        <v>4</v>
      </c>
      <c r="K1679" t="s">
        <v>37</v>
      </c>
      <c r="L1679" t="s">
        <v>44</v>
      </c>
      <c r="M1679" t="s">
        <v>20</v>
      </c>
      <c r="N1679">
        <v>7</v>
      </c>
      <c r="O1679">
        <v>2</v>
      </c>
      <c r="P1679">
        <v>6438.65</v>
      </c>
      <c r="Q1679">
        <v>0</v>
      </c>
    </row>
    <row r="1680" spans="7:17" x14ac:dyDescent="0.25">
      <c r="G1680" t="str">
        <f t="shared" si="26"/>
        <v/>
      </c>
      <c r="H1680" t="s">
        <v>46</v>
      </c>
      <c r="I1680" t="s">
        <v>11</v>
      </c>
      <c r="J1680" t="s">
        <v>4</v>
      </c>
      <c r="K1680" t="s">
        <v>37</v>
      </c>
      <c r="L1680" t="s">
        <v>39</v>
      </c>
      <c r="M1680" t="s">
        <v>19</v>
      </c>
      <c r="N1680">
        <v>4</v>
      </c>
      <c r="O1680">
        <v>3</v>
      </c>
      <c r="P1680">
        <v>5274.1100000000006</v>
      </c>
      <c r="Q1680">
        <v>4760.47</v>
      </c>
    </row>
    <row r="1681" spans="7:17" x14ac:dyDescent="0.25">
      <c r="G1681" t="str">
        <f t="shared" si="26"/>
        <v/>
      </c>
      <c r="H1681" t="s">
        <v>46</v>
      </c>
      <c r="I1681" t="s">
        <v>11</v>
      </c>
      <c r="J1681" t="s">
        <v>4</v>
      </c>
      <c r="K1681" t="s">
        <v>37</v>
      </c>
      <c r="L1681" t="s">
        <v>39</v>
      </c>
      <c r="M1681" t="s">
        <v>20</v>
      </c>
      <c r="N1681">
        <v>8</v>
      </c>
      <c r="O1681">
        <v>6</v>
      </c>
      <c r="P1681">
        <v>4125.76</v>
      </c>
      <c r="Q1681">
        <v>0</v>
      </c>
    </row>
    <row r="1682" spans="7:17" x14ac:dyDescent="0.25">
      <c r="G1682" t="str">
        <f t="shared" si="26"/>
        <v/>
      </c>
      <c r="H1682" t="s">
        <v>46</v>
      </c>
      <c r="I1682" t="s">
        <v>11</v>
      </c>
      <c r="J1682" t="s">
        <v>4</v>
      </c>
      <c r="K1682" t="s">
        <v>37</v>
      </c>
      <c r="L1682" t="s">
        <v>40</v>
      </c>
      <c r="M1682" t="s">
        <v>19</v>
      </c>
      <c r="N1682">
        <v>1</v>
      </c>
      <c r="O1682">
        <v>0</v>
      </c>
      <c r="P1682">
        <v>1175.29</v>
      </c>
      <c r="Q1682">
        <v>1175</v>
      </c>
    </row>
    <row r="1683" spans="7:17" x14ac:dyDescent="0.25">
      <c r="G1683" t="str">
        <f t="shared" si="26"/>
        <v/>
      </c>
      <c r="H1683" t="s">
        <v>46</v>
      </c>
      <c r="I1683" t="s">
        <v>11</v>
      </c>
      <c r="J1683" t="s">
        <v>4</v>
      </c>
      <c r="K1683" t="s">
        <v>37</v>
      </c>
      <c r="L1683" t="s">
        <v>40</v>
      </c>
      <c r="M1683" t="s">
        <v>20</v>
      </c>
      <c r="N1683">
        <v>2</v>
      </c>
      <c r="O1683">
        <v>0</v>
      </c>
      <c r="P1683">
        <v>2821.52</v>
      </c>
      <c r="Q1683">
        <v>0</v>
      </c>
    </row>
    <row r="1684" spans="7:17" x14ac:dyDescent="0.25">
      <c r="G1684" t="str">
        <f t="shared" si="26"/>
        <v/>
      </c>
      <c r="H1684" t="s">
        <v>46</v>
      </c>
      <c r="I1684" t="s">
        <v>11</v>
      </c>
      <c r="J1684" t="s">
        <v>4</v>
      </c>
      <c r="K1684" t="s">
        <v>37</v>
      </c>
      <c r="L1684" t="s">
        <v>41</v>
      </c>
      <c r="M1684" t="s">
        <v>20</v>
      </c>
      <c r="N1684">
        <v>2</v>
      </c>
      <c r="O1684">
        <v>0</v>
      </c>
      <c r="P1684">
        <v>49.13</v>
      </c>
      <c r="Q1684">
        <v>0</v>
      </c>
    </row>
    <row r="1685" spans="7:17" x14ac:dyDescent="0.25">
      <c r="G1685" t="str">
        <f t="shared" si="26"/>
        <v/>
      </c>
      <c r="H1685" t="s">
        <v>46</v>
      </c>
      <c r="I1685" t="s">
        <v>11</v>
      </c>
      <c r="J1685" t="s">
        <v>4</v>
      </c>
      <c r="K1685" t="s">
        <v>37</v>
      </c>
      <c r="L1685" t="s">
        <v>45</v>
      </c>
      <c r="M1685" t="s">
        <v>20</v>
      </c>
      <c r="N1685">
        <v>83</v>
      </c>
      <c r="O1685">
        <v>18</v>
      </c>
      <c r="P1685">
        <v>35532.129999999997</v>
      </c>
      <c r="Q1685">
        <v>0</v>
      </c>
    </row>
    <row r="1686" spans="7:17" x14ac:dyDescent="0.25">
      <c r="G1686" t="str">
        <f t="shared" si="26"/>
        <v/>
      </c>
      <c r="H1686" t="s">
        <v>46</v>
      </c>
      <c r="I1686" t="s">
        <v>11</v>
      </c>
      <c r="J1686" t="s">
        <v>4</v>
      </c>
      <c r="K1686" t="s">
        <v>38</v>
      </c>
      <c r="L1686" t="s">
        <v>42</v>
      </c>
      <c r="M1686" t="s">
        <v>19</v>
      </c>
      <c r="N1686">
        <v>145</v>
      </c>
      <c r="O1686">
        <v>8</v>
      </c>
      <c r="P1686">
        <v>29566.449999999986</v>
      </c>
      <c r="Q1686">
        <v>29171.80999999999</v>
      </c>
    </row>
    <row r="1687" spans="7:17" x14ac:dyDescent="0.25">
      <c r="G1687" t="str">
        <f t="shared" si="26"/>
        <v/>
      </c>
      <c r="H1687" t="s">
        <v>46</v>
      </c>
      <c r="I1687" t="s">
        <v>11</v>
      </c>
      <c r="J1687" t="s">
        <v>4</v>
      </c>
      <c r="K1687" t="s">
        <v>38</v>
      </c>
      <c r="L1687" t="s">
        <v>42</v>
      </c>
      <c r="M1687" t="s">
        <v>20</v>
      </c>
      <c r="N1687">
        <v>28</v>
      </c>
      <c r="O1687">
        <v>6</v>
      </c>
      <c r="P1687">
        <v>8517.2100000000009</v>
      </c>
      <c r="Q1687">
        <v>0</v>
      </c>
    </row>
    <row r="1688" spans="7:17" x14ac:dyDescent="0.25">
      <c r="G1688" t="str">
        <f t="shared" si="26"/>
        <v/>
      </c>
      <c r="H1688" t="s">
        <v>46</v>
      </c>
      <c r="I1688" t="s">
        <v>11</v>
      </c>
      <c r="J1688" t="s">
        <v>4</v>
      </c>
      <c r="K1688" t="s">
        <v>38</v>
      </c>
      <c r="L1688" t="s">
        <v>43</v>
      </c>
      <c r="M1688" t="s">
        <v>19</v>
      </c>
      <c r="N1688">
        <v>86</v>
      </c>
      <c r="O1688">
        <v>6</v>
      </c>
      <c r="P1688">
        <v>50093.039999999994</v>
      </c>
      <c r="Q1688">
        <v>48414.569999999992</v>
      </c>
    </row>
    <row r="1689" spans="7:17" x14ac:dyDescent="0.25">
      <c r="G1689" t="str">
        <f t="shared" si="26"/>
        <v/>
      </c>
      <c r="H1689" t="s">
        <v>46</v>
      </c>
      <c r="I1689" t="s">
        <v>11</v>
      </c>
      <c r="J1689" t="s">
        <v>4</v>
      </c>
      <c r="K1689" t="s">
        <v>38</v>
      </c>
      <c r="L1689" t="s">
        <v>43</v>
      </c>
      <c r="M1689" t="s">
        <v>20</v>
      </c>
      <c r="N1689">
        <v>6</v>
      </c>
      <c r="O1689">
        <v>2</v>
      </c>
      <c r="P1689">
        <v>1545.0500000000002</v>
      </c>
      <c r="Q1689">
        <v>0</v>
      </c>
    </row>
    <row r="1690" spans="7:17" x14ac:dyDescent="0.25">
      <c r="G1690" t="str">
        <f t="shared" si="26"/>
        <v/>
      </c>
      <c r="H1690" t="s">
        <v>46</v>
      </c>
      <c r="I1690" t="s">
        <v>11</v>
      </c>
      <c r="J1690" t="s">
        <v>4</v>
      </c>
      <c r="K1690" t="s">
        <v>38</v>
      </c>
      <c r="L1690" t="s">
        <v>44</v>
      </c>
      <c r="M1690" t="s">
        <v>19</v>
      </c>
      <c r="N1690">
        <v>97</v>
      </c>
      <c r="O1690">
        <v>1</v>
      </c>
      <c r="P1690">
        <v>88992.089999999967</v>
      </c>
      <c r="Q1690">
        <v>76450.709999999977</v>
      </c>
    </row>
    <row r="1691" spans="7:17" x14ac:dyDescent="0.25">
      <c r="G1691" t="str">
        <f t="shared" si="26"/>
        <v/>
      </c>
      <c r="H1691" t="s">
        <v>46</v>
      </c>
      <c r="I1691" t="s">
        <v>11</v>
      </c>
      <c r="J1691" t="s">
        <v>4</v>
      </c>
      <c r="K1691" t="s">
        <v>38</v>
      </c>
      <c r="L1691" t="s">
        <v>44</v>
      </c>
      <c r="M1691" t="s">
        <v>20</v>
      </c>
      <c r="N1691">
        <v>2</v>
      </c>
      <c r="O1691">
        <v>1</v>
      </c>
      <c r="P1691">
        <v>266.26</v>
      </c>
      <c r="Q1691">
        <v>0</v>
      </c>
    </row>
    <row r="1692" spans="7:17" x14ac:dyDescent="0.25">
      <c r="G1692" t="str">
        <f t="shared" si="26"/>
        <v/>
      </c>
      <c r="H1692" t="s">
        <v>46</v>
      </c>
      <c r="I1692" t="s">
        <v>11</v>
      </c>
      <c r="J1692" t="s">
        <v>4</v>
      </c>
      <c r="K1692" t="s">
        <v>38</v>
      </c>
      <c r="L1692" t="s">
        <v>39</v>
      </c>
      <c r="M1692" t="s">
        <v>19</v>
      </c>
      <c r="N1692">
        <v>9</v>
      </c>
      <c r="O1692">
        <v>3</v>
      </c>
      <c r="P1692">
        <v>15948.929999999998</v>
      </c>
      <c r="Q1692">
        <v>14536.989999999998</v>
      </c>
    </row>
    <row r="1693" spans="7:17" x14ac:dyDescent="0.25">
      <c r="G1693" t="str">
        <f t="shared" si="26"/>
        <v/>
      </c>
      <c r="H1693" t="s">
        <v>46</v>
      </c>
      <c r="I1693" t="s">
        <v>11</v>
      </c>
      <c r="J1693" t="s">
        <v>4</v>
      </c>
      <c r="K1693" t="s">
        <v>38</v>
      </c>
      <c r="L1693" t="s">
        <v>39</v>
      </c>
      <c r="M1693" t="s">
        <v>20</v>
      </c>
      <c r="N1693">
        <v>3</v>
      </c>
      <c r="O1693">
        <v>2</v>
      </c>
      <c r="P1693">
        <v>2701.7200000000003</v>
      </c>
      <c r="Q1693">
        <v>0</v>
      </c>
    </row>
    <row r="1694" spans="7:17" x14ac:dyDescent="0.25">
      <c r="G1694" t="str">
        <f t="shared" si="26"/>
        <v/>
      </c>
      <c r="H1694" t="s">
        <v>46</v>
      </c>
      <c r="I1694" t="s">
        <v>11</v>
      </c>
      <c r="J1694" t="s">
        <v>4</v>
      </c>
      <c r="K1694" t="s">
        <v>38</v>
      </c>
      <c r="L1694" t="s">
        <v>40</v>
      </c>
      <c r="M1694" t="s">
        <v>20</v>
      </c>
      <c r="N1694">
        <v>2</v>
      </c>
      <c r="O1694">
        <v>1</v>
      </c>
      <c r="P1694">
        <v>11.3</v>
      </c>
      <c r="Q1694">
        <v>0</v>
      </c>
    </row>
    <row r="1695" spans="7:17" x14ac:dyDescent="0.25">
      <c r="G1695" t="str">
        <f t="shared" si="26"/>
        <v/>
      </c>
      <c r="H1695" t="s">
        <v>46</v>
      </c>
      <c r="I1695" t="s">
        <v>11</v>
      </c>
      <c r="J1695" t="s">
        <v>4</v>
      </c>
      <c r="K1695" t="s">
        <v>38</v>
      </c>
      <c r="L1695" t="s">
        <v>45</v>
      </c>
      <c r="M1695" t="s">
        <v>20</v>
      </c>
      <c r="N1695">
        <v>16</v>
      </c>
      <c r="O1695">
        <v>5</v>
      </c>
      <c r="P1695">
        <v>3431.11</v>
      </c>
      <c r="Q1695">
        <v>0</v>
      </c>
    </row>
    <row r="1696" spans="7:17" x14ac:dyDescent="0.25">
      <c r="G1696" t="str">
        <f t="shared" si="26"/>
        <v/>
      </c>
      <c r="H1696" t="s">
        <v>47</v>
      </c>
      <c r="I1696" t="s">
        <v>10</v>
      </c>
      <c r="J1696" t="s">
        <v>6</v>
      </c>
      <c r="K1696" t="s">
        <v>23</v>
      </c>
      <c r="L1696" t="s">
        <v>42</v>
      </c>
      <c r="M1696" t="s">
        <v>19</v>
      </c>
      <c r="N1696">
        <v>426</v>
      </c>
      <c r="O1696">
        <v>120</v>
      </c>
      <c r="P1696">
        <v>233813.32000000027</v>
      </c>
      <c r="Q1696">
        <v>226217.53000000029</v>
      </c>
    </row>
    <row r="1697" spans="7:17" x14ac:dyDescent="0.25">
      <c r="G1697" t="str">
        <f t="shared" si="26"/>
        <v/>
      </c>
      <c r="H1697" t="s">
        <v>47</v>
      </c>
      <c r="I1697" t="s">
        <v>10</v>
      </c>
      <c r="J1697" t="s">
        <v>6</v>
      </c>
      <c r="K1697" t="s">
        <v>23</v>
      </c>
      <c r="L1697" t="s">
        <v>42</v>
      </c>
      <c r="M1697" t="s">
        <v>20</v>
      </c>
      <c r="N1697">
        <v>383</v>
      </c>
      <c r="O1697">
        <v>85</v>
      </c>
      <c r="P1697">
        <v>113668.10999999999</v>
      </c>
      <c r="Q1697">
        <v>0</v>
      </c>
    </row>
    <row r="1698" spans="7:17" x14ac:dyDescent="0.25">
      <c r="G1698" t="str">
        <f t="shared" si="26"/>
        <v/>
      </c>
      <c r="H1698" t="s">
        <v>47</v>
      </c>
      <c r="I1698" t="s">
        <v>10</v>
      </c>
      <c r="J1698" t="s">
        <v>6</v>
      </c>
      <c r="K1698" t="s">
        <v>23</v>
      </c>
      <c r="L1698" t="s">
        <v>43</v>
      </c>
      <c r="M1698" t="s">
        <v>19</v>
      </c>
      <c r="N1698">
        <v>57</v>
      </c>
      <c r="O1698">
        <v>32</v>
      </c>
      <c r="P1698">
        <v>39792.07</v>
      </c>
      <c r="Q1698">
        <v>31886.100000000002</v>
      </c>
    </row>
    <row r="1699" spans="7:17" x14ac:dyDescent="0.25">
      <c r="G1699" t="str">
        <f t="shared" si="26"/>
        <v/>
      </c>
      <c r="H1699" t="s">
        <v>47</v>
      </c>
      <c r="I1699" t="s">
        <v>10</v>
      </c>
      <c r="J1699" t="s">
        <v>6</v>
      </c>
      <c r="K1699" t="s">
        <v>23</v>
      </c>
      <c r="L1699" t="s">
        <v>43</v>
      </c>
      <c r="M1699" t="s">
        <v>20</v>
      </c>
      <c r="N1699">
        <v>110</v>
      </c>
      <c r="O1699">
        <v>28</v>
      </c>
      <c r="P1699">
        <v>94957.190000000017</v>
      </c>
      <c r="Q1699">
        <v>0</v>
      </c>
    </row>
    <row r="1700" spans="7:17" x14ac:dyDescent="0.25">
      <c r="G1700" t="str">
        <f t="shared" si="26"/>
        <v/>
      </c>
      <c r="H1700" t="s">
        <v>47</v>
      </c>
      <c r="I1700" t="s">
        <v>10</v>
      </c>
      <c r="J1700" t="s">
        <v>6</v>
      </c>
      <c r="K1700" t="s">
        <v>23</v>
      </c>
      <c r="L1700" t="s">
        <v>44</v>
      </c>
      <c r="M1700" t="s">
        <v>19</v>
      </c>
      <c r="N1700">
        <v>79</v>
      </c>
      <c r="O1700">
        <v>41</v>
      </c>
      <c r="P1700">
        <v>81065.499999999985</v>
      </c>
      <c r="Q1700">
        <v>35707.789999999986</v>
      </c>
    </row>
    <row r="1701" spans="7:17" x14ac:dyDescent="0.25">
      <c r="G1701" t="str">
        <f t="shared" si="26"/>
        <v/>
      </c>
      <c r="H1701" t="s">
        <v>47</v>
      </c>
      <c r="I1701" t="s">
        <v>10</v>
      </c>
      <c r="J1701" t="s">
        <v>6</v>
      </c>
      <c r="K1701" t="s">
        <v>23</v>
      </c>
      <c r="L1701" t="s">
        <v>44</v>
      </c>
      <c r="M1701" t="s">
        <v>20</v>
      </c>
      <c r="N1701">
        <v>28</v>
      </c>
      <c r="O1701">
        <v>17</v>
      </c>
      <c r="P1701">
        <v>22967.02</v>
      </c>
      <c r="Q1701">
        <v>0</v>
      </c>
    </row>
    <row r="1702" spans="7:17" x14ac:dyDescent="0.25">
      <c r="G1702" t="str">
        <f t="shared" si="26"/>
        <v/>
      </c>
      <c r="H1702" t="s">
        <v>47</v>
      </c>
      <c r="I1702" t="s">
        <v>10</v>
      </c>
      <c r="J1702" t="s">
        <v>6</v>
      </c>
      <c r="K1702" t="s">
        <v>23</v>
      </c>
      <c r="L1702" t="s">
        <v>39</v>
      </c>
      <c r="M1702" t="s">
        <v>19</v>
      </c>
      <c r="N1702">
        <v>6</v>
      </c>
      <c r="O1702">
        <v>4</v>
      </c>
      <c r="P1702">
        <v>10119.15</v>
      </c>
      <c r="Q1702">
        <v>3217.17</v>
      </c>
    </row>
    <row r="1703" spans="7:17" x14ac:dyDescent="0.25">
      <c r="G1703" t="str">
        <f t="shared" si="26"/>
        <v/>
      </c>
      <c r="H1703" t="s">
        <v>47</v>
      </c>
      <c r="I1703" t="s">
        <v>10</v>
      </c>
      <c r="J1703" t="s">
        <v>6</v>
      </c>
      <c r="K1703" t="s">
        <v>23</v>
      </c>
      <c r="L1703" t="s">
        <v>39</v>
      </c>
      <c r="M1703" t="s">
        <v>20</v>
      </c>
      <c r="N1703">
        <v>31</v>
      </c>
      <c r="O1703">
        <v>20</v>
      </c>
      <c r="P1703">
        <v>33513.43</v>
      </c>
      <c r="Q1703">
        <v>0</v>
      </c>
    </row>
    <row r="1704" spans="7:17" x14ac:dyDescent="0.25">
      <c r="G1704" t="str">
        <f t="shared" si="26"/>
        <v/>
      </c>
      <c r="H1704" t="s">
        <v>47</v>
      </c>
      <c r="I1704" t="s">
        <v>10</v>
      </c>
      <c r="J1704" t="s">
        <v>6</v>
      </c>
      <c r="K1704" t="s">
        <v>23</v>
      </c>
      <c r="L1704" t="s">
        <v>40</v>
      </c>
      <c r="M1704" t="s">
        <v>19</v>
      </c>
      <c r="N1704">
        <v>4</v>
      </c>
      <c r="O1704">
        <v>2</v>
      </c>
      <c r="P1704">
        <v>3815.62</v>
      </c>
      <c r="Q1704">
        <v>2329.1400000000003</v>
      </c>
    </row>
    <row r="1705" spans="7:17" x14ac:dyDescent="0.25">
      <c r="G1705" t="str">
        <f t="shared" si="26"/>
        <v/>
      </c>
      <c r="H1705" t="s">
        <v>47</v>
      </c>
      <c r="I1705" t="s">
        <v>10</v>
      </c>
      <c r="J1705" t="s">
        <v>6</v>
      </c>
      <c r="K1705" t="s">
        <v>23</v>
      </c>
      <c r="L1705" t="s">
        <v>40</v>
      </c>
      <c r="M1705" t="s">
        <v>20</v>
      </c>
      <c r="N1705">
        <v>15</v>
      </c>
      <c r="O1705">
        <v>2</v>
      </c>
      <c r="P1705">
        <v>17299.77</v>
      </c>
      <c r="Q1705">
        <v>0</v>
      </c>
    </row>
    <row r="1706" spans="7:17" x14ac:dyDescent="0.25">
      <c r="G1706" t="str">
        <f t="shared" si="26"/>
        <v/>
      </c>
      <c r="H1706" t="s">
        <v>47</v>
      </c>
      <c r="I1706" t="s">
        <v>10</v>
      </c>
      <c r="J1706" t="s">
        <v>6</v>
      </c>
      <c r="K1706" t="s">
        <v>23</v>
      </c>
      <c r="L1706" t="s">
        <v>41</v>
      </c>
      <c r="M1706" t="s">
        <v>20</v>
      </c>
      <c r="N1706">
        <v>47</v>
      </c>
      <c r="O1706">
        <v>5</v>
      </c>
      <c r="P1706">
        <v>96822.110000000015</v>
      </c>
      <c r="Q1706">
        <v>0</v>
      </c>
    </row>
    <row r="1707" spans="7:17" x14ac:dyDescent="0.25">
      <c r="G1707" t="str">
        <f t="shared" si="26"/>
        <v/>
      </c>
      <c r="H1707" t="s">
        <v>47</v>
      </c>
      <c r="I1707" t="s">
        <v>10</v>
      </c>
      <c r="J1707" t="s">
        <v>6</v>
      </c>
      <c r="K1707" t="s">
        <v>23</v>
      </c>
      <c r="L1707" t="s">
        <v>45</v>
      </c>
      <c r="M1707" t="s">
        <v>19</v>
      </c>
      <c r="N1707">
        <v>1</v>
      </c>
      <c r="O1707">
        <v>0</v>
      </c>
      <c r="P1707">
        <v>1143.76</v>
      </c>
      <c r="Q1707">
        <v>213.24</v>
      </c>
    </row>
    <row r="1708" spans="7:17" x14ac:dyDescent="0.25">
      <c r="G1708" t="str">
        <f t="shared" si="26"/>
        <v/>
      </c>
      <c r="H1708" t="s">
        <v>47</v>
      </c>
      <c r="I1708" t="s">
        <v>10</v>
      </c>
      <c r="J1708" t="s">
        <v>6</v>
      </c>
      <c r="K1708" t="s">
        <v>23</v>
      </c>
      <c r="L1708" t="s">
        <v>45</v>
      </c>
      <c r="M1708" t="s">
        <v>20</v>
      </c>
      <c r="N1708">
        <v>265</v>
      </c>
      <c r="O1708">
        <v>114</v>
      </c>
      <c r="P1708">
        <v>280607.35999999999</v>
      </c>
      <c r="Q1708">
        <v>0</v>
      </c>
    </row>
    <row r="1709" spans="7:17" x14ac:dyDescent="0.25">
      <c r="G1709" t="str">
        <f t="shared" si="26"/>
        <v/>
      </c>
      <c r="H1709" t="s">
        <v>47</v>
      </c>
      <c r="I1709" t="s">
        <v>10</v>
      </c>
      <c r="J1709" t="s">
        <v>6</v>
      </c>
      <c r="K1709" t="s">
        <v>24</v>
      </c>
      <c r="L1709" t="s">
        <v>42</v>
      </c>
      <c r="M1709" t="s">
        <v>19</v>
      </c>
      <c r="N1709">
        <v>57</v>
      </c>
      <c r="O1709">
        <v>15</v>
      </c>
      <c r="P1709">
        <v>28590.880000000001</v>
      </c>
      <c r="Q1709">
        <v>28202.01</v>
      </c>
    </row>
    <row r="1710" spans="7:17" x14ac:dyDescent="0.25">
      <c r="G1710" t="str">
        <f t="shared" si="26"/>
        <v/>
      </c>
      <c r="H1710" t="s">
        <v>47</v>
      </c>
      <c r="I1710" t="s">
        <v>10</v>
      </c>
      <c r="J1710" t="s">
        <v>6</v>
      </c>
      <c r="K1710" t="s">
        <v>24</v>
      </c>
      <c r="L1710" t="s">
        <v>42</v>
      </c>
      <c r="M1710" t="s">
        <v>20</v>
      </c>
      <c r="N1710">
        <v>72</v>
      </c>
      <c r="O1710">
        <v>17</v>
      </c>
      <c r="P1710">
        <v>20316.820000000011</v>
      </c>
      <c r="Q1710">
        <v>0</v>
      </c>
    </row>
    <row r="1711" spans="7:17" x14ac:dyDescent="0.25">
      <c r="G1711" t="str">
        <f t="shared" si="26"/>
        <v/>
      </c>
      <c r="H1711" t="s">
        <v>47</v>
      </c>
      <c r="I1711" t="s">
        <v>10</v>
      </c>
      <c r="J1711" t="s">
        <v>6</v>
      </c>
      <c r="K1711" t="s">
        <v>24</v>
      </c>
      <c r="L1711" t="s">
        <v>43</v>
      </c>
      <c r="M1711" t="s">
        <v>19</v>
      </c>
      <c r="N1711">
        <v>5</v>
      </c>
      <c r="O1711">
        <v>4</v>
      </c>
      <c r="P1711">
        <v>3227.78</v>
      </c>
      <c r="Q1711">
        <v>2784.7400000000002</v>
      </c>
    </row>
    <row r="1712" spans="7:17" x14ac:dyDescent="0.25">
      <c r="G1712" t="str">
        <f t="shared" si="26"/>
        <v/>
      </c>
      <c r="H1712" t="s">
        <v>47</v>
      </c>
      <c r="I1712" t="s">
        <v>10</v>
      </c>
      <c r="J1712" t="s">
        <v>6</v>
      </c>
      <c r="K1712" t="s">
        <v>24</v>
      </c>
      <c r="L1712" t="s">
        <v>43</v>
      </c>
      <c r="M1712" t="s">
        <v>20</v>
      </c>
      <c r="N1712">
        <v>17</v>
      </c>
      <c r="O1712">
        <v>9</v>
      </c>
      <c r="P1712">
        <v>12948.61</v>
      </c>
      <c r="Q1712">
        <v>0</v>
      </c>
    </row>
    <row r="1713" spans="7:17" x14ac:dyDescent="0.25">
      <c r="G1713" t="str">
        <f t="shared" si="26"/>
        <v/>
      </c>
      <c r="H1713" t="s">
        <v>47</v>
      </c>
      <c r="I1713" t="s">
        <v>10</v>
      </c>
      <c r="J1713" t="s">
        <v>6</v>
      </c>
      <c r="K1713" t="s">
        <v>24</v>
      </c>
      <c r="L1713" t="s">
        <v>44</v>
      </c>
      <c r="M1713" t="s">
        <v>19</v>
      </c>
      <c r="N1713">
        <v>24</v>
      </c>
      <c r="O1713">
        <v>6</v>
      </c>
      <c r="P1713">
        <v>16264.91</v>
      </c>
      <c r="Q1713">
        <v>5123.5600000000004</v>
      </c>
    </row>
    <row r="1714" spans="7:17" x14ac:dyDescent="0.25">
      <c r="G1714" t="str">
        <f t="shared" si="26"/>
        <v/>
      </c>
      <c r="H1714" t="s">
        <v>47</v>
      </c>
      <c r="I1714" t="s">
        <v>10</v>
      </c>
      <c r="J1714" t="s">
        <v>6</v>
      </c>
      <c r="K1714" t="s">
        <v>24</v>
      </c>
      <c r="L1714" t="s">
        <v>44</v>
      </c>
      <c r="M1714" t="s">
        <v>20</v>
      </c>
      <c r="N1714">
        <v>3</v>
      </c>
      <c r="O1714">
        <v>2</v>
      </c>
      <c r="P1714">
        <v>2381.92</v>
      </c>
      <c r="Q1714">
        <v>0</v>
      </c>
    </row>
    <row r="1715" spans="7:17" x14ac:dyDescent="0.25">
      <c r="G1715" t="str">
        <f t="shared" si="26"/>
        <v/>
      </c>
      <c r="H1715" t="s">
        <v>47</v>
      </c>
      <c r="I1715" t="s">
        <v>10</v>
      </c>
      <c r="J1715" t="s">
        <v>6</v>
      </c>
      <c r="K1715" t="s">
        <v>24</v>
      </c>
      <c r="L1715" t="s">
        <v>39</v>
      </c>
      <c r="M1715" t="s">
        <v>19</v>
      </c>
      <c r="N1715">
        <v>2</v>
      </c>
      <c r="O1715">
        <v>2</v>
      </c>
      <c r="P1715">
        <v>2140.8199999999997</v>
      </c>
      <c r="Q1715">
        <v>1379.83</v>
      </c>
    </row>
    <row r="1716" spans="7:17" x14ac:dyDescent="0.25">
      <c r="G1716" t="str">
        <f t="shared" si="26"/>
        <v/>
      </c>
      <c r="H1716" t="s">
        <v>47</v>
      </c>
      <c r="I1716" t="s">
        <v>10</v>
      </c>
      <c r="J1716" t="s">
        <v>6</v>
      </c>
      <c r="K1716" t="s">
        <v>24</v>
      </c>
      <c r="L1716" t="s">
        <v>39</v>
      </c>
      <c r="M1716" t="s">
        <v>20</v>
      </c>
      <c r="N1716">
        <v>2</v>
      </c>
      <c r="O1716">
        <v>2</v>
      </c>
      <c r="P1716">
        <v>2846.0499999999997</v>
      </c>
      <c r="Q1716">
        <v>0</v>
      </c>
    </row>
    <row r="1717" spans="7:17" x14ac:dyDescent="0.25">
      <c r="G1717" t="str">
        <f t="shared" si="26"/>
        <v/>
      </c>
      <c r="H1717" t="s">
        <v>47</v>
      </c>
      <c r="I1717" t="s">
        <v>10</v>
      </c>
      <c r="J1717" t="s">
        <v>6</v>
      </c>
      <c r="K1717" t="s">
        <v>24</v>
      </c>
      <c r="L1717" t="s">
        <v>40</v>
      </c>
      <c r="M1717" t="s">
        <v>20</v>
      </c>
      <c r="N1717">
        <v>3</v>
      </c>
      <c r="O1717">
        <v>1</v>
      </c>
      <c r="P1717">
        <v>4246.62</v>
      </c>
      <c r="Q1717">
        <v>0</v>
      </c>
    </row>
    <row r="1718" spans="7:17" x14ac:dyDescent="0.25">
      <c r="G1718" t="str">
        <f t="shared" si="26"/>
        <v/>
      </c>
      <c r="H1718" t="s">
        <v>47</v>
      </c>
      <c r="I1718" t="s">
        <v>10</v>
      </c>
      <c r="J1718" t="s">
        <v>6</v>
      </c>
      <c r="K1718" t="s">
        <v>24</v>
      </c>
      <c r="L1718" t="s">
        <v>41</v>
      </c>
      <c r="M1718" t="s">
        <v>20</v>
      </c>
      <c r="N1718">
        <v>4</v>
      </c>
      <c r="O1718">
        <v>2</v>
      </c>
      <c r="P1718">
        <v>4180.43</v>
      </c>
      <c r="Q1718">
        <v>0</v>
      </c>
    </row>
    <row r="1719" spans="7:17" x14ac:dyDescent="0.25">
      <c r="G1719" t="str">
        <f t="shared" si="26"/>
        <v/>
      </c>
      <c r="H1719" t="s">
        <v>47</v>
      </c>
      <c r="I1719" t="s">
        <v>10</v>
      </c>
      <c r="J1719" t="s">
        <v>6</v>
      </c>
      <c r="K1719" t="s">
        <v>24</v>
      </c>
      <c r="L1719" t="s">
        <v>45</v>
      </c>
      <c r="M1719" t="s">
        <v>19</v>
      </c>
      <c r="N1719">
        <v>3</v>
      </c>
      <c r="O1719">
        <v>1</v>
      </c>
      <c r="P1719">
        <v>2684.84</v>
      </c>
      <c r="Q1719">
        <v>2683</v>
      </c>
    </row>
    <row r="1720" spans="7:17" x14ac:dyDescent="0.25">
      <c r="G1720" t="str">
        <f t="shared" si="26"/>
        <v/>
      </c>
      <c r="H1720" t="s">
        <v>47</v>
      </c>
      <c r="I1720" t="s">
        <v>10</v>
      </c>
      <c r="J1720" t="s">
        <v>6</v>
      </c>
      <c r="K1720" t="s">
        <v>24</v>
      </c>
      <c r="L1720" t="s">
        <v>45</v>
      </c>
      <c r="M1720" t="s">
        <v>20</v>
      </c>
      <c r="N1720">
        <v>65</v>
      </c>
      <c r="O1720">
        <v>22</v>
      </c>
      <c r="P1720">
        <v>59918.700000000012</v>
      </c>
      <c r="Q1720">
        <v>0</v>
      </c>
    </row>
    <row r="1721" spans="7:17" x14ac:dyDescent="0.25">
      <c r="G1721" t="str">
        <f t="shared" si="26"/>
        <v/>
      </c>
      <c r="H1721" t="s">
        <v>47</v>
      </c>
      <c r="I1721" t="s">
        <v>10</v>
      </c>
      <c r="J1721" t="s">
        <v>6</v>
      </c>
      <c r="K1721" t="s">
        <v>25</v>
      </c>
      <c r="L1721" t="s">
        <v>42</v>
      </c>
      <c r="M1721" t="s">
        <v>19</v>
      </c>
      <c r="N1721">
        <v>815</v>
      </c>
      <c r="O1721">
        <v>131</v>
      </c>
      <c r="P1721">
        <v>289133.39000000007</v>
      </c>
      <c r="Q1721">
        <v>285502.82000000007</v>
      </c>
    </row>
    <row r="1722" spans="7:17" x14ac:dyDescent="0.25">
      <c r="G1722" t="str">
        <f t="shared" si="26"/>
        <v/>
      </c>
      <c r="H1722" t="s">
        <v>47</v>
      </c>
      <c r="I1722" t="s">
        <v>10</v>
      </c>
      <c r="J1722" t="s">
        <v>6</v>
      </c>
      <c r="K1722" t="s">
        <v>25</v>
      </c>
      <c r="L1722" t="s">
        <v>42</v>
      </c>
      <c r="M1722" t="s">
        <v>20</v>
      </c>
      <c r="N1722">
        <v>275</v>
      </c>
      <c r="O1722">
        <v>103</v>
      </c>
      <c r="P1722">
        <v>161303.9599999999</v>
      </c>
      <c r="Q1722">
        <v>0</v>
      </c>
    </row>
    <row r="1723" spans="7:17" x14ac:dyDescent="0.25">
      <c r="G1723" t="str">
        <f t="shared" si="26"/>
        <v/>
      </c>
      <c r="H1723" t="s">
        <v>47</v>
      </c>
      <c r="I1723" t="s">
        <v>10</v>
      </c>
      <c r="J1723" t="s">
        <v>6</v>
      </c>
      <c r="K1723" t="s">
        <v>25</v>
      </c>
      <c r="L1723" t="s">
        <v>43</v>
      </c>
      <c r="M1723" t="s">
        <v>19</v>
      </c>
      <c r="N1723">
        <v>49</v>
      </c>
      <c r="O1723">
        <v>32</v>
      </c>
      <c r="P1723">
        <v>34128.319999999992</v>
      </c>
      <c r="Q1723">
        <v>28311.649999999991</v>
      </c>
    </row>
    <row r="1724" spans="7:17" x14ac:dyDescent="0.25">
      <c r="G1724" t="str">
        <f t="shared" si="26"/>
        <v/>
      </c>
      <c r="H1724" t="s">
        <v>47</v>
      </c>
      <c r="I1724" t="s">
        <v>10</v>
      </c>
      <c r="J1724" t="s">
        <v>6</v>
      </c>
      <c r="K1724" t="s">
        <v>25</v>
      </c>
      <c r="L1724" t="s">
        <v>43</v>
      </c>
      <c r="M1724" t="s">
        <v>20</v>
      </c>
      <c r="N1724">
        <v>58</v>
      </c>
      <c r="O1724">
        <v>19</v>
      </c>
      <c r="P1724">
        <v>44916.989999999983</v>
      </c>
      <c r="Q1724">
        <v>0</v>
      </c>
    </row>
    <row r="1725" spans="7:17" x14ac:dyDescent="0.25">
      <c r="G1725" t="str">
        <f t="shared" si="26"/>
        <v/>
      </c>
      <c r="H1725" t="s">
        <v>47</v>
      </c>
      <c r="I1725" t="s">
        <v>10</v>
      </c>
      <c r="J1725" t="s">
        <v>6</v>
      </c>
      <c r="K1725" t="s">
        <v>25</v>
      </c>
      <c r="L1725" t="s">
        <v>44</v>
      </c>
      <c r="M1725" t="s">
        <v>19</v>
      </c>
      <c r="N1725">
        <v>108</v>
      </c>
      <c r="O1725">
        <v>56</v>
      </c>
      <c r="P1725">
        <v>79483.059999999983</v>
      </c>
      <c r="Q1725">
        <v>44536.940000000024</v>
      </c>
    </row>
    <row r="1726" spans="7:17" x14ac:dyDescent="0.25">
      <c r="G1726" t="str">
        <f t="shared" si="26"/>
        <v/>
      </c>
      <c r="H1726" t="s">
        <v>47</v>
      </c>
      <c r="I1726" t="s">
        <v>10</v>
      </c>
      <c r="J1726" t="s">
        <v>6</v>
      </c>
      <c r="K1726" t="s">
        <v>25</v>
      </c>
      <c r="L1726" t="s">
        <v>44</v>
      </c>
      <c r="M1726" t="s">
        <v>20</v>
      </c>
      <c r="N1726">
        <v>37</v>
      </c>
      <c r="O1726">
        <v>24</v>
      </c>
      <c r="P1726">
        <v>17053.61</v>
      </c>
      <c r="Q1726">
        <v>0</v>
      </c>
    </row>
    <row r="1727" spans="7:17" x14ac:dyDescent="0.25">
      <c r="G1727" t="str">
        <f t="shared" si="26"/>
        <v/>
      </c>
      <c r="H1727" t="s">
        <v>47</v>
      </c>
      <c r="I1727" t="s">
        <v>10</v>
      </c>
      <c r="J1727" t="s">
        <v>6</v>
      </c>
      <c r="K1727" t="s">
        <v>25</v>
      </c>
      <c r="L1727" t="s">
        <v>39</v>
      </c>
      <c r="M1727" t="s">
        <v>19</v>
      </c>
      <c r="N1727">
        <v>5</v>
      </c>
      <c r="O1727">
        <v>5</v>
      </c>
      <c r="P1727">
        <v>5934.92</v>
      </c>
      <c r="Q1727">
        <v>4573.21</v>
      </c>
    </row>
    <row r="1728" spans="7:17" x14ac:dyDescent="0.25">
      <c r="G1728" t="str">
        <f t="shared" si="26"/>
        <v/>
      </c>
      <c r="H1728" t="s">
        <v>47</v>
      </c>
      <c r="I1728" t="s">
        <v>10</v>
      </c>
      <c r="J1728" t="s">
        <v>6</v>
      </c>
      <c r="K1728" t="s">
        <v>25</v>
      </c>
      <c r="L1728" t="s">
        <v>39</v>
      </c>
      <c r="M1728" t="s">
        <v>20</v>
      </c>
      <c r="N1728">
        <v>23</v>
      </c>
      <c r="O1728">
        <v>18</v>
      </c>
      <c r="P1728">
        <v>25323.149999999998</v>
      </c>
      <c r="Q1728">
        <v>0</v>
      </c>
    </row>
    <row r="1729" spans="7:17" x14ac:dyDescent="0.25">
      <c r="G1729" t="str">
        <f t="shared" si="26"/>
        <v/>
      </c>
      <c r="H1729" t="s">
        <v>47</v>
      </c>
      <c r="I1729" t="s">
        <v>10</v>
      </c>
      <c r="J1729" t="s">
        <v>6</v>
      </c>
      <c r="K1729" t="s">
        <v>25</v>
      </c>
      <c r="L1729" t="s">
        <v>40</v>
      </c>
      <c r="M1729" t="s">
        <v>19</v>
      </c>
      <c r="N1729">
        <v>2</v>
      </c>
      <c r="O1729">
        <v>2</v>
      </c>
      <c r="P1729">
        <v>2226.19</v>
      </c>
      <c r="Q1729">
        <v>996.86</v>
      </c>
    </row>
    <row r="1730" spans="7:17" x14ac:dyDescent="0.25">
      <c r="G1730" t="str">
        <f t="shared" ref="G1730:G1793" si="27">IF(G$1="Overall","Overall",IF(G$1=L1730,L1730,""))</f>
        <v/>
      </c>
      <c r="H1730" t="s">
        <v>47</v>
      </c>
      <c r="I1730" t="s">
        <v>10</v>
      </c>
      <c r="J1730" t="s">
        <v>6</v>
      </c>
      <c r="K1730" t="s">
        <v>25</v>
      </c>
      <c r="L1730" t="s">
        <v>40</v>
      </c>
      <c r="M1730" t="s">
        <v>20</v>
      </c>
      <c r="N1730">
        <v>22</v>
      </c>
      <c r="O1730">
        <v>10</v>
      </c>
      <c r="P1730">
        <v>16001.319999999996</v>
      </c>
      <c r="Q1730">
        <v>0</v>
      </c>
    </row>
    <row r="1731" spans="7:17" x14ac:dyDescent="0.25">
      <c r="G1731" t="str">
        <f t="shared" si="27"/>
        <v/>
      </c>
      <c r="H1731" t="s">
        <v>47</v>
      </c>
      <c r="I1731" t="s">
        <v>10</v>
      </c>
      <c r="J1731" t="s">
        <v>6</v>
      </c>
      <c r="K1731" t="s">
        <v>25</v>
      </c>
      <c r="L1731" t="s">
        <v>41</v>
      </c>
      <c r="M1731" t="s">
        <v>20</v>
      </c>
      <c r="N1731">
        <v>35</v>
      </c>
      <c r="O1731">
        <v>10</v>
      </c>
      <c r="P1731">
        <v>35451.019999999997</v>
      </c>
      <c r="Q1731">
        <v>0</v>
      </c>
    </row>
    <row r="1732" spans="7:17" x14ac:dyDescent="0.25">
      <c r="G1732" t="str">
        <f t="shared" si="27"/>
        <v/>
      </c>
      <c r="H1732" t="s">
        <v>47</v>
      </c>
      <c r="I1732" t="s">
        <v>10</v>
      </c>
      <c r="J1732" t="s">
        <v>6</v>
      </c>
      <c r="K1732" t="s">
        <v>25</v>
      </c>
      <c r="L1732" t="s">
        <v>45</v>
      </c>
      <c r="M1732" t="s">
        <v>19</v>
      </c>
      <c r="N1732">
        <v>9</v>
      </c>
      <c r="O1732">
        <v>7</v>
      </c>
      <c r="P1732">
        <v>11779.630000000001</v>
      </c>
      <c r="Q1732">
        <v>8430.65</v>
      </c>
    </row>
    <row r="1733" spans="7:17" x14ac:dyDescent="0.25">
      <c r="G1733" t="str">
        <f t="shared" si="27"/>
        <v/>
      </c>
      <c r="H1733" t="s">
        <v>47</v>
      </c>
      <c r="I1733" t="s">
        <v>10</v>
      </c>
      <c r="J1733" t="s">
        <v>6</v>
      </c>
      <c r="K1733" t="s">
        <v>25</v>
      </c>
      <c r="L1733" t="s">
        <v>45</v>
      </c>
      <c r="M1733" t="s">
        <v>20</v>
      </c>
      <c r="N1733">
        <v>339</v>
      </c>
      <c r="O1733">
        <v>117</v>
      </c>
      <c r="P1733">
        <v>315960.28999999998</v>
      </c>
      <c r="Q1733">
        <v>0</v>
      </c>
    </row>
    <row r="1734" spans="7:17" x14ac:dyDescent="0.25">
      <c r="G1734" t="str">
        <f t="shared" si="27"/>
        <v/>
      </c>
      <c r="H1734" t="s">
        <v>47</v>
      </c>
      <c r="I1734" t="s">
        <v>10</v>
      </c>
      <c r="J1734" t="s">
        <v>6</v>
      </c>
      <c r="K1734" t="s">
        <v>26</v>
      </c>
      <c r="L1734" t="s">
        <v>42</v>
      </c>
      <c r="M1734" t="s">
        <v>19</v>
      </c>
      <c r="N1734">
        <v>496</v>
      </c>
      <c r="O1734">
        <v>209</v>
      </c>
      <c r="P1734">
        <v>243862.87000000032</v>
      </c>
      <c r="Q1734">
        <v>239528.68000000023</v>
      </c>
    </row>
    <row r="1735" spans="7:17" x14ac:dyDescent="0.25">
      <c r="G1735" t="str">
        <f t="shared" si="27"/>
        <v/>
      </c>
      <c r="H1735" t="s">
        <v>47</v>
      </c>
      <c r="I1735" t="s">
        <v>10</v>
      </c>
      <c r="J1735" t="s">
        <v>6</v>
      </c>
      <c r="K1735" t="s">
        <v>26</v>
      </c>
      <c r="L1735" t="s">
        <v>42</v>
      </c>
      <c r="M1735" t="s">
        <v>20</v>
      </c>
      <c r="N1735">
        <v>462</v>
      </c>
      <c r="O1735">
        <v>191</v>
      </c>
      <c r="P1735">
        <v>362729.63000000012</v>
      </c>
      <c r="Q1735">
        <v>0</v>
      </c>
    </row>
    <row r="1736" spans="7:17" x14ac:dyDescent="0.25">
      <c r="G1736" t="str">
        <f t="shared" si="27"/>
        <v/>
      </c>
      <c r="H1736" t="s">
        <v>47</v>
      </c>
      <c r="I1736" t="s">
        <v>10</v>
      </c>
      <c r="J1736" t="s">
        <v>6</v>
      </c>
      <c r="K1736" t="s">
        <v>26</v>
      </c>
      <c r="L1736" t="s">
        <v>43</v>
      </c>
      <c r="M1736" t="s">
        <v>19</v>
      </c>
      <c r="N1736">
        <v>67</v>
      </c>
      <c r="O1736">
        <v>45</v>
      </c>
      <c r="P1736">
        <v>60961.840000000011</v>
      </c>
      <c r="Q1736">
        <v>57005.48</v>
      </c>
    </row>
    <row r="1737" spans="7:17" x14ac:dyDescent="0.25">
      <c r="G1737" t="str">
        <f t="shared" si="27"/>
        <v/>
      </c>
      <c r="H1737" t="s">
        <v>47</v>
      </c>
      <c r="I1737" t="s">
        <v>10</v>
      </c>
      <c r="J1737" t="s">
        <v>6</v>
      </c>
      <c r="K1737" t="s">
        <v>26</v>
      </c>
      <c r="L1737" t="s">
        <v>43</v>
      </c>
      <c r="M1737" t="s">
        <v>20</v>
      </c>
      <c r="N1737">
        <v>89</v>
      </c>
      <c r="O1737">
        <v>52</v>
      </c>
      <c r="P1737">
        <v>68268.530000000013</v>
      </c>
      <c r="Q1737">
        <v>0</v>
      </c>
    </row>
    <row r="1738" spans="7:17" x14ac:dyDescent="0.25">
      <c r="G1738" t="str">
        <f t="shared" si="27"/>
        <v/>
      </c>
      <c r="H1738" t="s">
        <v>47</v>
      </c>
      <c r="I1738" t="s">
        <v>10</v>
      </c>
      <c r="J1738" t="s">
        <v>6</v>
      </c>
      <c r="K1738" t="s">
        <v>26</v>
      </c>
      <c r="L1738" t="s">
        <v>44</v>
      </c>
      <c r="M1738" t="s">
        <v>19</v>
      </c>
      <c r="N1738">
        <v>31</v>
      </c>
      <c r="O1738">
        <v>23</v>
      </c>
      <c r="P1738">
        <v>37250.04</v>
      </c>
      <c r="Q1738">
        <v>22383.829999999994</v>
      </c>
    </row>
    <row r="1739" spans="7:17" x14ac:dyDescent="0.25">
      <c r="G1739" t="str">
        <f t="shared" si="27"/>
        <v/>
      </c>
      <c r="H1739" t="s">
        <v>47</v>
      </c>
      <c r="I1739" t="s">
        <v>10</v>
      </c>
      <c r="J1739" t="s">
        <v>6</v>
      </c>
      <c r="K1739" t="s">
        <v>26</v>
      </c>
      <c r="L1739" t="s">
        <v>44</v>
      </c>
      <c r="M1739" t="s">
        <v>20</v>
      </c>
      <c r="N1739">
        <v>103</v>
      </c>
      <c r="O1739">
        <v>49</v>
      </c>
      <c r="P1739">
        <v>73817.650000000023</v>
      </c>
      <c r="Q1739">
        <v>0</v>
      </c>
    </row>
    <row r="1740" spans="7:17" x14ac:dyDescent="0.25">
      <c r="G1740" t="str">
        <f t="shared" si="27"/>
        <v/>
      </c>
      <c r="H1740" t="s">
        <v>47</v>
      </c>
      <c r="I1740" t="s">
        <v>10</v>
      </c>
      <c r="J1740" t="s">
        <v>6</v>
      </c>
      <c r="K1740" t="s">
        <v>26</v>
      </c>
      <c r="L1740" t="s">
        <v>39</v>
      </c>
      <c r="M1740" t="s">
        <v>19</v>
      </c>
      <c r="N1740">
        <v>3</v>
      </c>
      <c r="O1740">
        <v>2</v>
      </c>
      <c r="P1740">
        <v>6526.25</v>
      </c>
      <c r="Q1740">
        <v>1654.62</v>
      </c>
    </row>
    <row r="1741" spans="7:17" x14ac:dyDescent="0.25">
      <c r="G1741" t="str">
        <f t="shared" si="27"/>
        <v/>
      </c>
      <c r="H1741" t="s">
        <v>47</v>
      </c>
      <c r="I1741" t="s">
        <v>10</v>
      </c>
      <c r="J1741" t="s">
        <v>6</v>
      </c>
      <c r="K1741" t="s">
        <v>26</v>
      </c>
      <c r="L1741" t="s">
        <v>39</v>
      </c>
      <c r="M1741" t="s">
        <v>20</v>
      </c>
      <c r="N1741">
        <v>46</v>
      </c>
      <c r="O1741">
        <v>31</v>
      </c>
      <c r="P1741">
        <v>33130.07</v>
      </c>
      <c r="Q1741">
        <v>0</v>
      </c>
    </row>
    <row r="1742" spans="7:17" x14ac:dyDescent="0.25">
      <c r="G1742" t="str">
        <f t="shared" si="27"/>
        <v/>
      </c>
      <c r="H1742" t="s">
        <v>47</v>
      </c>
      <c r="I1742" t="s">
        <v>10</v>
      </c>
      <c r="J1742" t="s">
        <v>6</v>
      </c>
      <c r="K1742" t="s">
        <v>26</v>
      </c>
      <c r="L1742" t="s">
        <v>40</v>
      </c>
      <c r="M1742" t="s">
        <v>19</v>
      </c>
      <c r="N1742">
        <v>3</v>
      </c>
      <c r="O1742">
        <v>1</v>
      </c>
      <c r="P1742">
        <v>27164.41</v>
      </c>
      <c r="Q1742">
        <v>24953.62</v>
      </c>
    </row>
    <row r="1743" spans="7:17" x14ac:dyDescent="0.25">
      <c r="G1743" t="str">
        <f t="shared" si="27"/>
        <v/>
      </c>
      <c r="H1743" t="s">
        <v>47</v>
      </c>
      <c r="I1743" t="s">
        <v>10</v>
      </c>
      <c r="J1743" t="s">
        <v>6</v>
      </c>
      <c r="K1743" t="s">
        <v>26</v>
      </c>
      <c r="L1743" t="s">
        <v>40</v>
      </c>
      <c r="M1743" t="s">
        <v>20</v>
      </c>
      <c r="N1743">
        <v>41</v>
      </c>
      <c r="O1743">
        <v>18</v>
      </c>
      <c r="P1743">
        <v>32852.879999999997</v>
      </c>
      <c r="Q1743">
        <v>0</v>
      </c>
    </row>
    <row r="1744" spans="7:17" x14ac:dyDescent="0.25">
      <c r="G1744" t="str">
        <f t="shared" si="27"/>
        <v/>
      </c>
      <c r="H1744" t="s">
        <v>47</v>
      </c>
      <c r="I1744" t="s">
        <v>10</v>
      </c>
      <c r="J1744" t="s">
        <v>6</v>
      </c>
      <c r="K1744" t="s">
        <v>26</v>
      </c>
      <c r="L1744" t="s">
        <v>41</v>
      </c>
      <c r="M1744" t="s">
        <v>19</v>
      </c>
      <c r="N1744">
        <v>1</v>
      </c>
      <c r="O1744">
        <v>1</v>
      </c>
      <c r="P1744">
        <v>267.2</v>
      </c>
      <c r="Q1744">
        <v>250</v>
      </c>
    </row>
    <row r="1745" spans="7:17" x14ac:dyDescent="0.25">
      <c r="G1745" t="str">
        <f t="shared" si="27"/>
        <v/>
      </c>
      <c r="H1745" t="s">
        <v>47</v>
      </c>
      <c r="I1745" t="s">
        <v>10</v>
      </c>
      <c r="J1745" t="s">
        <v>6</v>
      </c>
      <c r="K1745" t="s">
        <v>26</v>
      </c>
      <c r="L1745" t="s">
        <v>41</v>
      </c>
      <c r="M1745" t="s">
        <v>20</v>
      </c>
      <c r="N1745">
        <v>19</v>
      </c>
      <c r="O1745">
        <v>13</v>
      </c>
      <c r="P1745">
        <v>17400.34</v>
      </c>
      <c r="Q1745">
        <v>0</v>
      </c>
    </row>
    <row r="1746" spans="7:17" x14ac:dyDescent="0.25">
      <c r="G1746" t="str">
        <f t="shared" si="27"/>
        <v/>
      </c>
      <c r="H1746" t="s">
        <v>47</v>
      </c>
      <c r="I1746" t="s">
        <v>10</v>
      </c>
      <c r="J1746" t="s">
        <v>6</v>
      </c>
      <c r="K1746" t="s">
        <v>27</v>
      </c>
      <c r="L1746" t="s">
        <v>42</v>
      </c>
      <c r="M1746" t="s">
        <v>19</v>
      </c>
      <c r="N1746">
        <v>133</v>
      </c>
      <c r="O1746">
        <v>34</v>
      </c>
      <c r="P1746">
        <v>58216.090000000026</v>
      </c>
      <c r="Q1746">
        <v>57728.770000000011</v>
      </c>
    </row>
    <row r="1747" spans="7:17" x14ac:dyDescent="0.25">
      <c r="G1747" t="str">
        <f t="shared" si="27"/>
        <v/>
      </c>
      <c r="H1747" t="s">
        <v>47</v>
      </c>
      <c r="I1747" t="s">
        <v>10</v>
      </c>
      <c r="J1747" t="s">
        <v>6</v>
      </c>
      <c r="K1747" t="s">
        <v>27</v>
      </c>
      <c r="L1747" t="s">
        <v>42</v>
      </c>
      <c r="M1747" t="s">
        <v>20</v>
      </c>
      <c r="N1747">
        <v>134</v>
      </c>
      <c r="O1747">
        <v>49</v>
      </c>
      <c r="P1747">
        <v>28809.059999999994</v>
      </c>
      <c r="Q1747">
        <v>0</v>
      </c>
    </row>
    <row r="1748" spans="7:17" x14ac:dyDescent="0.25">
      <c r="G1748" t="str">
        <f t="shared" si="27"/>
        <v/>
      </c>
      <c r="H1748" t="s">
        <v>47</v>
      </c>
      <c r="I1748" t="s">
        <v>10</v>
      </c>
      <c r="J1748" t="s">
        <v>6</v>
      </c>
      <c r="K1748" t="s">
        <v>27</v>
      </c>
      <c r="L1748" t="s">
        <v>43</v>
      </c>
      <c r="M1748" t="s">
        <v>19</v>
      </c>
      <c r="N1748">
        <v>4</v>
      </c>
      <c r="O1748">
        <v>4</v>
      </c>
      <c r="P1748">
        <v>2004.25</v>
      </c>
      <c r="Q1748">
        <v>694.64</v>
      </c>
    </row>
    <row r="1749" spans="7:17" x14ac:dyDescent="0.25">
      <c r="G1749" t="str">
        <f t="shared" si="27"/>
        <v/>
      </c>
      <c r="H1749" t="s">
        <v>47</v>
      </c>
      <c r="I1749" t="s">
        <v>10</v>
      </c>
      <c r="J1749" t="s">
        <v>6</v>
      </c>
      <c r="K1749" t="s">
        <v>27</v>
      </c>
      <c r="L1749" t="s">
        <v>43</v>
      </c>
      <c r="M1749" t="s">
        <v>20</v>
      </c>
      <c r="N1749">
        <v>14</v>
      </c>
      <c r="O1749">
        <v>6</v>
      </c>
      <c r="P1749">
        <v>11215.71</v>
      </c>
      <c r="Q1749">
        <v>0</v>
      </c>
    </row>
    <row r="1750" spans="7:17" x14ac:dyDescent="0.25">
      <c r="G1750" t="str">
        <f t="shared" si="27"/>
        <v/>
      </c>
      <c r="H1750" t="s">
        <v>47</v>
      </c>
      <c r="I1750" t="s">
        <v>10</v>
      </c>
      <c r="J1750" t="s">
        <v>6</v>
      </c>
      <c r="K1750" t="s">
        <v>27</v>
      </c>
      <c r="L1750" t="s">
        <v>44</v>
      </c>
      <c r="M1750" t="s">
        <v>19</v>
      </c>
      <c r="N1750">
        <v>2</v>
      </c>
      <c r="O1750">
        <v>1</v>
      </c>
      <c r="P1750">
        <v>2479.4899999999998</v>
      </c>
      <c r="Q1750">
        <v>1075</v>
      </c>
    </row>
    <row r="1751" spans="7:17" x14ac:dyDescent="0.25">
      <c r="G1751" t="str">
        <f t="shared" si="27"/>
        <v/>
      </c>
      <c r="H1751" t="s">
        <v>47</v>
      </c>
      <c r="I1751" t="s">
        <v>10</v>
      </c>
      <c r="J1751" t="s">
        <v>6</v>
      </c>
      <c r="K1751" t="s">
        <v>27</v>
      </c>
      <c r="L1751" t="s">
        <v>44</v>
      </c>
      <c r="M1751" t="s">
        <v>20</v>
      </c>
      <c r="N1751">
        <v>6</v>
      </c>
      <c r="O1751">
        <v>5</v>
      </c>
      <c r="P1751">
        <v>3804.1</v>
      </c>
      <c r="Q1751">
        <v>0</v>
      </c>
    </row>
    <row r="1752" spans="7:17" x14ac:dyDescent="0.25">
      <c r="G1752" t="str">
        <f t="shared" si="27"/>
        <v/>
      </c>
      <c r="H1752" t="s">
        <v>47</v>
      </c>
      <c r="I1752" t="s">
        <v>10</v>
      </c>
      <c r="J1752" t="s">
        <v>6</v>
      </c>
      <c r="K1752" t="s">
        <v>27</v>
      </c>
      <c r="L1752" t="s">
        <v>39</v>
      </c>
      <c r="M1752" t="s">
        <v>20</v>
      </c>
      <c r="N1752">
        <v>6</v>
      </c>
      <c r="O1752">
        <v>4</v>
      </c>
      <c r="P1752">
        <v>2407.71</v>
      </c>
      <c r="Q1752">
        <v>0</v>
      </c>
    </row>
    <row r="1753" spans="7:17" x14ac:dyDescent="0.25">
      <c r="G1753" t="str">
        <f t="shared" si="27"/>
        <v/>
      </c>
      <c r="H1753" t="s">
        <v>47</v>
      </c>
      <c r="I1753" t="s">
        <v>10</v>
      </c>
      <c r="J1753" t="s">
        <v>6</v>
      </c>
      <c r="K1753" t="s">
        <v>27</v>
      </c>
      <c r="L1753" t="s">
        <v>40</v>
      </c>
      <c r="M1753" t="s">
        <v>19</v>
      </c>
      <c r="N1753">
        <v>1</v>
      </c>
      <c r="O1753">
        <v>0</v>
      </c>
      <c r="P1753">
        <v>247.11</v>
      </c>
      <c r="Q1753">
        <v>82.3</v>
      </c>
    </row>
    <row r="1754" spans="7:17" x14ac:dyDescent="0.25">
      <c r="G1754" t="str">
        <f t="shared" si="27"/>
        <v/>
      </c>
      <c r="H1754" t="s">
        <v>47</v>
      </c>
      <c r="I1754" t="s">
        <v>10</v>
      </c>
      <c r="J1754" t="s">
        <v>6</v>
      </c>
      <c r="K1754" t="s">
        <v>27</v>
      </c>
      <c r="L1754" t="s">
        <v>40</v>
      </c>
      <c r="M1754" t="s">
        <v>20</v>
      </c>
      <c r="N1754">
        <v>8</v>
      </c>
      <c r="O1754">
        <v>3</v>
      </c>
      <c r="P1754">
        <v>4869.5600000000004</v>
      </c>
      <c r="Q1754">
        <v>0</v>
      </c>
    </row>
    <row r="1755" spans="7:17" x14ac:dyDescent="0.25">
      <c r="G1755" t="str">
        <f t="shared" si="27"/>
        <v/>
      </c>
      <c r="H1755" t="s">
        <v>47</v>
      </c>
      <c r="I1755" t="s">
        <v>10</v>
      </c>
      <c r="J1755" t="s">
        <v>6</v>
      </c>
      <c r="K1755" t="s">
        <v>27</v>
      </c>
      <c r="L1755" t="s">
        <v>41</v>
      </c>
      <c r="M1755" t="s">
        <v>19</v>
      </c>
      <c r="N1755">
        <v>1</v>
      </c>
      <c r="O1755">
        <v>0</v>
      </c>
      <c r="P1755">
        <v>831.87</v>
      </c>
      <c r="Q1755">
        <v>588.82000000000005</v>
      </c>
    </row>
    <row r="1756" spans="7:17" x14ac:dyDescent="0.25">
      <c r="G1756" t="str">
        <f t="shared" si="27"/>
        <v/>
      </c>
      <c r="H1756" t="s">
        <v>47</v>
      </c>
      <c r="I1756" t="s">
        <v>10</v>
      </c>
      <c r="J1756" t="s">
        <v>6</v>
      </c>
      <c r="K1756" t="s">
        <v>27</v>
      </c>
      <c r="L1756" t="s">
        <v>41</v>
      </c>
      <c r="M1756" t="s">
        <v>20</v>
      </c>
      <c r="N1756">
        <v>6</v>
      </c>
      <c r="O1756">
        <v>3</v>
      </c>
      <c r="P1756">
        <v>2060.52</v>
      </c>
      <c r="Q1756">
        <v>0</v>
      </c>
    </row>
    <row r="1757" spans="7:17" x14ac:dyDescent="0.25">
      <c r="G1757" t="str">
        <f t="shared" si="27"/>
        <v/>
      </c>
      <c r="H1757" t="s">
        <v>47</v>
      </c>
      <c r="I1757" t="s">
        <v>10</v>
      </c>
      <c r="J1757" t="s">
        <v>6</v>
      </c>
      <c r="K1757" t="s">
        <v>27</v>
      </c>
      <c r="L1757" t="s">
        <v>45</v>
      </c>
      <c r="M1757" t="s">
        <v>20</v>
      </c>
      <c r="N1757">
        <v>45</v>
      </c>
      <c r="O1757">
        <v>22</v>
      </c>
      <c r="P1757">
        <v>33946.499999999993</v>
      </c>
      <c r="Q1757">
        <v>0</v>
      </c>
    </row>
    <row r="1758" spans="7:17" x14ac:dyDescent="0.25">
      <c r="G1758" t="str">
        <f t="shared" si="27"/>
        <v/>
      </c>
      <c r="H1758" t="s">
        <v>47</v>
      </c>
      <c r="I1758" t="s">
        <v>10</v>
      </c>
      <c r="J1758" t="s">
        <v>6</v>
      </c>
      <c r="K1758" t="s">
        <v>28</v>
      </c>
      <c r="L1758" t="s">
        <v>42</v>
      </c>
      <c r="M1758" t="s">
        <v>19</v>
      </c>
      <c r="N1758">
        <v>249</v>
      </c>
      <c r="O1758">
        <v>99</v>
      </c>
      <c r="P1758">
        <v>114579.89000000006</v>
      </c>
      <c r="Q1758">
        <v>112486.95000000007</v>
      </c>
    </row>
    <row r="1759" spans="7:17" x14ac:dyDescent="0.25">
      <c r="G1759" t="str">
        <f t="shared" si="27"/>
        <v/>
      </c>
      <c r="H1759" t="s">
        <v>47</v>
      </c>
      <c r="I1759" t="s">
        <v>10</v>
      </c>
      <c r="J1759" t="s">
        <v>6</v>
      </c>
      <c r="K1759" t="s">
        <v>28</v>
      </c>
      <c r="L1759" t="s">
        <v>42</v>
      </c>
      <c r="M1759" t="s">
        <v>20</v>
      </c>
      <c r="N1759">
        <v>260</v>
      </c>
      <c r="O1759">
        <v>111</v>
      </c>
      <c r="P1759">
        <v>80179.600000000049</v>
      </c>
      <c r="Q1759">
        <v>0</v>
      </c>
    </row>
    <row r="1760" spans="7:17" x14ac:dyDescent="0.25">
      <c r="G1760" t="str">
        <f t="shared" si="27"/>
        <v/>
      </c>
      <c r="H1760" t="s">
        <v>47</v>
      </c>
      <c r="I1760" t="s">
        <v>10</v>
      </c>
      <c r="J1760" t="s">
        <v>6</v>
      </c>
      <c r="K1760" t="s">
        <v>28</v>
      </c>
      <c r="L1760" t="s">
        <v>43</v>
      </c>
      <c r="M1760" t="s">
        <v>19</v>
      </c>
      <c r="N1760">
        <v>44</v>
      </c>
      <c r="O1760">
        <v>22</v>
      </c>
      <c r="P1760">
        <v>30114.319999999996</v>
      </c>
      <c r="Q1760">
        <v>23436.799999999999</v>
      </c>
    </row>
    <row r="1761" spans="7:17" x14ac:dyDescent="0.25">
      <c r="G1761" t="str">
        <f t="shared" si="27"/>
        <v/>
      </c>
      <c r="H1761" t="s">
        <v>47</v>
      </c>
      <c r="I1761" t="s">
        <v>10</v>
      </c>
      <c r="J1761" t="s">
        <v>6</v>
      </c>
      <c r="K1761" t="s">
        <v>28</v>
      </c>
      <c r="L1761" t="s">
        <v>43</v>
      </c>
      <c r="M1761" t="s">
        <v>20</v>
      </c>
      <c r="N1761">
        <v>50</v>
      </c>
      <c r="O1761">
        <v>17</v>
      </c>
      <c r="P1761">
        <v>35573.76999999999</v>
      </c>
      <c r="Q1761">
        <v>0</v>
      </c>
    </row>
    <row r="1762" spans="7:17" x14ac:dyDescent="0.25">
      <c r="G1762" t="str">
        <f t="shared" si="27"/>
        <v/>
      </c>
      <c r="H1762" t="s">
        <v>47</v>
      </c>
      <c r="I1762" t="s">
        <v>10</v>
      </c>
      <c r="J1762" t="s">
        <v>6</v>
      </c>
      <c r="K1762" t="s">
        <v>28</v>
      </c>
      <c r="L1762" t="s">
        <v>44</v>
      </c>
      <c r="M1762" t="s">
        <v>19</v>
      </c>
      <c r="N1762">
        <v>14</v>
      </c>
      <c r="O1762">
        <v>8</v>
      </c>
      <c r="P1762">
        <v>18868.27</v>
      </c>
      <c r="Q1762">
        <v>13948.7</v>
      </c>
    </row>
    <row r="1763" spans="7:17" x14ac:dyDescent="0.25">
      <c r="G1763" t="str">
        <f t="shared" si="27"/>
        <v/>
      </c>
      <c r="H1763" t="s">
        <v>47</v>
      </c>
      <c r="I1763" t="s">
        <v>10</v>
      </c>
      <c r="J1763" t="s">
        <v>6</v>
      </c>
      <c r="K1763" t="s">
        <v>28</v>
      </c>
      <c r="L1763" t="s">
        <v>44</v>
      </c>
      <c r="M1763" t="s">
        <v>20</v>
      </c>
      <c r="N1763">
        <v>37</v>
      </c>
      <c r="O1763">
        <v>30</v>
      </c>
      <c r="P1763">
        <v>26610.819999999992</v>
      </c>
      <c r="Q1763">
        <v>0</v>
      </c>
    </row>
    <row r="1764" spans="7:17" x14ac:dyDescent="0.25">
      <c r="G1764" t="str">
        <f t="shared" si="27"/>
        <v/>
      </c>
      <c r="H1764" t="s">
        <v>47</v>
      </c>
      <c r="I1764" t="s">
        <v>10</v>
      </c>
      <c r="J1764" t="s">
        <v>6</v>
      </c>
      <c r="K1764" t="s">
        <v>29</v>
      </c>
      <c r="L1764" t="s">
        <v>42</v>
      </c>
      <c r="M1764" t="s">
        <v>19</v>
      </c>
      <c r="N1764">
        <v>291</v>
      </c>
      <c r="O1764">
        <v>79</v>
      </c>
      <c r="P1764">
        <v>147654.54</v>
      </c>
      <c r="Q1764">
        <v>137178.93000000005</v>
      </c>
    </row>
    <row r="1765" spans="7:17" x14ac:dyDescent="0.25">
      <c r="G1765" t="str">
        <f t="shared" si="27"/>
        <v/>
      </c>
      <c r="H1765" t="s">
        <v>47</v>
      </c>
      <c r="I1765" t="s">
        <v>10</v>
      </c>
      <c r="J1765" t="s">
        <v>6</v>
      </c>
      <c r="K1765" t="s">
        <v>29</v>
      </c>
      <c r="L1765" t="s">
        <v>42</v>
      </c>
      <c r="M1765" t="s">
        <v>20</v>
      </c>
      <c r="N1765">
        <v>223</v>
      </c>
      <c r="O1765">
        <v>70</v>
      </c>
      <c r="P1765">
        <v>68917.669999999984</v>
      </c>
      <c r="Q1765">
        <v>0</v>
      </c>
    </row>
    <row r="1766" spans="7:17" x14ac:dyDescent="0.25">
      <c r="G1766" t="str">
        <f t="shared" si="27"/>
        <v/>
      </c>
      <c r="H1766" t="s">
        <v>47</v>
      </c>
      <c r="I1766" t="s">
        <v>10</v>
      </c>
      <c r="J1766" t="s">
        <v>6</v>
      </c>
      <c r="K1766" t="s">
        <v>29</v>
      </c>
      <c r="L1766" t="s">
        <v>43</v>
      </c>
      <c r="M1766" t="s">
        <v>19</v>
      </c>
      <c r="N1766">
        <v>30</v>
      </c>
      <c r="O1766">
        <v>18</v>
      </c>
      <c r="P1766">
        <v>23230.59</v>
      </c>
      <c r="Q1766">
        <v>19306.59</v>
      </c>
    </row>
    <row r="1767" spans="7:17" x14ac:dyDescent="0.25">
      <c r="G1767" t="str">
        <f t="shared" si="27"/>
        <v/>
      </c>
      <c r="H1767" t="s">
        <v>47</v>
      </c>
      <c r="I1767" t="s">
        <v>10</v>
      </c>
      <c r="J1767" t="s">
        <v>6</v>
      </c>
      <c r="K1767" t="s">
        <v>29</v>
      </c>
      <c r="L1767" t="s">
        <v>43</v>
      </c>
      <c r="M1767" t="s">
        <v>20</v>
      </c>
      <c r="N1767">
        <v>66</v>
      </c>
      <c r="O1767">
        <v>24</v>
      </c>
      <c r="P1767">
        <v>50679.429999999993</v>
      </c>
      <c r="Q1767">
        <v>0</v>
      </c>
    </row>
    <row r="1768" spans="7:17" x14ac:dyDescent="0.25">
      <c r="G1768" t="str">
        <f t="shared" si="27"/>
        <v/>
      </c>
      <c r="H1768" t="s">
        <v>47</v>
      </c>
      <c r="I1768" t="s">
        <v>10</v>
      </c>
      <c r="J1768" t="s">
        <v>6</v>
      </c>
      <c r="K1768" t="s">
        <v>29</v>
      </c>
      <c r="L1768" t="s">
        <v>44</v>
      </c>
      <c r="M1768" t="s">
        <v>19</v>
      </c>
      <c r="N1768">
        <v>35</v>
      </c>
      <c r="O1768">
        <v>12</v>
      </c>
      <c r="P1768">
        <v>26807.699999999997</v>
      </c>
      <c r="Q1768">
        <v>16932.63</v>
      </c>
    </row>
    <row r="1769" spans="7:17" x14ac:dyDescent="0.25">
      <c r="G1769" t="str">
        <f t="shared" si="27"/>
        <v/>
      </c>
      <c r="H1769" t="s">
        <v>47</v>
      </c>
      <c r="I1769" t="s">
        <v>10</v>
      </c>
      <c r="J1769" t="s">
        <v>6</v>
      </c>
      <c r="K1769" t="s">
        <v>29</v>
      </c>
      <c r="L1769" t="s">
        <v>44</v>
      </c>
      <c r="M1769" t="s">
        <v>20</v>
      </c>
      <c r="N1769">
        <v>34</v>
      </c>
      <c r="O1769">
        <v>14</v>
      </c>
      <c r="P1769">
        <v>23631.100000000002</v>
      </c>
      <c r="Q1769">
        <v>0</v>
      </c>
    </row>
    <row r="1770" spans="7:17" x14ac:dyDescent="0.25">
      <c r="G1770" t="str">
        <f t="shared" si="27"/>
        <v/>
      </c>
      <c r="H1770" t="s">
        <v>47</v>
      </c>
      <c r="I1770" t="s">
        <v>10</v>
      </c>
      <c r="J1770" t="s">
        <v>6</v>
      </c>
      <c r="K1770" t="s">
        <v>29</v>
      </c>
      <c r="L1770" t="s">
        <v>39</v>
      </c>
      <c r="M1770" t="s">
        <v>19</v>
      </c>
      <c r="N1770">
        <v>3</v>
      </c>
      <c r="O1770">
        <v>2</v>
      </c>
      <c r="P1770">
        <v>1619.38</v>
      </c>
      <c r="Q1770">
        <v>1076.96</v>
      </c>
    </row>
    <row r="1771" spans="7:17" x14ac:dyDescent="0.25">
      <c r="G1771" t="str">
        <f t="shared" si="27"/>
        <v/>
      </c>
      <c r="H1771" t="s">
        <v>47</v>
      </c>
      <c r="I1771" t="s">
        <v>10</v>
      </c>
      <c r="J1771" t="s">
        <v>6</v>
      </c>
      <c r="K1771" t="s">
        <v>29</v>
      </c>
      <c r="L1771" t="s">
        <v>39</v>
      </c>
      <c r="M1771" t="s">
        <v>20</v>
      </c>
      <c r="N1771">
        <v>23</v>
      </c>
      <c r="O1771">
        <v>18</v>
      </c>
      <c r="P1771">
        <v>13444.019999999999</v>
      </c>
      <c r="Q1771">
        <v>0</v>
      </c>
    </row>
    <row r="1772" spans="7:17" x14ac:dyDescent="0.25">
      <c r="G1772" t="str">
        <f t="shared" si="27"/>
        <v/>
      </c>
      <c r="H1772" t="s">
        <v>47</v>
      </c>
      <c r="I1772" t="s">
        <v>10</v>
      </c>
      <c r="J1772" t="s">
        <v>6</v>
      </c>
      <c r="K1772" t="s">
        <v>29</v>
      </c>
      <c r="L1772" t="s">
        <v>40</v>
      </c>
      <c r="M1772" t="s">
        <v>19</v>
      </c>
      <c r="N1772">
        <v>2</v>
      </c>
      <c r="O1772">
        <v>1</v>
      </c>
      <c r="P1772">
        <v>8780.09</v>
      </c>
      <c r="Q1772">
        <v>5492.69</v>
      </c>
    </row>
    <row r="1773" spans="7:17" x14ac:dyDescent="0.25">
      <c r="G1773" t="str">
        <f t="shared" si="27"/>
        <v/>
      </c>
      <c r="H1773" t="s">
        <v>47</v>
      </c>
      <c r="I1773" t="s">
        <v>10</v>
      </c>
      <c r="J1773" t="s">
        <v>6</v>
      </c>
      <c r="K1773" t="s">
        <v>29</v>
      </c>
      <c r="L1773" t="s">
        <v>40</v>
      </c>
      <c r="M1773" t="s">
        <v>20</v>
      </c>
      <c r="N1773">
        <v>10</v>
      </c>
      <c r="O1773">
        <v>4</v>
      </c>
      <c r="P1773">
        <v>10133.189999999999</v>
      </c>
      <c r="Q1773">
        <v>0</v>
      </c>
    </row>
    <row r="1774" spans="7:17" x14ac:dyDescent="0.25">
      <c r="G1774" t="str">
        <f t="shared" si="27"/>
        <v/>
      </c>
      <c r="H1774" t="s">
        <v>47</v>
      </c>
      <c r="I1774" t="s">
        <v>10</v>
      </c>
      <c r="J1774" t="s">
        <v>6</v>
      </c>
      <c r="K1774" t="s">
        <v>29</v>
      </c>
      <c r="L1774" t="s">
        <v>41</v>
      </c>
      <c r="M1774" t="s">
        <v>20</v>
      </c>
      <c r="N1774">
        <v>17</v>
      </c>
      <c r="O1774">
        <v>7</v>
      </c>
      <c r="P1774">
        <v>9954.4599999999991</v>
      </c>
      <c r="Q1774">
        <v>0</v>
      </c>
    </row>
    <row r="1775" spans="7:17" x14ac:dyDescent="0.25">
      <c r="G1775" t="str">
        <f t="shared" si="27"/>
        <v/>
      </c>
      <c r="H1775" t="s">
        <v>47</v>
      </c>
      <c r="I1775" t="s">
        <v>10</v>
      </c>
      <c r="J1775" t="s">
        <v>6</v>
      </c>
      <c r="K1775" t="s">
        <v>29</v>
      </c>
      <c r="L1775" t="s">
        <v>45</v>
      </c>
      <c r="M1775" t="s">
        <v>19</v>
      </c>
      <c r="N1775">
        <v>6</v>
      </c>
      <c r="O1775">
        <v>3</v>
      </c>
      <c r="P1775">
        <v>10477.89</v>
      </c>
      <c r="Q1775">
        <v>9115.9000000000015</v>
      </c>
    </row>
    <row r="1776" spans="7:17" x14ac:dyDescent="0.25">
      <c r="G1776" t="str">
        <f t="shared" si="27"/>
        <v/>
      </c>
      <c r="H1776" t="s">
        <v>47</v>
      </c>
      <c r="I1776" t="s">
        <v>10</v>
      </c>
      <c r="J1776" t="s">
        <v>6</v>
      </c>
      <c r="K1776" t="s">
        <v>29</v>
      </c>
      <c r="L1776" t="s">
        <v>45</v>
      </c>
      <c r="M1776" t="s">
        <v>20</v>
      </c>
      <c r="N1776">
        <v>151</v>
      </c>
      <c r="O1776">
        <v>61</v>
      </c>
      <c r="P1776">
        <v>122282.72</v>
      </c>
      <c r="Q1776">
        <v>0</v>
      </c>
    </row>
    <row r="1777" spans="7:17" x14ac:dyDescent="0.25">
      <c r="G1777" t="str">
        <f t="shared" si="27"/>
        <v/>
      </c>
      <c r="H1777" t="s">
        <v>47</v>
      </c>
      <c r="I1777" t="s">
        <v>10</v>
      </c>
      <c r="J1777" t="s">
        <v>6</v>
      </c>
      <c r="K1777" t="s">
        <v>30</v>
      </c>
      <c r="L1777" t="s">
        <v>42</v>
      </c>
      <c r="M1777" t="s">
        <v>19</v>
      </c>
      <c r="N1777">
        <v>27</v>
      </c>
      <c r="O1777">
        <v>6</v>
      </c>
      <c r="P1777">
        <v>16961.379999999997</v>
      </c>
      <c r="Q1777">
        <v>16809.849999999999</v>
      </c>
    </row>
    <row r="1778" spans="7:17" x14ac:dyDescent="0.25">
      <c r="G1778" t="str">
        <f t="shared" si="27"/>
        <v/>
      </c>
      <c r="H1778" t="s">
        <v>47</v>
      </c>
      <c r="I1778" t="s">
        <v>10</v>
      </c>
      <c r="J1778" t="s">
        <v>6</v>
      </c>
      <c r="K1778" t="s">
        <v>30</v>
      </c>
      <c r="L1778" t="s">
        <v>42</v>
      </c>
      <c r="M1778" t="s">
        <v>20</v>
      </c>
      <c r="N1778">
        <v>38</v>
      </c>
      <c r="O1778">
        <v>5</v>
      </c>
      <c r="P1778">
        <v>13646.210000000001</v>
      </c>
      <c r="Q1778">
        <v>0</v>
      </c>
    </row>
    <row r="1779" spans="7:17" x14ac:dyDescent="0.25">
      <c r="G1779" t="str">
        <f t="shared" si="27"/>
        <v/>
      </c>
      <c r="H1779" t="s">
        <v>47</v>
      </c>
      <c r="I1779" t="s">
        <v>10</v>
      </c>
      <c r="J1779" t="s">
        <v>6</v>
      </c>
      <c r="K1779" t="s">
        <v>30</v>
      </c>
      <c r="L1779" t="s">
        <v>43</v>
      </c>
      <c r="M1779" t="s">
        <v>19</v>
      </c>
      <c r="N1779">
        <v>2</v>
      </c>
      <c r="O1779">
        <v>0</v>
      </c>
      <c r="P1779">
        <v>2177.0100000000002</v>
      </c>
      <c r="Q1779">
        <v>1897.4</v>
      </c>
    </row>
    <row r="1780" spans="7:17" x14ac:dyDescent="0.25">
      <c r="G1780" t="str">
        <f t="shared" si="27"/>
        <v/>
      </c>
      <c r="H1780" t="s">
        <v>47</v>
      </c>
      <c r="I1780" t="s">
        <v>10</v>
      </c>
      <c r="J1780" t="s">
        <v>6</v>
      </c>
      <c r="K1780" t="s">
        <v>30</v>
      </c>
      <c r="L1780" t="s">
        <v>43</v>
      </c>
      <c r="M1780" t="s">
        <v>20</v>
      </c>
      <c r="N1780">
        <v>2</v>
      </c>
      <c r="O1780">
        <v>0</v>
      </c>
      <c r="P1780">
        <v>1807.6399999999999</v>
      </c>
      <c r="Q1780">
        <v>0</v>
      </c>
    </row>
    <row r="1781" spans="7:17" x14ac:dyDescent="0.25">
      <c r="G1781" t="str">
        <f t="shared" si="27"/>
        <v/>
      </c>
      <c r="H1781" t="s">
        <v>47</v>
      </c>
      <c r="I1781" t="s">
        <v>10</v>
      </c>
      <c r="J1781" t="s">
        <v>6</v>
      </c>
      <c r="K1781" t="s">
        <v>30</v>
      </c>
      <c r="L1781" t="s">
        <v>44</v>
      </c>
      <c r="M1781" t="s">
        <v>19</v>
      </c>
      <c r="N1781">
        <v>2</v>
      </c>
      <c r="O1781">
        <v>1</v>
      </c>
      <c r="P1781">
        <v>1794.0500000000002</v>
      </c>
      <c r="Q1781">
        <v>854</v>
      </c>
    </row>
    <row r="1782" spans="7:17" x14ac:dyDescent="0.25">
      <c r="G1782" t="str">
        <f t="shared" si="27"/>
        <v/>
      </c>
      <c r="H1782" t="s">
        <v>47</v>
      </c>
      <c r="I1782" t="s">
        <v>10</v>
      </c>
      <c r="J1782" t="s">
        <v>6</v>
      </c>
      <c r="K1782" t="s">
        <v>30</v>
      </c>
      <c r="L1782" t="s">
        <v>44</v>
      </c>
      <c r="M1782" t="s">
        <v>20</v>
      </c>
      <c r="N1782">
        <v>8</v>
      </c>
      <c r="O1782">
        <v>4</v>
      </c>
      <c r="P1782">
        <v>8390.630000000001</v>
      </c>
      <c r="Q1782">
        <v>0</v>
      </c>
    </row>
    <row r="1783" spans="7:17" x14ac:dyDescent="0.25">
      <c r="G1783" t="str">
        <f t="shared" si="27"/>
        <v/>
      </c>
      <c r="H1783" t="s">
        <v>47</v>
      </c>
      <c r="I1783" t="s">
        <v>10</v>
      </c>
      <c r="J1783" t="s">
        <v>6</v>
      </c>
      <c r="K1783" t="s">
        <v>30</v>
      </c>
      <c r="L1783" t="s">
        <v>39</v>
      </c>
      <c r="M1783" t="s">
        <v>20</v>
      </c>
      <c r="N1783">
        <v>4</v>
      </c>
      <c r="O1783">
        <v>2</v>
      </c>
      <c r="P1783">
        <v>4971.45</v>
      </c>
      <c r="Q1783">
        <v>0</v>
      </c>
    </row>
    <row r="1784" spans="7:17" x14ac:dyDescent="0.25">
      <c r="G1784" t="str">
        <f t="shared" si="27"/>
        <v/>
      </c>
      <c r="H1784" t="s">
        <v>47</v>
      </c>
      <c r="I1784" t="s">
        <v>10</v>
      </c>
      <c r="J1784" t="s">
        <v>6</v>
      </c>
      <c r="K1784" t="s">
        <v>30</v>
      </c>
      <c r="L1784" t="s">
        <v>40</v>
      </c>
      <c r="M1784" t="s">
        <v>20</v>
      </c>
      <c r="N1784">
        <v>7</v>
      </c>
      <c r="O1784">
        <v>3</v>
      </c>
      <c r="P1784">
        <v>5471.57</v>
      </c>
      <c r="Q1784">
        <v>0</v>
      </c>
    </row>
    <row r="1785" spans="7:17" x14ac:dyDescent="0.25">
      <c r="G1785" t="str">
        <f t="shared" si="27"/>
        <v/>
      </c>
      <c r="H1785" t="s">
        <v>47</v>
      </c>
      <c r="I1785" t="s">
        <v>10</v>
      </c>
      <c r="J1785" t="s">
        <v>6</v>
      </c>
      <c r="K1785" t="s">
        <v>30</v>
      </c>
      <c r="L1785" t="s">
        <v>41</v>
      </c>
      <c r="M1785" t="s">
        <v>20</v>
      </c>
      <c r="N1785">
        <v>11</v>
      </c>
      <c r="O1785">
        <v>1</v>
      </c>
      <c r="P1785">
        <v>4179.9800000000005</v>
      </c>
      <c r="Q1785">
        <v>0</v>
      </c>
    </row>
    <row r="1786" spans="7:17" x14ac:dyDescent="0.25">
      <c r="G1786" t="str">
        <f t="shared" si="27"/>
        <v/>
      </c>
      <c r="H1786" t="s">
        <v>47</v>
      </c>
      <c r="I1786" t="s">
        <v>10</v>
      </c>
      <c r="J1786" t="s">
        <v>6</v>
      </c>
      <c r="K1786" t="s">
        <v>30</v>
      </c>
      <c r="L1786" t="s">
        <v>45</v>
      </c>
      <c r="M1786" t="s">
        <v>20</v>
      </c>
      <c r="N1786">
        <v>33</v>
      </c>
      <c r="O1786">
        <v>4</v>
      </c>
      <c r="P1786">
        <v>22824.120000000003</v>
      </c>
      <c r="Q1786">
        <v>0</v>
      </c>
    </row>
    <row r="1787" spans="7:17" x14ac:dyDescent="0.25">
      <c r="G1787" t="str">
        <f t="shared" si="27"/>
        <v/>
      </c>
      <c r="H1787" t="s">
        <v>47</v>
      </c>
      <c r="I1787" t="s">
        <v>10</v>
      </c>
      <c r="J1787" t="s">
        <v>6</v>
      </c>
      <c r="K1787" t="s">
        <v>31</v>
      </c>
      <c r="L1787" t="s">
        <v>42</v>
      </c>
      <c r="M1787" t="s">
        <v>20</v>
      </c>
      <c r="N1787">
        <v>2</v>
      </c>
      <c r="O1787">
        <v>2</v>
      </c>
      <c r="P1787">
        <v>516.64</v>
      </c>
      <c r="Q1787">
        <v>0</v>
      </c>
    </row>
    <row r="1788" spans="7:17" x14ac:dyDescent="0.25">
      <c r="G1788" t="str">
        <f t="shared" si="27"/>
        <v/>
      </c>
      <c r="H1788" t="s">
        <v>47</v>
      </c>
      <c r="I1788" t="s">
        <v>10</v>
      </c>
      <c r="J1788" t="s">
        <v>6</v>
      </c>
      <c r="K1788" t="s">
        <v>32</v>
      </c>
      <c r="L1788" t="s">
        <v>42</v>
      </c>
      <c r="M1788" t="s">
        <v>19</v>
      </c>
      <c r="N1788">
        <v>68</v>
      </c>
      <c r="O1788">
        <v>8</v>
      </c>
      <c r="P1788">
        <v>42180.260000000009</v>
      </c>
      <c r="Q1788">
        <v>41593.630000000005</v>
      </c>
    </row>
    <row r="1789" spans="7:17" x14ac:dyDescent="0.25">
      <c r="G1789" t="str">
        <f t="shared" si="27"/>
        <v/>
      </c>
      <c r="H1789" t="s">
        <v>47</v>
      </c>
      <c r="I1789" t="s">
        <v>10</v>
      </c>
      <c r="J1789" t="s">
        <v>6</v>
      </c>
      <c r="K1789" t="s">
        <v>32</v>
      </c>
      <c r="L1789" t="s">
        <v>42</v>
      </c>
      <c r="M1789" t="s">
        <v>20</v>
      </c>
      <c r="N1789">
        <v>40</v>
      </c>
      <c r="O1789">
        <v>6</v>
      </c>
      <c r="P1789">
        <v>11940.889999999998</v>
      </c>
      <c r="Q1789">
        <v>0</v>
      </c>
    </row>
    <row r="1790" spans="7:17" x14ac:dyDescent="0.25">
      <c r="G1790" t="str">
        <f t="shared" si="27"/>
        <v/>
      </c>
      <c r="H1790" t="s">
        <v>47</v>
      </c>
      <c r="I1790" t="s">
        <v>10</v>
      </c>
      <c r="J1790" t="s">
        <v>6</v>
      </c>
      <c r="K1790" t="s">
        <v>32</v>
      </c>
      <c r="L1790" t="s">
        <v>43</v>
      </c>
      <c r="M1790" t="s">
        <v>19</v>
      </c>
      <c r="N1790">
        <v>3</v>
      </c>
      <c r="O1790">
        <v>2</v>
      </c>
      <c r="P1790">
        <v>2116.36</v>
      </c>
      <c r="Q1790">
        <v>2116.15</v>
      </c>
    </row>
    <row r="1791" spans="7:17" x14ac:dyDescent="0.25">
      <c r="G1791" t="str">
        <f t="shared" si="27"/>
        <v/>
      </c>
      <c r="H1791" t="s">
        <v>47</v>
      </c>
      <c r="I1791" t="s">
        <v>10</v>
      </c>
      <c r="J1791" t="s">
        <v>6</v>
      </c>
      <c r="K1791" t="s">
        <v>32</v>
      </c>
      <c r="L1791" t="s">
        <v>43</v>
      </c>
      <c r="M1791" t="s">
        <v>20</v>
      </c>
      <c r="N1791">
        <v>11</v>
      </c>
      <c r="O1791">
        <v>1</v>
      </c>
      <c r="P1791">
        <v>7095.27</v>
      </c>
      <c r="Q1791">
        <v>0</v>
      </c>
    </row>
    <row r="1792" spans="7:17" x14ac:dyDescent="0.25">
      <c r="G1792" t="str">
        <f t="shared" si="27"/>
        <v/>
      </c>
      <c r="H1792" t="s">
        <v>47</v>
      </c>
      <c r="I1792" t="s">
        <v>10</v>
      </c>
      <c r="J1792" t="s">
        <v>6</v>
      </c>
      <c r="K1792" t="s">
        <v>32</v>
      </c>
      <c r="L1792" t="s">
        <v>44</v>
      </c>
      <c r="M1792" t="s">
        <v>20</v>
      </c>
      <c r="N1792">
        <v>23</v>
      </c>
      <c r="O1792">
        <v>3</v>
      </c>
      <c r="P1792">
        <v>16052.32</v>
      </c>
      <c r="Q1792">
        <v>0</v>
      </c>
    </row>
    <row r="1793" spans="7:17" x14ac:dyDescent="0.25">
      <c r="G1793" t="str">
        <f t="shared" si="27"/>
        <v/>
      </c>
      <c r="H1793" t="s">
        <v>47</v>
      </c>
      <c r="I1793" t="s">
        <v>10</v>
      </c>
      <c r="J1793" t="s">
        <v>6</v>
      </c>
      <c r="K1793" t="s">
        <v>32</v>
      </c>
      <c r="L1793" t="s">
        <v>39</v>
      </c>
      <c r="M1793" t="s">
        <v>20</v>
      </c>
      <c r="N1793">
        <v>4</v>
      </c>
      <c r="O1793">
        <v>2</v>
      </c>
      <c r="P1793">
        <v>6242.6699999999992</v>
      </c>
      <c r="Q1793">
        <v>0</v>
      </c>
    </row>
    <row r="1794" spans="7:17" x14ac:dyDescent="0.25">
      <c r="G1794" t="str">
        <f t="shared" ref="G1794:G1857" si="28">IF(G$1="Overall","Overall",IF(G$1=L1794,L1794,""))</f>
        <v/>
      </c>
      <c r="H1794" t="s">
        <v>47</v>
      </c>
      <c r="I1794" t="s">
        <v>10</v>
      </c>
      <c r="J1794" t="s">
        <v>6</v>
      </c>
      <c r="K1794" t="s">
        <v>32</v>
      </c>
      <c r="L1794" t="s">
        <v>40</v>
      </c>
      <c r="M1794" t="s">
        <v>20</v>
      </c>
      <c r="N1794">
        <v>2</v>
      </c>
      <c r="O1794">
        <v>0</v>
      </c>
      <c r="P1794">
        <v>1442.24</v>
      </c>
      <c r="Q1794">
        <v>0</v>
      </c>
    </row>
    <row r="1795" spans="7:17" x14ac:dyDescent="0.25">
      <c r="G1795" t="str">
        <f t="shared" si="28"/>
        <v/>
      </c>
      <c r="H1795" t="s">
        <v>47</v>
      </c>
      <c r="I1795" t="s">
        <v>10</v>
      </c>
      <c r="J1795" t="s">
        <v>6</v>
      </c>
      <c r="K1795" t="s">
        <v>32</v>
      </c>
      <c r="L1795" t="s">
        <v>41</v>
      </c>
      <c r="M1795" t="s">
        <v>20</v>
      </c>
      <c r="N1795">
        <v>4</v>
      </c>
      <c r="O1795">
        <v>3</v>
      </c>
      <c r="P1795">
        <v>3644.9900000000002</v>
      </c>
      <c r="Q1795">
        <v>0</v>
      </c>
    </row>
    <row r="1796" spans="7:17" x14ac:dyDescent="0.25">
      <c r="G1796" t="str">
        <f t="shared" si="28"/>
        <v/>
      </c>
      <c r="H1796" t="s">
        <v>47</v>
      </c>
      <c r="I1796" t="s">
        <v>10</v>
      </c>
      <c r="J1796" t="s">
        <v>6</v>
      </c>
      <c r="K1796" t="s">
        <v>32</v>
      </c>
      <c r="L1796" t="s">
        <v>45</v>
      </c>
      <c r="M1796" t="s">
        <v>19</v>
      </c>
      <c r="N1796">
        <v>2</v>
      </c>
      <c r="O1796">
        <v>1</v>
      </c>
      <c r="P1796">
        <v>2454.86</v>
      </c>
      <c r="Q1796">
        <v>2454</v>
      </c>
    </row>
    <row r="1797" spans="7:17" x14ac:dyDescent="0.25">
      <c r="G1797" t="str">
        <f t="shared" si="28"/>
        <v/>
      </c>
      <c r="H1797" t="s">
        <v>47</v>
      </c>
      <c r="I1797" t="s">
        <v>10</v>
      </c>
      <c r="J1797" t="s">
        <v>6</v>
      </c>
      <c r="K1797" t="s">
        <v>32</v>
      </c>
      <c r="L1797" t="s">
        <v>45</v>
      </c>
      <c r="M1797" t="s">
        <v>20</v>
      </c>
      <c r="N1797">
        <v>14</v>
      </c>
      <c r="O1797">
        <v>6</v>
      </c>
      <c r="P1797">
        <v>27959.4</v>
      </c>
      <c r="Q1797">
        <v>0</v>
      </c>
    </row>
    <row r="1798" spans="7:17" x14ac:dyDescent="0.25">
      <c r="G1798" t="str">
        <f t="shared" si="28"/>
        <v/>
      </c>
      <c r="H1798" t="s">
        <v>47</v>
      </c>
      <c r="I1798" t="s">
        <v>10</v>
      </c>
      <c r="J1798" t="s">
        <v>6</v>
      </c>
      <c r="K1798" t="s">
        <v>33</v>
      </c>
      <c r="L1798" t="s">
        <v>42</v>
      </c>
      <c r="M1798" t="s">
        <v>19</v>
      </c>
      <c r="N1798">
        <v>145</v>
      </c>
      <c r="O1798">
        <v>71</v>
      </c>
      <c r="P1798">
        <v>72048.270000000019</v>
      </c>
      <c r="Q1798">
        <v>70640.010000000024</v>
      </c>
    </row>
    <row r="1799" spans="7:17" x14ac:dyDescent="0.25">
      <c r="G1799" t="str">
        <f t="shared" si="28"/>
        <v/>
      </c>
      <c r="H1799" t="s">
        <v>47</v>
      </c>
      <c r="I1799" t="s">
        <v>10</v>
      </c>
      <c r="J1799" t="s">
        <v>6</v>
      </c>
      <c r="K1799" t="s">
        <v>33</v>
      </c>
      <c r="L1799" t="s">
        <v>42</v>
      </c>
      <c r="M1799" t="s">
        <v>20</v>
      </c>
      <c r="N1799">
        <v>143</v>
      </c>
      <c r="O1799">
        <v>69</v>
      </c>
      <c r="P1799">
        <v>37432.339999999989</v>
      </c>
      <c r="Q1799">
        <v>0</v>
      </c>
    </row>
    <row r="1800" spans="7:17" x14ac:dyDescent="0.25">
      <c r="G1800" t="str">
        <f t="shared" si="28"/>
        <v/>
      </c>
      <c r="H1800" t="s">
        <v>47</v>
      </c>
      <c r="I1800" t="s">
        <v>10</v>
      </c>
      <c r="J1800" t="s">
        <v>6</v>
      </c>
      <c r="K1800" t="s">
        <v>33</v>
      </c>
      <c r="L1800" t="s">
        <v>43</v>
      </c>
      <c r="M1800" t="s">
        <v>19</v>
      </c>
      <c r="N1800">
        <v>23</v>
      </c>
      <c r="O1800">
        <v>18</v>
      </c>
      <c r="P1800">
        <v>21566.45</v>
      </c>
      <c r="Q1800">
        <v>20110.929999999997</v>
      </c>
    </row>
    <row r="1801" spans="7:17" x14ac:dyDescent="0.25">
      <c r="G1801" t="str">
        <f t="shared" si="28"/>
        <v/>
      </c>
      <c r="H1801" t="s">
        <v>47</v>
      </c>
      <c r="I1801" t="s">
        <v>10</v>
      </c>
      <c r="J1801" t="s">
        <v>6</v>
      </c>
      <c r="K1801" t="s">
        <v>33</v>
      </c>
      <c r="L1801" t="s">
        <v>43</v>
      </c>
      <c r="M1801" t="s">
        <v>20</v>
      </c>
      <c r="N1801">
        <v>26</v>
      </c>
      <c r="O1801">
        <v>14</v>
      </c>
      <c r="P1801">
        <v>16171.869999999999</v>
      </c>
      <c r="Q1801">
        <v>0</v>
      </c>
    </row>
    <row r="1802" spans="7:17" x14ac:dyDescent="0.25">
      <c r="G1802" t="str">
        <f t="shared" si="28"/>
        <v/>
      </c>
      <c r="H1802" t="s">
        <v>47</v>
      </c>
      <c r="I1802" t="s">
        <v>10</v>
      </c>
      <c r="J1802" t="s">
        <v>6</v>
      </c>
      <c r="K1802" t="s">
        <v>33</v>
      </c>
      <c r="L1802" t="s">
        <v>44</v>
      </c>
      <c r="M1802" t="s">
        <v>19</v>
      </c>
      <c r="N1802">
        <v>10</v>
      </c>
      <c r="O1802">
        <v>5</v>
      </c>
      <c r="P1802">
        <v>11345.939999999999</v>
      </c>
      <c r="Q1802">
        <v>4898.6799999999994</v>
      </c>
    </row>
    <row r="1803" spans="7:17" x14ac:dyDescent="0.25">
      <c r="G1803" t="str">
        <f t="shared" si="28"/>
        <v/>
      </c>
      <c r="H1803" t="s">
        <v>47</v>
      </c>
      <c r="I1803" t="s">
        <v>10</v>
      </c>
      <c r="J1803" t="s">
        <v>6</v>
      </c>
      <c r="K1803" t="s">
        <v>33</v>
      </c>
      <c r="L1803" t="s">
        <v>44</v>
      </c>
      <c r="M1803" t="s">
        <v>20</v>
      </c>
      <c r="N1803">
        <v>39</v>
      </c>
      <c r="O1803">
        <v>23</v>
      </c>
      <c r="P1803">
        <v>35072.250000000007</v>
      </c>
      <c r="Q1803">
        <v>0</v>
      </c>
    </row>
    <row r="1804" spans="7:17" x14ac:dyDescent="0.25">
      <c r="G1804" t="str">
        <f t="shared" si="28"/>
        <v/>
      </c>
      <c r="H1804" t="s">
        <v>47</v>
      </c>
      <c r="I1804" t="s">
        <v>10</v>
      </c>
      <c r="J1804" t="s">
        <v>6</v>
      </c>
      <c r="K1804" t="s">
        <v>33</v>
      </c>
      <c r="L1804" t="s">
        <v>39</v>
      </c>
      <c r="M1804" t="s">
        <v>19</v>
      </c>
      <c r="N1804">
        <v>1</v>
      </c>
      <c r="O1804">
        <v>0</v>
      </c>
      <c r="P1804">
        <v>1732.11</v>
      </c>
      <c r="Q1804">
        <v>1730</v>
      </c>
    </row>
    <row r="1805" spans="7:17" x14ac:dyDescent="0.25">
      <c r="G1805" t="str">
        <f t="shared" si="28"/>
        <v/>
      </c>
      <c r="H1805" t="s">
        <v>47</v>
      </c>
      <c r="I1805" t="s">
        <v>10</v>
      </c>
      <c r="J1805" t="s">
        <v>6</v>
      </c>
      <c r="K1805" t="s">
        <v>33</v>
      </c>
      <c r="L1805" t="s">
        <v>39</v>
      </c>
      <c r="M1805" t="s">
        <v>20</v>
      </c>
      <c r="N1805">
        <v>13</v>
      </c>
      <c r="O1805">
        <v>8</v>
      </c>
      <c r="P1805">
        <v>11159.029999999999</v>
      </c>
      <c r="Q1805">
        <v>0</v>
      </c>
    </row>
    <row r="1806" spans="7:17" x14ac:dyDescent="0.25">
      <c r="G1806" t="str">
        <f t="shared" si="28"/>
        <v/>
      </c>
      <c r="H1806" t="s">
        <v>47</v>
      </c>
      <c r="I1806" t="s">
        <v>10</v>
      </c>
      <c r="J1806" t="s">
        <v>6</v>
      </c>
      <c r="K1806" t="s">
        <v>33</v>
      </c>
      <c r="L1806" t="s">
        <v>40</v>
      </c>
      <c r="M1806" t="s">
        <v>19</v>
      </c>
      <c r="N1806">
        <v>3</v>
      </c>
      <c r="O1806">
        <v>2</v>
      </c>
      <c r="P1806">
        <v>1201.72</v>
      </c>
      <c r="Q1806">
        <v>1201.72</v>
      </c>
    </row>
    <row r="1807" spans="7:17" x14ac:dyDescent="0.25">
      <c r="G1807" t="str">
        <f t="shared" si="28"/>
        <v/>
      </c>
      <c r="H1807" t="s">
        <v>47</v>
      </c>
      <c r="I1807" t="s">
        <v>10</v>
      </c>
      <c r="J1807" t="s">
        <v>6</v>
      </c>
      <c r="K1807" t="s">
        <v>33</v>
      </c>
      <c r="L1807" t="s">
        <v>40</v>
      </c>
      <c r="M1807" t="s">
        <v>20</v>
      </c>
      <c r="N1807">
        <v>6</v>
      </c>
      <c r="O1807">
        <v>4</v>
      </c>
      <c r="P1807">
        <v>4741.0599999999995</v>
      </c>
      <c r="Q1807">
        <v>0</v>
      </c>
    </row>
    <row r="1808" spans="7:17" x14ac:dyDescent="0.25">
      <c r="G1808" t="str">
        <f t="shared" si="28"/>
        <v/>
      </c>
      <c r="H1808" t="s">
        <v>47</v>
      </c>
      <c r="I1808" t="s">
        <v>10</v>
      </c>
      <c r="J1808" t="s">
        <v>6</v>
      </c>
      <c r="K1808" t="s">
        <v>33</v>
      </c>
      <c r="L1808" t="s">
        <v>41</v>
      </c>
      <c r="M1808" t="s">
        <v>20</v>
      </c>
      <c r="N1808">
        <v>6</v>
      </c>
      <c r="O1808">
        <v>5</v>
      </c>
      <c r="P1808">
        <v>1863.42</v>
      </c>
      <c r="Q1808">
        <v>0</v>
      </c>
    </row>
    <row r="1809" spans="7:17" x14ac:dyDescent="0.25">
      <c r="G1809" t="str">
        <f t="shared" si="28"/>
        <v/>
      </c>
      <c r="H1809" t="s">
        <v>47</v>
      </c>
      <c r="I1809" t="s">
        <v>10</v>
      </c>
      <c r="J1809" t="s">
        <v>6</v>
      </c>
      <c r="K1809" t="s">
        <v>33</v>
      </c>
      <c r="L1809" t="s">
        <v>45</v>
      </c>
      <c r="M1809" t="s">
        <v>19</v>
      </c>
      <c r="N1809">
        <v>1</v>
      </c>
      <c r="O1809">
        <v>1</v>
      </c>
      <c r="P1809">
        <v>833.17</v>
      </c>
      <c r="Q1809">
        <v>158.93</v>
      </c>
    </row>
    <row r="1810" spans="7:17" x14ac:dyDescent="0.25">
      <c r="G1810" t="str">
        <f t="shared" si="28"/>
        <v/>
      </c>
      <c r="H1810" t="s">
        <v>47</v>
      </c>
      <c r="I1810" t="s">
        <v>10</v>
      </c>
      <c r="J1810" t="s">
        <v>6</v>
      </c>
      <c r="K1810" t="s">
        <v>33</v>
      </c>
      <c r="L1810" t="s">
        <v>45</v>
      </c>
      <c r="M1810" t="s">
        <v>20</v>
      </c>
      <c r="N1810">
        <v>92</v>
      </c>
      <c r="O1810">
        <v>42</v>
      </c>
      <c r="P1810">
        <v>69494.650000000009</v>
      </c>
      <c r="Q1810">
        <v>0</v>
      </c>
    </row>
    <row r="1811" spans="7:17" x14ac:dyDescent="0.25">
      <c r="G1811" t="str">
        <f t="shared" si="28"/>
        <v/>
      </c>
      <c r="H1811" t="s">
        <v>47</v>
      </c>
      <c r="I1811" t="s">
        <v>10</v>
      </c>
      <c r="J1811" t="s">
        <v>6</v>
      </c>
      <c r="K1811" t="s">
        <v>34</v>
      </c>
      <c r="L1811" t="s">
        <v>42</v>
      </c>
      <c r="M1811" t="s">
        <v>19</v>
      </c>
      <c r="N1811">
        <v>81</v>
      </c>
      <c r="O1811">
        <v>27</v>
      </c>
      <c r="P1811">
        <v>41214.710000000006</v>
      </c>
      <c r="Q1811">
        <v>40356.97</v>
      </c>
    </row>
    <row r="1812" spans="7:17" x14ac:dyDescent="0.25">
      <c r="G1812" t="str">
        <f t="shared" si="28"/>
        <v/>
      </c>
      <c r="H1812" t="s">
        <v>47</v>
      </c>
      <c r="I1812" t="s">
        <v>10</v>
      </c>
      <c r="J1812" t="s">
        <v>6</v>
      </c>
      <c r="K1812" t="s">
        <v>34</v>
      </c>
      <c r="L1812" t="s">
        <v>42</v>
      </c>
      <c r="M1812" t="s">
        <v>20</v>
      </c>
      <c r="N1812">
        <v>98</v>
      </c>
      <c r="O1812">
        <v>30</v>
      </c>
      <c r="P1812">
        <v>26837.81</v>
      </c>
      <c r="Q1812">
        <v>0</v>
      </c>
    </row>
    <row r="1813" spans="7:17" x14ac:dyDescent="0.25">
      <c r="G1813" t="str">
        <f t="shared" si="28"/>
        <v/>
      </c>
      <c r="H1813" t="s">
        <v>47</v>
      </c>
      <c r="I1813" t="s">
        <v>10</v>
      </c>
      <c r="J1813" t="s">
        <v>6</v>
      </c>
      <c r="K1813" t="s">
        <v>34</v>
      </c>
      <c r="L1813" t="s">
        <v>43</v>
      </c>
      <c r="M1813" t="s">
        <v>19</v>
      </c>
      <c r="N1813">
        <v>27</v>
      </c>
      <c r="O1813">
        <v>4</v>
      </c>
      <c r="P1813">
        <v>15894.25</v>
      </c>
      <c r="Q1813">
        <v>15883.789999999999</v>
      </c>
    </row>
    <row r="1814" spans="7:17" x14ac:dyDescent="0.25">
      <c r="G1814" t="str">
        <f t="shared" si="28"/>
        <v/>
      </c>
      <c r="H1814" t="s">
        <v>47</v>
      </c>
      <c r="I1814" t="s">
        <v>10</v>
      </c>
      <c r="J1814" t="s">
        <v>6</v>
      </c>
      <c r="K1814" t="s">
        <v>34</v>
      </c>
      <c r="L1814" t="s">
        <v>43</v>
      </c>
      <c r="M1814" t="s">
        <v>20</v>
      </c>
      <c r="N1814">
        <v>56</v>
      </c>
      <c r="O1814">
        <v>21</v>
      </c>
      <c r="P1814">
        <v>36022.909999999989</v>
      </c>
      <c r="Q1814">
        <v>0</v>
      </c>
    </row>
    <row r="1815" spans="7:17" x14ac:dyDescent="0.25">
      <c r="G1815" t="str">
        <f t="shared" si="28"/>
        <v/>
      </c>
      <c r="H1815" t="s">
        <v>47</v>
      </c>
      <c r="I1815" t="s">
        <v>10</v>
      </c>
      <c r="J1815" t="s">
        <v>6</v>
      </c>
      <c r="K1815" t="s">
        <v>34</v>
      </c>
      <c r="L1815" t="s">
        <v>44</v>
      </c>
      <c r="M1815" t="s">
        <v>19</v>
      </c>
      <c r="N1815">
        <v>10</v>
      </c>
      <c r="O1815">
        <v>5</v>
      </c>
      <c r="P1815">
        <v>11257.89</v>
      </c>
      <c r="Q1815">
        <v>8140.82</v>
      </c>
    </row>
    <row r="1816" spans="7:17" x14ac:dyDescent="0.25">
      <c r="G1816" t="str">
        <f t="shared" si="28"/>
        <v/>
      </c>
      <c r="H1816" t="s">
        <v>47</v>
      </c>
      <c r="I1816" t="s">
        <v>10</v>
      </c>
      <c r="J1816" t="s">
        <v>6</v>
      </c>
      <c r="K1816" t="s">
        <v>34</v>
      </c>
      <c r="L1816" t="s">
        <v>44</v>
      </c>
      <c r="M1816" t="s">
        <v>20</v>
      </c>
      <c r="N1816">
        <v>21</v>
      </c>
      <c r="O1816">
        <v>12</v>
      </c>
      <c r="P1816">
        <v>13232.25</v>
      </c>
      <c r="Q1816">
        <v>0</v>
      </c>
    </row>
    <row r="1817" spans="7:17" x14ac:dyDescent="0.25">
      <c r="G1817" t="str">
        <f t="shared" si="28"/>
        <v/>
      </c>
      <c r="H1817" t="s">
        <v>47</v>
      </c>
      <c r="I1817" t="s">
        <v>10</v>
      </c>
      <c r="J1817" t="s">
        <v>6</v>
      </c>
      <c r="K1817" t="s">
        <v>34</v>
      </c>
      <c r="L1817" t="s">
        <v>39</v>
      </c>
      <c r="M1817" t="s">
        <v>20</v>
      </c>
      <c r="N1817">
        <v>3</v>
      </c>
      <c r="O1817">
        <v>3</v>
      </c>
      <c r="P1817">
        <v>1706.8300000000002</v>
      </c>
      <c r="Q1817">
        <v>0</v>
      </c>
    </row>
    <row r="1818" spans="7:17" x14ac:dyDescent="0.25">
      <c r="G1818" t="str">
        <f t="shared" si="28"/>
        <v/>
      </c>
      <c r="H1818" t="s">
        <v>47</v>
      </c>
      <c r="I1818" t="s">
        <v>10</v>
      </c>
      <c r="J1818" t="s">
        <v>6</v>
      </c>
      <c r="K1818" t="s">
        <v>34</v>
      </c>
      <c r="L1818" t="s">
        <v>40</v>
      </c>
      <c r="M1818" t="s">
        <v>20</v>
      </c>
      <c r="N1818">
        <v>13</v>
      </c>
      <c r="O1818">
        <v>2</v>
      </c>
      <c r="P1818">
        <v>7553.6699999999992</v>
      </c>
      <c r="Q1818">
        <v>0</v>
      </c>
    </row>
    <row r="1819" spans="7:17" x14ac:dyDescent="0.25">
      <c r="G1819" t="str">
        <f t="shared" si="28"/>
        <v/>
      </c>
      <c r="H1819" t="s">
        <v>47</v>
      </c>
      <c r="I1819" t="s">
        <v>10</v>
      </c>
      <c r="J1819" t="s">
        <v>6</v>
      </c>
      <c r="K1819" t="s">
        <v>34</v>
      </c>
      <c r="L1819" t="s">
        <v>41</v>
      </c>
      <c r="M1819" t="s">
        <v>20</v>
      </c>
      <c r="N1819">
        <v>5</v>
      </c>
      <c r="O1819">
        <v>3</v>
      </c>
      <c r="P1819">
        <v>3149.1099999999997</v>
      </c>
      <c r="Q1819">
        <v>0</v>
      </c>
    </row>
    <row r="1820" spans="7:17" x14ac:dyDescent="0.25">
      <c r="G1820" t="str">
        <f t="shared" si="28"/>
        <v/>
      </c>
      <c r="H1820" t="s">
        <v>47</v>
      </c>
      <c r="I1820" t="s">
        <v>10</v>
      </c>
      <c r="J1820" t="s">
        <v>6</v>
      </c>
      <c r="K1820" t="s">
        <v>34</v>
      </c>
      <c r="L1820" t="s">
        <v>45</v>
      </c>
      <c r="M1820" t="s">
        <v>20</v>
      </c>
      <c r="N1820">
        <v>96</v>
      </c>
      <c r="O1820">
        <v>40</v>
      </c>
      <c r="P1820">
        <v>55028.359999999986</v>
      </c>
      <c r="Q1820">
        <v>0</v>
      </c>
    </row>
    <row r="1821" spans="7:17" x14ac:dyDescent="0.25">
      <c r="G1821" t="str">
        <f t="shared" si="28"/>
        <v/>
      </c>
      <c r="H1821" t="s">
        <v>47</v>
      </c>
      <c r="I1821" t="s">
        <v>10</v>
      </c>
      <c r="J1821" t="s">
        <v>6</v>
      </c>
      <c r="K1821" t="s">
        <v>35</v>
      </c>
      <c r="L1821" t="s">
        <v>42</v>
      </c>
      <c r="M1821" t="s">
        <v>19</v>
      </c>
      <c r="N1821">
        <v>419</v>
      </c>
      <c r="O1821">
        <v>107</v>
      </c>
      <c r="P1821">
        <v>191545.84000000008</v>
      </c>
      <c r="Q1821">
        <v>187884.3400000002</v>
      </c>
    </row>
    <row r="1822" spans="7:17" x14ac:dyDescent="0.25">
      <c r="G1822" t="str">
        <f t="shared" si="28"/>
        <v/>
      </c>
      <c r="H1822" t="s">
        <v>47</v>
      </c>
      <c r="I1822" t="s">
        <v>10</v>
      </c>
      <c r="J1822" t="s">
        <v>6</v>
      </c>
      <c r="K1822" t="s">
        <v>35</v>
      </c>
      <c r="L1822" t="s">
        <v>42</v>
      </c>
      <c r="M1822" t="s">
        <v>20</v>
      </c>
      <c r="N1822">
        <v>230</v>
      </c>
      <c r="O1822">
        <v>96</v>
      </c>
      <c r="P1822">
        <v>67575.81</v>
      </c>
      <c r="Q1822">
        <v>0</v>
      </c>
    </row>
    <row r="1823" spans="7:17" x14ac:dyDescent="0.25">
      <c r="G1823" t="str">
        <f t="shared" si="28"/>
        <v/>
      </c>
      <c r="H1823" t="s">
        <v>47</v>
      </c>
      <c r="I1823" t="s">
        <v>10</v>
      </c>
      <c r="J1823" t="s">
        <v>6</v>
      </c>
      <c r="K1823" t="s">
        <v>35</v>
      </c>
      <c r="L1823" t="s">
        <v>43</v>
      </c>
      <c r="M1823" t="s">
        <v>19</v>
      </c>
      <c r="N1823">
        <v>34</v>
      </c>
      <c r="O1823">
        <v>20</v>
      </c>
      <c r="P1823">
        <v>22935.630000000005</v>
      </c>
      <c r="Q1823">
        <v>17178.730000000003</v>
      </c>
    </row>
    <row r="1824" spans="7:17" x14ac:dyDescent="0.25">
      <c r="G1824" t="str">
        <f t="shared" si="28"/>
        <v/>
      </c>
      <c r="H1824" t="s">
        <v>47</v>
      </c>
      <c r="I1824" t="s">
        <v>10</v>
      </c>
      <c r="J1824" t="s">
        <v>6</v>
      </c>
      <c r="K1824" t="s">
        <v>35</v>
      </c>
      <c r="L1824" t="s">
        <v>43</v>
      </c>
      <c r="M1824" t="s">
        <v>20</v>
      </c>
      <c r="N1824">
        <v>60</v>
      </c>
      <c r="O1824">
        <v>26</v>
      </c>
      <c r="P1824">
        <v>34754.559999999998</v>
      </c>
      <c r="Q1824">
        <v>0</v>
      </c>
    </row>
    <row r="1825" spans="7:17" x14ac:dyDescent="0.25">
      <c r="G1825" t="str">
        <f t="shared" si="28"/>
        <v/>
      </c>
      <c r="H1825" t="s">
        <v>47</v>
      </c>
      <c r="I1825" t="s">
        <v>10</v>
      </c>
      <c r="J1825" t="s">
        <v>6</v>
      </c>
      <c r="K1825" t="s">
        <v>35</v>
      </c>
      <c r="L1825" t="s">
        <v>44</v>
      </c>
      <c r="M1825" t="s">
        <v>19</v>
      </c>
      <c r="N1825">
        <v>20</v>
      </c>
      <c r="O1825">
        <v>16</v>
      </c>
      <c r="P1825">
        <v>24093.619999999995</v>
      </c>
      <c r="Q1825">
        <v>7405.96</v>
      </c>
    </row>
    <row r="1826" spans="7:17" x14ac:dyDescent="0.25">
      <c r="G1826" t="str">
        <f t="shared" si="28"/>
        <v/>
      </c>
      <c r="H1826" t="s">
        <v>47</v>
      </c>
      <c r="I1826" t="s">
        <v>10</v>
      </c>
      <c r="J1826" t="s">
        <v>6</v>
      </c>
      <c r="K1826" t="s">
        <v>35</v>
      </c>
      <c r="L1826" t="s">
        <v>44</v>
      </c>
      <c r="M1826" t="s">
        <v>20</v>
      </c>
      <c r="N1826">
        <v>46</v>
      </c>
      <c r="O1826">
        <v>32</v>
      </c>
      <c r="P1826">
        <v>33041.03</v>
      </c>
      <c r="Q1826">
        <v>0</v>
      </c>
    </row>
    <row r="1827" spans="7:17" x14ac:dyDescent="0.25">
      <c r="G1827" t="str">
        <f t="shared" si="28"/>
        <v/>
      </c>
      <c r="H1827" t="s">
        <v>47</v>
      </c>
      <c r="I1827" t="s">
        <v>10</v>
      </c>
      <c r="J1827" t="s">
        <v>6</v>
      </c>
      <c r="K1827" t="s">
        <v>36</v>
      </c>
      <c r="L1827" t="s">
        <v>42</v>
      </c>
      <c r="M1827" t="s">
        <v>19</v>
      </c>
      <c r="N1827">
        <v>212</v>
      </c>
      <c r="O1827">
        <v>100</v>
      </c>
      <c r="P1827">
        <v>99526.869999999981</v>
      </c>
      <c r="Q1827">
        <v>97466.950000000026</v>
      </c>
    </row>
    <row r="1828" spans="7:17" x14ac:dyDescent="0.25">
      <c r="G1828" t="str">
        <f t="shared" si="28"/>
        <v/>
      </c>
      <c r="H1828" t="s">
        <v>47</v>
      </c>
      <c r="I1828" t="s">
        <v>10</v>
      </c>
      <c r="J1828" t="s">
        <v>6</v>
      </c>
      <c r="K1828" t="s">
        <v>36</v>
      </c>
      <c r="L1828" t="s">
        <v>42</v>
      </c>
      <c r="M1828" t="s">
        <v>20</v>
      </c>
      <c r="N1828">
        <v>247</v>
      </c>
      <c r="O1828">
        <v>114</v>
      </c>
      <c r="P1828">
        <v>65741.84</v>
      </c>
      <c r="Q1828">
        <v>0</v>
      </c>
    </row>
    <row r="1829" spans="7:17" x14ac:dyDescent="0.25">
      <c r="G1829" t="str">
        <f t="shared" si="28"/>
        <v/>
      </c>
      <c r="H1829" t="s">
        <v>47</v>
      </c>
      <c r="I1829" t="s">
        <v>10</v>
      </c>
      <c r="J1829" t="s">
        <v>6</v>
      </c>
      <c r="K1829" t="s">
        <v>36</v>
      </c>
      <c r="L1829" t="s">
        <v>43</v>
      </c>
      <c r="M1829" t="s">
        <v>19</v>
      </c>
      <c r="N1829">
        <v>51</v>
      </c>
      <c r="O1829">
        <v>38</v>
      </c>
      <c r="P1829">
        <v>42303.510000000009</v>
      </c>
      <c r="Q1829">
        <v>39748.320000000007</v>
      </c>
    </row>
    <row r="1830" spans="7:17" x14ac:dyDescent="0.25">
      <c r="G1830" t="str">
        <f t="shared" si="28"/>
        <v/>
      </c>
      <c r="H1830" t="s">
        <v>47</v>
      </c>
      <c r="I1830" t="s">
        <v>10</v>
      </c>
      <c r="J1830" t="s">
        <v>6</v>
      </c>
      <c r="K1830" t="s">
        <v>36</v>
      </c>
      <c r="L1830" t="s">
        <v>43</v>
      </c>
      <c r="M1830" t="s">
        <v>20</v>
      </c>
      <c r="N1830">
        <v>58</v>
      </c>
      <c r="O1830">
        <v>23</v>
      </c>
      <c r="P1830">
        <v>33973.430000000008</v>
      </c>
      <c r="Q1830">
        <v>0</v>
      </c>
    </row>
    <row r="1831" spans="7:17" x14ac:dyDescent="0.25">
      <c r="G1831" t="str">
        <f t="shared" si="28"/>
        <v/>
      </c>
      <c r="H1831" t="s">
        <v>47</v>
      </c>
      <c r="I1831" t="s">
        <v>10</v>
      </c>
      <c r="J1831" t="s">
        <v>6</v>
      </c>
      <c r="K1831" t="s">
        <v>36</v>
      </c>
      <c r="L1831" t="s">
        <v>44</v>
      </c>
      <c r="M1831" t="s">
        <v>19</v>
      </c>
      <c r="N1831">
        <v>17</v>
      </c>
      <c r="O1831">
        <v>14</v>
      </c>
      <c r="P1831">
        <v>30830.859999999997</v>
      </c>
      <c r="Q1831">
        <v>25033.879999999997</v>
      </c>
    </row>
    <row r="1832" spans="7:17" x14ac:dyDescent="0.25">
      <c r="G1832" t="str">
        <f t="shared" si="28"/>
        <v/>
      </c>
      <c r="H1832" t="s">
        <v>47</v>
      </c>
      <c r="I1832" t="s">
        <v>10</v>
      </c>
      <c r="J1832" t="s">
        <v>6</v>
      </c>
      <c r="K1832" t="s">
        <v>36</v>
      </c>
      <c r="L1832" t="s">
        <v>44</v>
      </c>
      <c r="M1832" t="s">
        <v>20</v>
      </c>
      <c r="N1832">
        <v>30</v>
      </c>
      <c r="O1832">
        <v>21</v>
      </c>
      <c r="P1832">
        <v>23139.86</v>
      </c>
      <c r="Q1832">
        <v>0</v>
      </c>
    </row>
    <row r="1833" spans="7:17" x14ac:dyDescent="0.25">
      <c r="G1833" t="str">
        <f t="shared" si="28"/>
        <v/>
      </c>
      <c r="H1833" t="s">
        <v>47</v>
      </c>
      <c r="I1833" t="s">
        <v>10</v>
      </c>
      <c r="J1833" t="s">
        <v>6</v>
      </c>
      <c r="K1833" t="s">
        <v>36</v>
      </c>
      <c r="L1833" t="s">
        <v>39</v>
      </c>
      <c r="M1833" t="s">
        <v>19</v>
      </c>
      <c r="N1833">
        <v>1</v>
      </c>
      <c r="O1833">
        <v>1</v>
      </c>
      <c r="P1833">
        <v>654.94000000000005</v>
      </c>
      <c r="Q1833">
        <v>576.44000000000005</v>
      </c>
    </row>
    <row r="1834" spans="7:17" x14ac:dyDescent="0.25">
      <c r="G1834" t="str">
        <f t="shared" si="28"/>
        <v/>
      </c>
      <c r="H1834" t="s">
        <v>47</v>
      </c>
      <c r="I1834" t="s">
        <v>10</v>
      </c>
      <c r="J1834" t="s">
        <v>6</v>
      </c>
      <c r="K1834" t="s">
        <v>36</v>
      </c>
      <c r="L1834" t="s">
        <v>39</v>
      </c>
      <c r="M1834" t="s">
        <v>20</v>
      </c>
      <c r="N1834">
        <v>14</v>
      </c>
      <c r="O1834">
        <v>8</v>
      </c>
      <c r="P1834">
        <v>12506.759999999998</v>
      </c>
      <c r="Q1834">
        <v>0</v>
      </c>
    </row>
    <row r="1835" spans="7:17" x14ac:dyDescent="0.25">
      <c r="G1835" t="str">
        <f t="shared" si="28"/>
        <v/>
      </c>
      <c r="H1835" t="s">
        <v>47</v>
      </c>
      <c r="I1835" t="s">
        <v>10</v>
      </c>
      <c r="J1835" t="s">
        <v>6</v>
      </c>
      <c r="K1835" t="s">
        <v>36</v>
      </c>
      <c r="L1835" t="s">
        <v>40</v>
      </c>
      <c r="M1835" t="s">
        <v>19</v>
      </c>
      <c r="N1835">
        <v>1</v>
      </c>
      <c r="O1835">
        <v>1</v>
      </c>
      <c r="P1835">
        <v>237.61</v>
      </c>
      <c r="Q1835">
        <v>237.61</v>
      </c>
    </row>
    <row r="1836" spans="7:17" x14ac:dyDescent="0.25">
      <c r="G1836" t="str">
        <f t="shared" si="28"/>
        <v/>
      </c>
      <c r="H1836" t="s">
        <v>47</v>
      </c>
      <c r="I1836" t="s">
        <v>10</v>
      </c>
      <c r="J1836" t="s">
        <v>6</v>
      </c>
      <c r="K1836" t="s">
        <v>36</v>
      </c>
      <c r="L1836" t="s">
        <v>40</v>
      </c>
      <c r="M1836" t="s">
        <v>20</v>
      </c>
      <c r="N1836">
        <v>14</v>
      </c>
      <c r="O1836">
        <v>4</v>
      </c>
      <c r="P1836">
        <v>7789.2599999999984</v>
      </c>
      <c r="Q1836">
        <v>0</v>
      </c>
    </row>
    <row r="1837" spans="7:17" x14ac:dyDescent="0.25">
      <c r="G1837" t="str">
        <f t="shared" si="28"/>
        <v/>
      </c>
      <c r="H1837" t="s">
        <v>47</v>
      </c>
      <c r="I1837" t="s">
        <v>10</v>
      </c>
      <c r="J1837" t="s">
        <v>6</v>
      </c>
      <c r="K1837" t="s">
        <v>36</v>
      </c>
      <c r="L1837" t="s">
        <v>41</v>
      </c>
      <c r="M1837" t="s">
        <v>20</v>
      </c>
      <c r="N1837">
        <v>3</v>
      </c>
      <c r="O1837">
        <v>1</v>
      </c>
      <c r="P1837">
        <v>1198.8499999999999</v>
      </c>
      <c r="Q1837">
        <v>0</v>
      </c>
    </row>
    <row r="1838" spans="7:17" x14ac:dyDescent="0.25">
      <c r="G1838" t="str">
        <f t="shared" si="28"/>
        <v/>
      </c>
      <c r="H1838" t="s">
        <v>47</v>
      </c>
      <c r="I1838" t="s">
        <v>10</v>
      </c>
      <c r="J1838" t="s">
        <v>6</v>
      </c>
      <c r="K1838" t="s">
        <v>36</v>
      </c>
      <c r="L1838" t="s">
        <v>45</v>
      </c>
      <c r="M1838" t="s">
        <v>19</v>
      </c>
      <c r="N1838">
        <v>8</v>
      </c>
      <c r="O1838">
        <v>2</v>
      </c>
      <c r="P1838">
        <v>7343.72</v>
      </c>
      <c r="Q1838">
        <v>4942.4000000000005</v>
      </c>
    </row>
    <row r="1839" spans="7:17" x14ac:dyDescent="0.25">
      <c r="G1839" t="str">
        <f t="shared" si="28"/>
        <v/>
      </c>
      <c r="H1839" t="s">
        <v>47</v>
      </c>
      <c r="I1839" t="s">
        <v>10</v>
      </c>
      <c r="J1839" t="s">
        <v>6</v>
      </c>
      <c r="K1839" t="s">
        <v>36</v>
      </c>
      <c r="L1839" t="s">
        <v>45</v>
      </c>
      <c r="M1839" t="s">
        <v>20</v>
      </c>
      <c r="N1839">
        <v>61</v>
      </c>
      <c r="O1839">
        <v>34</v>
      </c>
      <c r="P1839">
        <v>43677.709999999985</v>
      </c>
      <c r="Q1839">
        <v>0</v>
      </c>
    </row>
    <row r="1840" spans="7:17" x14ac:dyDescent="0.25">
      <c r="G1840" t="str">
        <f t="shared" si="28"/>
        <v/>
      </c>
      <c r="H1840" t="s">
        <v>47</v>
      </c>
      <c r="I1840" t="s">
        <v>10</v>
      </c>
      <c r="J1840" t="s">
        <v>6</v>
      </c>
      <c r="K1840" t="s">
        <v>37</v>
      </c>
      <c r="L1840" t="s">
        <v>42</v>
      </c>
      <c r="M1840" t="s">
        <v>19</v>
      </c>
      <c r="N1840">
        <v>331</v>
      </c>
      <c r="O1840">
        <v>90</v>
      </c>
      <c r="P1840">
        <v>158465.72000000026</v>
      </c>
      <c r="Q1840">
        <v>156331.8500000003</v>
      </c>
    </row>
    <row r="1841" spans="7:17" x14ac:dyDescent="0.25">
      <c r="G1841" t="str">
        <f t="shared" si="28"/>
        <v/>
      </c>
      <c r="H1841" t="s">
        <v>47</v>
      </c>
      <c r="I1841" t="s">
        <v>10</v>
      </c>
      <c r="J1841" t="s">
        <v>6</v>
      </c>
      <c r="K1841" t="s">
        <v>37</v>
      </c>
      <c r="L1841" t="s">
        <v>42</v>
      </c>
      <c r="M1841" t="s">
        <v>20</v>
      </c>
      <c r="N1841">
        <v>262</v>
      </c>
      <c r="O1841">
        <v>96</v>
      </c>
      <c r="P1841">
        <v>67143.450000000055</v>
      </c>
      <c r="Q1841">
        <v>0</v>
      </c>
    </row>
    <row r="1842" spans="7:17" x14ac:dyDescent="0.25">
      <c r="G1842" t="str">
        <f t="shared" si="28"/>
        <v/>
      </c>
      <c r="H1842" t="s">
        <v>47</v>
      </c>
      <c r="I1842" t="s">
        <v>10</v>
      </c>
      <c r="J1842" t="s">
        <v>6</v>
      </c>
      <c r="K1842" t="s">
        <v>37</v>
      </c>
      <c r="L1842" t="s">
        <v>43</v>
      </c>
      <c r="M1842" t="s">
        <v>19</v>
      </c>
      <c r="N1842">
        <v>41</v>
      </c>
      <c r="O1842">
        <v>26</v>
      </c>
      <c r="P1842">
        <v>29221.489999999998</v>
      </c>
      <c r="Q1842">
        <v>26991.760000000002</v>
      </c>
    </row>
    <row r="1843" spans="7:17" x14ac:dyDescent="0.25">
      <c r="G1843" t="str">
        <f t="shared" si="28"/>
        <v/>
      </c>
      <c r="H1843" t="s">
        <v>47</v>
      </c>
      <c r="I1843" t="s">
        <v>10</v>
      </c>
      <c r="J1843" t="s">
        <v>6</v>
      </c>
      <c r="K1843" t="s">
        <v>37</v>
      </c>
      <c r="L1843" t="s">
        <v>43</v>
      </c>
      <c r="M1843" t="s">
        <v>20</v>
      </c>
      <c r="N1843">
        <v>38</v>
      </c>
      <c r="O1843">
        <v>24</v>
      </c>
      <c r="P1843">
        <v>27432.730000000003</v>
      </c>
      <c r="Q1843">
        <v>0</v>
      </c>
    </row>
    <row r="1844" spans="7:17" x14ac:dyDescent="0.25">
      <c r="G1844" t="str">
        <f t="shared" si="28"/>
        <v/>
      </c>
      <c r="H1844" t="s">
        <v>47</v>
      </c>
      <c r="I1844" t="s">
        <v>10</v>
      </c>
      <c r="J1844" t="s">
        <v>6</v>
      </c>
      <c r="K1844" t="s">
        <v>37</v>
      </c>
      <c r="L1844" t="s">
        <v>44</v>
      </c>
      <c r="M1844" t="s">
        <v>19</v>
      </c>
      <c r="N1844">
        <v>7</v>
      </c>
      <c r="O1844">
        <v>3</v>
      </c>
      <c r="P1844">
        <v>5155.17</v>
      </c>
      <c r="Q1844">
        <v>4375.17</v>
      </c>
    </row>
    <row r="1845" spans="7:17" x14ac:dyDescent="0.25">
      <c r="G1845" t="str">
        <f t="shared" si="28"/>
        <v/>
      </c>
      <c r="H1845" t="s">
        <v>47</v>
      </c>
      <c r="I1845" t="s">
        <v>10</v>
      </c>
      <c r="J1845" t="s">
        <v>6</v>
      </c>
      <c r="K1845" t="s">
        <v>37</v>
      </c>
      <c r="L1845" t="s">
        <v>44</v>
      </c>
      <c r="M1845" t="s">
        <v>20</v>
      </c>
      <c r="N1845">
        <v>40</v>
      </c>
      <c r="O1845">
        <v>22</v>
      </c>
      <c r="P1845">
        <v>22070.960000000006</v>
      </c>
      <c r="Q1845">
        <v>0</v>
      </c>
    </row>
    <row r="1846" spans="7:17" x14ac:dyDescent="0.25">
      <c r="G1846" t="str">
        <f t="shared" si="28"/>
        <v/>
      </c>
      <c r="H1846" t="s">
        <v>47</v>
      </c>
      <c r="I1846" t="s">
        <v>10</v>
      </c>
      <c r="J1846" t="s">
        <v>6</v>
      </c>
      <c r="K1846" t="s">
        <v>37</v>
      </c>
      <c r="L1846" t="s">
        <v>39</v>
      </c>
      <c r="M1846" t="s">
        <v>20</v>
      </c>
      <c r="N1846">
        <v>12</v>
      </c>
      <c r="O1846">
        <v>10</v>
      </c>
      <c r="P1846">
        <v>7093.67</v>
      </c>
      <c r="Q1846">
        <v>0</v>
      </c>
    </row>
    <row r="1847" spans="7:17" x14ac:dyDescent="0.25">
      <c r="G1847" t="str">
        <f t="shared" si="28"/>
        <v/>
      </c>
      <c r="H1847" t="s">
        <v>47</v>
      </c>
      <c r="I1847" t="s">
        <v>10</v>
      </c>
      <c r="J1847" t="s">
        <v>6</v>
      </c>
      <c r="K1847" t="s">
        <v>37</v>
      </c>
      <c r="L1847" t="s">
        <v>40</v>
      </c>
      <c r="M1847" t="s">
        <v>19</v>
      </c>
      <c r="N1847">
        <v>1</v>
      </c>
      <c r="O1847">
        <v>0</v>
      </c>
      <c r="P1847">
        <v>551.67999999999995</v>
      </c>
      <c r="Q1847">
        <v>50</v>
      </c>
    </row>
    <row r="1848" spans="7:17" x14ac:dyDescent="0.25">
      <c r="G1848" t="str">
        <f t="shared" si="28"/>
        <v/>
      </c>
      <c r="H1848" t="s">
        <v>47</v>
      </c>
      <c r="I1848" t="s">
        <v>10</v>
      </c>
      <c r="J1848" t="s">
        <v>6</v>
      </c>
      <c r="K1848" t="s">
        <v>37</v>
      </c>
      <c r="L1848" t="s">
        <v>40</v>
      </c>
      <c r="M1848" t="s">
        <v>20</v>
      </c>
      <c r="N1848">
        <v>10</v>
      </c>
      <c r="O1848">
        <v>4</v>
      </c>
      <c r="P1848">
        <v>6922.9900000000007</v>
      </c>
      <c r="Q1848">
        <v>0</v>
      </c>
    </row>
    <row r="1849" spans="7:17" x14ac:dyDescent="0.25">
      <c r="G1849" t="str">
        <f t="shared" si="28"/>
        <v/>
      </c>
      <c r="H1849" t="s">
        <v>47</v>
      </c>
      <c r="I1849" t="s">
        <v>10</v>
      </c>
      <c r="J1849" t="s">
        <v>6</v>
      </c>
      <c r="K1849" t="s">
        <v>37</v>
      </c>
      <c r="L1849" t="s">
        <v>41</v>
      </c>
      <c r="M1849" t="s">
        <v>20</v>
      </c>
      <c r="N1849">
        <v>12</v>
      </c>
      <c r="O1849">
        <v>6</v>
      </c>
      <c r="P1849">
        <v>12647.569999999998</v>
      </c>
      <c r="Q1849">
        <v>0</v>
      </c>
    </row>
    <row r="1850" spans="7:17" x14ac:dyDescent="0.25">
      <c r="G1850" t="str">
        <f t="shared" si="28"/>
        <v/>
      </c>
      <c r="H1850" t="s">
        <v>47</v>
      </c>
      <c r="I1850" t="s">
        <v>10</v>
      </c>
      <c r="J1850" t="s">
        <v>6</v>
      </c>
      <c r="K1850" t="s">
        <v>37</v>
      </c>
      <c r="L1850" t="s">
        <v>45</v>
      </c>
      <c r="M1850" t="s">
        <v>19</v>
      </c>
      <c r="N1850">
        <v>1</v>
      </c>
      <c r="O1850">
        <v>1</v>
      </c>
      <c r="P1850">
        <v>929.26</v>
      </c>
      <c r="Q1850">
        <v>929.2600000000001</v>
      </c>
    </row>
    <row r="1851" spans="7:17" x14ac:dyDescent="0.25">
      <c r="G1851" t="str">
        <f t="shared" si="28"/>
        <v/>
      </c>
      <c r="H1851" t="s">
        <v>47</v>
      </c>
      <c r="I1851" t="s">
        <v>10</v>
      </c>
      <c r="J1851" t="s">
        <v>6</v>
      </c>
      <c r="K1851" t="s">
        <v>37</v>
      </c>
      <c r="L1851" t="s">
        <v>45</v>
      </c>
      <c r="M1851" t="s">
        <v>20</v>
      </c>
      <c r="N1851">
        <v>153</v>
      </c>
      <c r="O1851">
        <v>61</v>
      </c>
      <c r="P1851">
        <v>100484.49999999994</v>
      </c>
      <c r="Q1851">
        <v>0</v>
      </c>
    </row>
    <row r="1852" spans="7:17" x14ac:dyDescent="0.25">
      <c r="G1852" t="str">
        <f t="shared" si="28"/>
        <v/>
      </c>
      <c r="H1852" t="s">
        <v>47</v>
      </c>
      <c r="I1852" t="s">
        <v>10</v>
      </c>
      <c r="J1852" t="s">
        <v>6</v>
      </c>
      <c r="K1852" t="s">
        <v>38</v>
      </c>
      <c r="L1852" t="s">
        <v>42</v>
      </c>
      <c r="M1852" t="s">
        <v>19</v>
      </c>
      <c r="N1852">
        <v>171</v>
      </c>
      <c r="O1852">
        <v>56</v>
      </c>
      <c r="P1852">
        <v>94652.920000000086</v>
      </c>
      <c r="Q1852">
        <v>92082.380000000077</v>
      </c>
    </row>
    <row r="1853" spans="7:17" x14ac:dyDescent="0.25">
      <c r="G1853" t="str">
        <f t="shared" si="28"/>
        <v/>
      </c>
      <c r="H1853" t="s">
        <v>47</v>
      </c>
      <c r="I1853" t="s">
        <v>10</v>
      </c>
      <c r="J1853" t="s">
        <v>6</v>
      </c>
      <c r="K1853" t="s">
        <v>38</v>
      </c>
      <c r="L1853" t="s">
        <v>42</v>
      </c>
      <c r="M1853" t="s">
        <v>20</v>
      </c>
      <c r="N1853">
        <v>171</v>
      </c>
      <c r="O1853">
        <v>56</v>
      </c>
      <c r="P1853">
        <v>52840.859999999971</v>
      </c>
      <c r="Q1853">
        <v>0</v>
      </c>
    </row>
    <row r="1854" spans="7:17" x14ac:dyDescent="0.25">
      <c r="G1854" t="str">
        <f t="shared" si="28"/>
        <v/>
      </c>
      <c r="H1854" t="s">
        <v>47</v>
      </c>
      <c r="I1854" t="s">
        <v>10</v>
      </c>
      <c r="J1854" t="s">
        <v>6</v>
      </c>
      <c r="K1854" t="s">
        <v>38</v>
      </c>
      <c r="L1854" t="s">
        <v>43</v>
      </c>
      <c r="M1854" t="s">
        <v>19</v>
      </c>
      <c r="N1854">
        <v>16</v>
      </c>
      <c r="O1854">
        <v>10</v>
      </c>
      <c r="P1854">
        <v>12750.349999999999</v>
      </c>
      <c r="Q1854">
        <v>9800.7300000000014</v>
      </c>
    </row>
    <row r="1855" spans="7:17" x14ac:dyDescent="0.25">
      <c r="G1855" t="str">
        <f t="shared" si="28"/>
        <v/>
      </c>
      <c r="H1855" t="s">
        <v>47</v>
      </c>
      <c r="I1855" t="s">
        <v>10</v>
      </c>
      <c r="J1855" t="s">
        <v>6</v>
      </c>
      <c r="K1855" t="s">
        <v>38</v>
      </c>
      <c r="L1855" t="s">
        <v>43</v>
      </c>
      <c r="M1855" t="s">
        <v>20</v>
      </c>
      <c r="N1855">
        <v>37</v>
      </c>
      <c r="O1855">
        <v>17</v>
      </c>
      <c r="P1855">
        <v>25643.800000000003</v>
      </c>
      <c r="Q1855">
        <v>0</v>
      </c>
    </row>
    <row r="1856" spans="7:17" x14ac:dyDescent="0.25">
      <c r="G1856" t="str">
        <f t="shared" si="28"/>
        <v/>
      </c>
      <c r="H1856" t="s">
        <v>47</v>
      </c>
      <c r="I1856" t="s">
        <v>10</v>
      </c>
      <c r="J1856" t="s">
        <v>6</v>
      </c>
      <c r="K1856" t="s">
        <v>38</v>
      </c>
      <c r="L1856" t="s">
        <v>44</v>
      </c>
      <c r="M1856" t="s">
        <v>19</v>
      </c>
      <c r="N1856">
        <v>10</v>
      </c>
      <c r="O1856">
        <v>9</v>
      </c>
      <c r="P1856">
        <v>12903.17</v>
      </c>
      <c r="Q1856">
        <v>2950.4900000000002</v>
      </c>
    </row>
    <row r="1857" spans="7:17" x14ac:dyDescent="0.25">
      <c r="G1857" t="str">
        <f t="shared" si="28"/>
        <v/>
      </c>
      <c r="H1857" t="s">
        <v>47</v>
      </c>
      <c r="I1857" t="s">
        <v>10</v>
      </c>
      <c r="J1857" t="s">
        <v>6</v>
      </c>
      <c r="K1857" t="s">
        <v>38</v>
      </c>
      <c r="L1857" t="s">
        <v>44</v>
      </c>
      <c r="M1857" t="s">
        <v>20</v>
      </c>
      <c r="N1857">
        <v>39</v>
      </c>
      <c r="O1857">
        <v>23</v>
      </c>
      <c r="P1857">
        <v>33675.46</v>
      </c>
      <c r="Q1857">
        <v>0</v>
      </c>
    </row>
    <row r="1858" spans="7:17" x14ac:dyDescent="0.25">
      <c r="G1858" t="str">
        <f t="shared" ref="G1858:G1921" si="29">IF(G$1="Overall","Overall",IF(G$1=L1858,L1858,""))</f>
        <v/>
      </c>
      <c r="H1858" t="s">
        <v>47</v>
      </c>
      <c r="I1858" t="s">
        <v>10</v>
      </c>
      <c r="J1858" t="s">
        <v>6</v>
      </c>
      <c r="K1858" t="s">
        <v>38</v>
      </c>
      <c r="L1858" t="s">
        <v>39</v>
      </c>
      <c r="M1858" t="s">
        <v>19</v>
      </c>
      <c r="N1858">
        <v>6</v>
      </c>
      <c r="O1858">
        <v>1</v>
      </c>
      <c r="P1858">
        <v>5416.48</v>
      </c>
      <c r="Q1858">
        <v>2014.82</v>
      </c>
    </row>
    <row r="1859" spans="7:17" x14ac:dyDescent="0.25">
      <c r="G1859" t="str">
        <f t="shared" si="29"/>
        <v/>
      </c>
      <c r="H1859" t="s">
        <v>47</v>
      </c>
      <c r="I1859" t="s">
        <v>10</v>
      </c>
      <c r="J1859" t="s">
        <v>6</v>
      </c>
      <c r="K1859" t="s">
        <v>38</v>
      </c>
      <c r="L1859" t="s">
        <v>39</v>
      </c>
      <c r="M1859" t="s">
        <v>20</v>
      </c>
      <c r="N1859">
        <v>20</v>
      </c>
      <c r="O1859">
        <v>16</v>
      </c>
      <c r="P1859">
        <v>15537.560000000001</v>
      </c>
      <c r="Q1859">
        <v>0</v>
      </c>
    </row>
    <row r="1860" spans="7:17" x14ac:dyDescent="0.25">
      <c r="G1860" t="str">
        <f t="shared" si="29"/>
        <v/>
      </c>
      <c r="H1860" t="s">
        <v>47</v>
      </c>
      <c r="I1860" t="s">
        <v>10</v>
      </c>
      <c r="J1860" t="s">
        <v>6</v>
      </c>
      <c r="K1860" t="s">
        <v>38</v>
      </c>
      <c r="L1860" t="s">
        <v>40</v>
      </c>
      <c r="M1860" t="s">
        <v>20</v>
      </c>
      <c r="N1860">
        <v>15</v>
      </c>
      <c r="O1860">
        <v>5</v>
      </c>
      <c r="P1860">
        <v>12479.2</v>
      </c>
      <c r="Q1860">
        <v>0</v>
      </c>
    </row>
    <row r="1861" spans="7:17" x14ac:dyDescent="0.25">
      <c r="G1861" t="str">
        <f t="shared" si="29"/>
        <v/>
      </c>
      <c r="H1861" t="s">
        <v>47</v>
      </c>
      <c r="I1861" t="s">
        <v>10</v>
      </c>
      <c r="J1861" t="s">
        <v>6</v>
      </c>
      <c r="K1861" t="s">
        <v>38</v>
      </c>
      <c r="L1861" t="s">
        <v>41</v>
      </c>
      <c r="M1861" t="s">
        <v>20</v>
      </c>
      <c r="N1861">
        <v>13</v>
      </c>
      <c r="O1861">
        <v>2</v>
      </c>
      <c r="P1861">
        <v>6145.42</v>
      </c>
      <c r="Q1861">
        <v>0</v>
      </c>
    </row>
    <row r="1862" spans="7:17" x14ac:dyDescent="0.25">
      <c r="G1862" t="str">
        <f t="shared" si="29"/>
        <v/>
      </c>
      <c r="H1862" t="s">
        <v>47</v>
      </c>
      <c r="I1862" t="s">
        <v>10</v>
      </c>
      <c r="J1862" t="s">
        <v>6</v>
      </c>
      <c r="K1862" t="s">
        <v>38</v>
      </c>
      <c r="L1862" t="s">
        <v>45</v>
      </c>
      <c r="M1862" t="s">
        <v>20</v>
      </c>
      <c r="N1862">
        <v>130</v>
      </c>
      <c r="O1862">
        <v>54</v>
      </c>
      <c r="P1862">
        <v>129343.75000000007</v>
      </c>
      <c r="Q1862">
        <v>0</v>
      </c>
    </row>
    <row r="1863" spans="7:17" x14ac:dyDescent="0.25">
      <c r="G1863" t="str">
        <f t="shared" si="29"/>
        <v/>
      </c>
      <c r="H1863" t="s">
        <v>47</v>
      </c>
      <c r="I1863" t="s">
        <v>10</v>
      </c>
      <c r="J1863" t="s">
        <v>3</v>
      </c>
      <c r="K1863" t="s">
        <v>23</v>
      </c>
      <c r="L1863" t="s">
        <v>42</v>
      </c>
      <c r="M1863" t="s">
        <v>19</v>
      </c>
      <c r="N1863">
        <v>1265</v>
      </c>
      <c r="O1863">
        <v>262</v>
      </c>
      <c r="P1863">
        <v>550096.89000000095</v>
      </c>
      <c r="Q1863">
        <v>512305.88000000163</v>
      </c>
    </row>
    <row r="1864" spans="7:17" x14ac:dyDescent="0.25">
      <c r="G1864" t="str">
        <f t="shared" si="29"/>
        <v/>
      </c>
      <c r="H1864" t="s">
        <v>47</v>
      </c>
      <c r="I1864" t="s">
        <v>10</v>
      </c>
      <c r="J1864" t="s">
        <v>3</v>
      </c>
      <c r="K1864" t="s">
        <v>23</v>
      </c>
      <c r="L1864" t="s">
        <v>42</v>
      </c>
      <c r="M1864" t="s">
        <v>20</v>
      </c>
      <c r="N1864">
        <v>299</v>
      </c>
      <c r="O1864">
        <v>77</v>
      </c>
      <c r="P1864">
        <v>89877.41999999994</v>
      </c>
      <c r="Q1864">
        <v>0</v>
      </c>
    </row>
    <row r="1865" spans="7:17" x14ac:dyDescent="0.25">
      <c r="G1865" t="str">
        <f t="shared" si="29"/>
        <v/>
      </c>
      <c r="H1865" t="s">
        <v>47</v>
      </c>
      <c r="I1865" t="s">
        <v>10</v>
      </c>
      <c r="J1865" t="s">
        <v>3</v>
      </c>
      <c r="K1865" t="s">
        <v>23</v>
      </c>
      <c r="L1865" t="s">
        <v>43</v>
      </c>
      <c r="M1865" t="s">
        <v>19</v>
      </c>
      <c r="N1865">
        <v>215</v>
      </c>
      <c r="O1865">
        <v>77</v>
      </c>
      <c r="P1865">
        <v>174377.75999999998</v>
      </c>
      <c r="Q1865">
        <v>100398.42000000007</v>
      </c>
    </row>
    <row r="1866" spans="7:17" x14ac:dyDescent="0.25">
      <c r="G1866" t="str">
        <f t="shared" si="29"/>
        <v/>
      </c>
      <c r="H1866" t="s">
        <v>47</v>
      </c>
      <c r="I1866" t="s">
        <v>10</v>
      </c>
      <c r="J1866" t="s">
        <v>3</v>
      </c>
      <c r="K1866" t="s">
        <v>23</v>
      </c>
      <c r="L1866" t="s">
        <v>43</v>
      </c>
      <c r="M1866" t="s">
        <v>20</v>
      </c>
      <c r="N1866">
        <v>103</v>
      </c>
      <c r="O1866">
        <v>24</v>
      </c>
      <c r="P1866">
        <v>63690.930000000015</v>
      </c>
      <c r="Q1866">
        <v>0</v>
      </c>
    </row>
    <row r="1867" spans="7:17" x14ac:dyDescent="0.25">
      <c r="G1867" t="str">
        <f t="shared" si="29"/>
        <v/>
      </c>
      <c r="H1867" t="s">
        <v>47</v>
      </c>
      <c r="I1867" t="s">
        <v>10</v>
      </c>
      <c r="J1867" t="s">
        <v>3</v>
      </c>
      <c r="K1867" t="s">
        <v>23</v>
      </c>
      <c r="L1867" t="s">
        <v>44</v>
      </c>
      <c r="M1867" t="s">
        <v>19</v>
      </c>
      <c r="N1867">
        <v>156</v>
      </c>
      <c r="O1867">
        <v>53</v>
      </c>
      <c r="P1867">
        <v>164086.27000000002</v>
      </c>
      <c r="Q1867">
        <v>56483.87</v>
      </c>
    </row>
    <row r="1868" spans="7:17" x14ac:dyDescent="0.25">
      <c r="G1868" t="str">
        <f t="shared" si="29"/>
        <v/>
      </c>
      <c r="H1868" t="s">
        <v>47</v>
      </c>
      <c r="I1868" t="s">
        <v>10</v>
      </c>
      <c r="J1868" t="s">
        <v>3</v>
      </c>
      <c r="K1868" t="s">
        <v>23</v>
      </c>
      <c r="L1868" t="s">
        <v>44</v>
      </c>
      <c r="M1868" t="s">
        <v>20</v>
      </c>
      <c r="N1868">
        <v>52</v>
      </c>
      <c r="O1868">
        <v>20</v>
      </c>
      <c r="P1868">
        <v>41720.69000000001</v>
      </c>
      <c r="Q1868">
        <v>0</v>
      </c>
    </row>
    <row r="1869" spans="7:17" x14ac:dyDescent="0.25">
      <c r="G1869" t="str">
        <f t="shared" si="29"/>
        <v/>
      </c>
      <c r="H1869" t="s">
        <v>47</v>
      </c>
      <c r="I1869" t="s">
        <v>10</v>
      </c>
      <c r="J1869" t="s">
        <v>3</v>
      </c>
      <c r="K1869" t="s">
        <v>23</v>
      </c>
      <c r="L1869" t="s">
        <v>39</v>
      </c>
      <c r="M1869" t="s">
        <v>19</v>
      </c>
      <c r="N1869">
        <v>225</v>
      </c>
      <c r="O1869">
        <v>63</v>
      </c>
      <c r="P1869">
        <v>218418.42999999991</v>
      </c>
      <c r="Q1869">
        <v>125427.58000000002</v>
      </c>
    </row>
    <row r="1870" spans="7:17" x14ac:dyDescent="0.25">
      <c r="G1870" t="str">
        <f t="shared" si="29"/>
        <v/>
      </c>
      <c r="H1870" t="s">
        <v>47</v>
      </c>
      <c r="I1870" t="s">
        <v>10</v>
      </c>
      <c r="J1870" t="s">
        <v>3</v>
      </c>
      <c r="K1870" t="s">
        <v>23</v>
      </c>
      <c r="L1870" t="s">
        <v>39</v>
      </c>
      <c r="M1870" t="s">
        <v>20</v>
      </c>
      <c r="N1870">
        <v>23</v>
      </c>
      <c r="O1870">
        <v>12</v>
      </c>
      <c r="P1870">
        <v>15377.240000000002</v>
      </c>
      <c r="Q1870">
        <v>0</v>
      </c>
    </row>
    <row r="1871" spans="7:17" x14ac:dyDescent="0.25">
      <c r="G1871" t="str">
        <f t="shared" si="29"/>
        <v/>
      </c>
      <c r="H1871" t="s">
        <v>47</v>
      </c>
      <c r="I1871" t="s">
        <v>10</v>
      </c>
      <c r="J1871" t="s">
        <v>3</v>
      </c>
      <c r="K1871" t="s">
        <v>23</v>
      </c>
      <c r="L1871" t="s">
        <v>40</v>
      </c>
      <c r="M1871" t="s">
        <v>19</v>
      </c>
      <c r="N1871">
        <v>9</v>
      </c>
      <c r="O1871">
        <v>1</v>
      </c>
      <c r="P1871">
        <v>14879.330000000002</v>
      </c>
      <c r="Q1871">
        <v>9387.0399999999991</v>
      </c>
    </row>
    <row r="1872" spans="7:17" x14ac:dyDescent="0.25">
      <c r="G1872" t="str">
        <f t="shared" si="29"/>
        <v/>
      </c>
      <c r="H1872" t="s">
        <v>47</v>
      </c>
      <c r="I1872" t="s">
        <v>10</v>
      </c>
      <c r="J1872" t="s">
        <v>3</v>
      </c>
      <c r="K1872" t="s">
        <v>23</v>
      </c>
      <c r="L1872" t="s">
        <v>40</v>
      </c>
      <c r="M1872" t="s">
        <v>20</v>
      </c>
      <c r="N1872">
        <v>72</v>
      </c>
      <c r="O1872">
        <v>12</v>
      </c>
      <c r="P1872">
        <v>53625.740000000005</v>
      </c>
      <c r="Q1872">
        <v>0</v>
      </c>
    </row>
    <row r="1873" spans="7:17" x14ac:dyDescent="0.25">
      <c r="G1873" t="str">
        <f t="shared" si="29"/>
        <v/>
      </c>
      <c r="H1873" t="s">
        <v>47</v>
      </c>
      <c r="I1873" t="s">
        <v>10</v>
      </c>
      <c r="J1873" t="s">
        <v>3</v>
      </c>
      <c r="K1873" t="s">
        <v>23</v>
      </c>
      <c r="L1873" t="s">
        <v>41</v>
      </c>
      <c r="M1873" t="s">
        <v>19</v>
      </c>
      <c r="N1873">
        <v>11</v>
      </c>
      <c r="O1873">
        <v>5</v>
      </c>
      <c r="P1873">
        <v>12274.650000000001</v>
      </c>
      <c r="Q1873">
        <v>1153.8900000000001</v>
      </c>
    </row>
    <row r="1874" spans="7:17" x14ac:dyDescent="0.25">
      <c r="G1874" t="str">
        <f t="shared" si="29"/>
        <v/>
      </c>
      <c r="H1874" t="s">
        <v>47</v>
      </c>
      <c r="I1874" t="s">
        <v>10</v>
      </c>
      <c r="J1874" t="s">
        <v>3</v>
      </c>
      <c r="K1874" t="s">
        <v>23</v>
      </c>
      <c r="L1874" t="s">
        <v>41</v>
      </c>
      <c r="M1874" t="s">
        <v>20</v>
      </c>
      <c r="N1874">
        <v>68</v>
      </c>
      <c r="O1874">
        <v>12</v>
      </c>
      <c r="P1874">
        <v>63676.24</v>
      </c>
      <c r="Q1874">
        <v>0</v>
      </c>
    </row>
    <row r="1875" spans="7:17" x14ac:dyDescent="0.25">
      <c r="G1875" t="str">
        <f t="shared" si="29"/>
        <v/>
      </c>
      <c r="H1875" t="s">
        <v>47</v>
      </c>
      <c r="I1875" t="s">
        <v>10</v>
      </c>
      <c r="J1875" t="s">
        <v>3</v>
      </c>
      <c r="K1875" t="s">
        <v>23</v>
      </c>
      <c r="L1875" t="s">
        <v>45</v>
      </c>
      <c r="M1875" t="s">
        <v>19</v>
      </c>
      <c r="N1875">
        <v>21</v>
      </c>
      <c r="O1875">
        <v>11</v>
      </c>
      <c r="P1875">
        <v>30235.930000000004</v>
      </c>
      <c r="Q1875">
        <v>14082.19</v>
      </c>
    </row>
    <row r="1876" spans="7:17" x14ac:dyDescent="0.25">
      <c r="G1876" t="str">
        <f t="shared" si="29"/>
        <v/>
      </c>
      <c r="H1876" t="s">
        <v>47</v>
      </c>
      <c r="I1876" t="s">
        <v>10</v>
      </c>
      <c r="J1876" t="s">
        <v>3</v>
      </c>
      <c r="K1876" t="s">
        <v>23</v>
      </c>
      <c r="L1876" t="s">
        <v>45</v>
      </c>
      <c r="M1876" t="s">
        <v>20</v>
      </c>
      <c r="N1876">
        <v>317</v>
      </c>
      <c r="O1876">
        <v>109</v>
      </c>
      <c r="P1876">
        <v>293392.56999999972</v>
      </c>
      <c r="Q1876">
        <v>0</v>
      </c>
    </row>
    <row r="1877" spans="7:17" x14ac:dyDescent="0.25">
      <c r="G1877" t="str">
        <f t="shared" si="29"/>
        <v/>
      </c>
      <c r="H1877" t="s">
        <v>47</v>
      </c>
      <c r="I1877" t="s">
        <v>10</v>
      </c>
      <c r="J1877" t="s">
        <v>3</v>
      </c>
      <c r="K1877" t="s">
        <v>24</v>
      </c>
      <c r="L1877" t="s">
        <v>42</v>
      </c>
      <c r="M1877" t="s">
        <v>19</v>
      </c>
      <c r="N1877">
        <v>539</v>
      </c>
      <c r="O1877">
        <v>81</v>
      </c>
      <c r="P1877">
        <v>214660.45000000007</v>
      </c>
      <c r="Q1877">
        <v>197511.04000000053</v>
      </c>
    </row>
    <row r="1878" spans="7:17" x14ac:dyDescent="0.25">
      <c r="G1878" t="str">
        <f t="shared" si="29"/>
        <v/>
      </c>
      <c r="H1878" t="s">
        <v>47</v>
      </c>
      <c r="I1878" t="s">
        <v>10</v>
      </c>
      <c r="J1878" t="s">
        <v>3</v>
      </c>
      <c r="K1878" t="s">
        <v>24</v>
      </c>
      <c r="L1878" t="s">
        <v>42</v>
      </c>
      <c r="M1878" t="s">
        <v>20</v>
      </c>
      <c r="N1878">
        <v>128</v>
      </c>
      <c r="O1878">
        <v>22</v>
      </c>
      <c r="P1878">
        <v>49159.539999999986</v>
      </c>
      <c r="Q1878">
        <v>0</v>
      </c>
    </row>
    <row r="1879" spans="7:17" x14ac:dyDescent="0.25">
      <c r="G1879" t="str">
        <f t="shared" si="29"/>
        <v/>
      </c>
      <c r="H1879" t="s">
        <v>47</v>
      </c>
      <c r="I1879" t="s">
        <v>10</v>
      </c>
      <c r="J1879" t="s">
        <v>3</v>
      </c>
      <c r="K1879" t="s">
        <v>24</v>
      </c>
      <c r="L1879" t="s">
        <v>43</v>
      </c>
      <c r="M1879" t="s">
        <v>19</v>
      </c>
      <c r="N1879">
        <v>72</v>
      </c>
      <c r="O1879">
        <v>14</v>
      </c>
      <c r="P1879">
        <v>52028.650000000016</v>
      </c>
      <c r="Q1879">
        <v>22812.920000000002</v>
      </c>
    </row>
    <row r="1880" spans="7:17" x14ac:dyDescent="0.25">
      <c r="G1880" t="str">
        <f t="shared" si="29"/>
        <v/>
      </c>
      <c r="H1880" t="s">
        <v>47</v>
      </c>
      <c r="I1880" t="s">
        <v>10</v>
      </c>
      <c r="J1880" t="s">
        <v>3</v>
      </c>
      <c r="K1880" t="s">
        <v>24</v>
      </c>
      <c r="L1880" t="s">
        <v>43</v>
      </c>
      <c r="M1880" t="s">
        <v>20</v>
      </c>
      <c r="N1880">
        <v>141</v>
      </c>
      <c r="O1880">
        <v>15</v>
      </c>
      <c r="P1880">
        <v>105457.43999999994</v>
      </c>
      <c r="Q1880">
        <v>0</v>
      </c>
    </row>
    <row r="1881" spans="7:17" x14ac:dyDescent="0.25">
      <c r="G1881" t="str">
        <f t="shared" si="29"/>
        <v/>
      </c>
      <c r="H1881" t="s">
        <v>47</v>
      </c>
      <c r="I1881" t="s">
        <v>10</v>
      </c>
      <c r="J1881" t="s">
        <v>3</v>
      </c>
      <c r="K1881" t="s">
        <v>24</v>
      </c>
      <c r="L1881" t="s">
        <v>44</v>
      </c>
      <c r="M1881" t="s">
        <v>19</v>
      </c>
      <c r="N1881">
        <v>71</v>
      </c>
      <c r="O1881">
        <v>18</v>
      </c>
      <c r="P1881">
        <v>70776.960000000006</v>
      </c>
      <c r="Q1881">
        <v>29952.659999999993</v>
      </c>
    </row>
    <row r="1882" spans="7:17" x14ac:dyDescent="0.25">
      <c r="G1882" t="str">
        <f t="shared" si="29"/>
        <v/>
      </c>
      <c r="H1882" t="s">
        <v>47</v>
      </c>
      <c r="I1882" t="s">
        <v>10</v>
      </c>
      <c r="J1882" t="s">
        <v>3</v>
      </c>
      <c r="K1882" t="s">
        <v>24</v>
      </c>
      <c r="L1882" t="s">
        <v>44</v>
      </c>
      <c r="M1882" t="s">
        <v>20</v>
      </c>
      <c r="N1882">
        <v>10</v>
      </c>
      <c r="O1882">
        <v>5</v>
      </c>
      <c r="P1882">
        <v>8026.7400000000007</v>
      </c>
      <c r="Q1882">
        <v>0</v>
      </c>
    </row>
    <row r="1883" spans="7:17" x14ac:dyDescent="0.25">
      <c r="G1883" t="str">
        <f t="shared" si="29"/>
        <v/>
      </c>
      <c r="H1883" t="s">
        <v>47</v>
      </c>
      <c r="I1883" t="s">
        <v>10</v>
      </c>
      <c r="J1883" t="s">
        <v>3</v>
      </c>
      <c r="K1883" t="s">
        <v>24</v>
      </c>
      <c r="L1883" t="s">
        <v>39</v>
      </c>
      <c r="M1883" t="s">
        <v>19</v>
      </c>
      <c r="N1883">
        <v>57</v>
      </c>
      <c r="O1883">
        <v>17</v>
      </c>
      <c r="P1883">
        <v>74598.760000000024</v>
      </c>
      <c r="Q1883">
        <v>30482.459999999992</v>
      </c>
    </row>
    <row r="1884" spans="7:17" x14ac:dyDescent="0.25">
      <c r="G1884" t="str">
        <f t="shared" si="29"/>
        <v/>
      </c>
      <c r="H1884" t="s">
        <v>47</v>
      </c>
      <c r="I1884" t="s">
        <v>10</v>
      </c>
      <c r="J1884" t="s">
        <v>3</v>
      </c>
      <c r="K1884" t="s">
        <v>24</v>
      </c>
      <c r="L1884" t="s">
        <v>39</v>
      </c>
      <c r="M1884" t="s">
        <v>20</v>
      </c>
      <c r="N1884">
        <v>15</v>
      </c>
      <c r="O1884">
        <v>4</v>
      </c>
      <c r="P1884">
        <v>9681.43</v>
      </c>
      <c r="Q1884">
        <v>0</v>
      </c>
    </row>
    <row r="1885" spans="7:17" x14ac:dyDescent="0.25">
      <c r="G1885" t="str">
        <f t="shared" si="29"/>
        <v/>
      </c>
      <c r="H1885" t="s">
        <v>47</v>
      </c>
      <c r="I1885" t="s">
        <v>10</v>
      </c>
      <c r="J1885" t="s">
        <v>3</v>
      </c>
      <c r="K1885" t="s">
        <v>24</v>
      </c>
      <c r="L1885" t="s">
        <v>40</v>
      </c>
      <c r="M1885" t="s">
        <v>19</v>
      </c>
      <c r="N1885">
        <v>8</v>
      </c>
      <c r="O1885">
        <v>0</v>
      </c>
      <c r="P1885">
        <v>7273.96</v>
      </c>
      <c r="Q1885">
        <v>3723.7999999999997</v>
      </c>
    </row>
    <row r="1886" spans="7:17" x14ac:dyDescent="0.25">
      <c r="G1886" t="str">
        <f t="shared" si="29"/>
        <v/>
      </c>
      <c r="H1886" t="s">
        <v>47</v>
      </c>
      <c r="I1886" t="s">
        <v>10</v>
      </c>
      <c r="J1886" t="s">
        <v>3</v>
      </c>
      <c r="K1886" t="s">
        <v>24</v>
      </c>
      <c r="L1886" t="s">
        <v>40</v>
      </c>
      <c r="M1886" t="s">
        <v>20</v>
      </c>
      <c r="N1886">
        <v>18</v>
      </c>
      <c r="O1886">
        <v>4</v>
      </c>
      <c r="P1886">
        <v>15922.100000000002</v>
      </c>
      <c r="Q1886">
        <v>0</v>
      </c>
    </row>
    <row r="1887" spans="7:17" x14ac:dyDescent="0.25">
      <c r="G1887" t="str">
        <f t="shared" si="29"/>
        <v/>
      </c>
      <c r="H1887" t="s">
        <v>47</v>
      </c>
      <c r="I1887" t="s">
        <v>10</v>
      </c>
      <c r="J1887" t="s">
        <v>3</v>
      </c>
      <c r="K1887" t="s">
        <v>24</v>
      </c>
      <c r="L1887" t="s">
        <v>41</v>
      </c>
      <c r="M1887" t="s">
        <v>19</v>
      </c>
      <c r="N1887">
        <v>2</v>
      </c>
      <c r="O1887">
        <v>0</v>
      </c>
      <c r="P1887">
        <v>1580.12</v>
      </c>
      <c r="Q1887">
        <v>796.5</v>
      </c>
    </row>
    <row r="1888" spans="7:17" x14ac:dyDescent="0.25">
      <c r="G1888" t="str">
        <f t="shared" si="29"/>
        <v/>
      </c>
      <c r="H1888" t="s">
        <v>47</v>
      </c>
      <c r="I1888" t="s">
        <v>10</v>
      </c>
      <c r="J1888" t="s">
        <v>3</v>
      </c>
      <c r="K1888" t="s">
        <v>24</v>
      </c>
      <c r="L1888" t="s">
        <v>41</v>
      </c>
      <c r="M1888" t="s">
        <v>20</v>
      </c>
      <c r="N1888">
        <v>6</v>
      </c>
      <c r="O1888">
        <v>1</v>
      </c>
      <c r="P1888">
        <v>3976.4900000000002</v>
      </c>
      <c r="Q1888">
        <v>0</v>
      </c>
    </row>
    <row r="1889" spans="7:17" x14ac:dyDescent="0.25">
      <c r="G1889" t="str">
        <f t="shared" si="29"/>
        <v/>
      </c>
      <c r="H1889" t="s">
        <v>47</v>
      </c>
      <c r="I1889" t="s">
        <v>10</v>
      </c>
      <c r="J1889" t="s">
        <v>3</v>
      </c>
      <c r="K1889" t="s">
        <v>24</v>
      </c>
      <c r="L1889" t="s">
        <v>45</v>
      </c>
      <c r="M1889" t="s">
        <v>19</v>
      </c>
      <c r="N1889">
        <v>5</v>
      </c>
      <c r="O1889">
        <v>2</v>
      </c>
      <c r="P1889">
        <v>5406.7199999999993</v>
      </c>
      <c r="Q1889">
        <v>236</v>
      </c>
    </row>
    <row r="1890" spans="7:17" x14ac:dyDescent="0.25">
      <c r="G1890" t="str">
        <f t="shared" si="29"/>
        <v/>
      </c>
      <c r="H1890" t="s">
        <v>47</v>
      </c>
      <c r="I1890" t="s">
        <v>10</v>
      </c>
      <c r="J1890" t="s">
        <v>3</v>
      </c>
      <c r="K1890" t="s">
        <v>24</v>
      </c>
      <c r="L1890" t="s">
        <v>45</v>
      </c>
      <c r="M1890" t="s">
        <v>20</v>
      </c>
      <c r="N1890">
        <v>112</v>
      </c>
      <c r="O1890">
        <v>34</v>
      </c>
      <c r="P1890">
        <v>93876.129999999946</v>
      </c>
      <c r="Q1890">
        <v>0</v>
      </c>
    </row>
    <row r="1891" spans="7:17" x14ac:dyDescent="0.25">
      <c r="G1891" t="str">
        <f t="shared" si="29"/>
        <v/>
      </c>
      <c r="H1891" t="s">
        <v>47</v>
      </c>
      <c r="I1891" t="s">
        <v>10</v>
      </c>
      <c r="J1891" t="s">
        <v>3</v>
      </c>
      <c r="K1891" t="s">
        <v>25</v>
      </c>
      <c r="L1891" t="s">
        <v>42</v>
      </c>
      <c r="M1891" t="s">
        <v>19</v>
      </c>
      <c r="N1891">
        <v>1068</v>
      </c>
      <c r="O1891">
        <v>299</v>
      </c>
      <c r="P1891">
        <v>442560.99000000145</v>
      </c>
      <c r="Q1891">
        <v>427555.32000000129</v>
      </c>
    </row>
    <row r="1892" spans="7:17" x14ac:dyDescent="0.25">
      <c r="G1892" t="str">
        <f t="shared" si="29"/>
        <v/>
      </c>
      <c r="H1892" t="s">
        <v>47</v>
      </c>
      <c r="I1892" t="s">
        <v>10</v>
      </c>
      <c r="J1892" t="s">
        <v>3</v>
      </c>
      <c r="K1892" t="s">
        <v>25</v>
      </c>
      <c r="L1892" t="s">
        <v>42</v>
      </c>
      <c r="M1892" t="s">
        <v>20</v>
      </c>
      <c r="N1892">
        <v>389</v>
      </c>
      <c r="O1892">
        <v>89</v>
      </c>
      <c r="P1892">
        <v>112928.86000000002</v>
      </c>
      <c r="Q1892">
        <v>0</v>
      </c>
    </row>
    <row r="1893" spans="7:17" x14ac:dyDescent="0.25">
      <c r="G1893" t="str">
        <f t="shared" si="29"/>
        <v/>
      </c>
      <c r="H1893" t="s">
        <v>47</v>
      </c>
      <c r="I1893" t="s">
        <v>10</v>
      </c>
      <c r="J1893" t="s">
        <v>3</v>
      </c>
      <c r="K1893" t="s">
        <v>25</v>
      </c>
      <c r="L1893" t="s">
        <v>43</v>
      </c>
      <c r="M1893" t="s">
        <v>19</v>
      </c>
      <c r="N1893">
        <v>237</v>
      </c>
      <c r="O1893">
        <v>69</v>
      </c>
      <c r="P1893">
        <v>211165.16999999987</v>
      </c>
      <c r="Q1893">
        <v>86230.52</v>
      </c>
    </row>
    <row r="1894" spans="7:17" x14ac:dyDescent="0.25">
      <c r="G1894" t="str">
        <f t="shared" si="29"/>
        <v/>
      </c>
      <c r="H1894" t="s">
        <v>47</v>
      </c>
      <c r="I1894" t="s">
        <v>10</v>
      </c>
      <c r="J1894" t="s">
        <v>3</v>
      </c>
      <c r="K1894" t="s">
        <v>25</v>
      </c>
      <c r="L1894" t="s">
        <v>43</v>
      </c>
      <c r="M1894" t="s">
        <v>20</v>
      </c>
      <c r="N1894">
        <v>86</v>
      </c>
      <c r="O1894">
        <v>30</v>
      </c>
      <c r="P1894">
        <v>71290.039999999994</v>
      </c>
      <c r="Q1894">
        <v>0</v>
      </c>
    </row>
    <row r="1895" spans="7:17" x14ac:dyDescent="0.25">
      <c r="G1895" t="str">
        <f t="shared" si="29"/>
        <v/>
      </c>
      <c r="H1895" t="s">
        <v>47</v>
      </c>
      <c r="I1895" t="s">
        <v>10</v>
      </c>
      <c r="J1895" t="s">
        <v>3</v>
      </c>
      <c r="K1895" t="s">
        <v>25</v>
      </c>
      <c r="L1895" t="s">
        <v>44</v>
      </c>
      <c r="M1895" t="s">
        <v>19</v>
      </c>
      <c r="N1895">
        <v>432</v>
      </c>
      <c r="O1895">
        <v>107</v>
      </c>
      <c r="P1895">
        <v>401308.26000000018</v>
      </c>
      <c r="Q1895">
        <v>187395.29000000012</v>
      </c>
    </row>
    <row r="1896" spans="7:17" x14ac:dyDescent="0.25">
      <c r="G1896" t="str">
        <f t="shared" si="29"/>
        <v/>
      </c>
      <c r="H1896" t="s">
        <v>47</v>
      </c>
      <c r="I1896" t="s">
        <v>10</v>
      </c>
      <c r="J1896" t="s">
        <v>3</v>
      </c>
      <c r="K1896" t="s">
        <v>25</v>
      </c>
      <c r="L1896" t="s">
        <v>44</v>
      </c>
      <c r="M1896" t="s">
        <v>20</v>
      </c>
      <c r="N1896">
        <v>144</v>
      </c>
      <c r="O1896">
        <v>24</v>
      </c>
      <c r="P1896">
        <v>121256.13999999987</v>
      </c>
      <c r="Q1896">
        <v>0</v>
      </c>
    </row>
    <row r="1897" spans="7:17" x14ac:dyDescent="0.25">
      <c r="G1897" t="str">
        <f t="shared" si="29"/>
        <v/>
      </c>
      <c r="H1897" t="s">
        <v>47</v>
      </c>
      <c r="I1897" t="s">
        <v>10</v>
      </c>
      <c r="J1897" t="s">
        <v>3</v>
      </c>
      <c r="K1897" t="s">
        <v>25</v>
      </c>
      <c r="L1897" t="s">
        <v>39</v>
      </c>
      <c r="M1897" t="s">
        <v>19</v>
      </c>
      <c r="N1897">
        <v>137</v>
      </c>
      <c r="O1897">
        <v>79</v>
      </c>
      <c r="P1897">
        <v>159768.56</v>
      </c>
      <c r="Q1897">
        <v>77921.239999999976</v>
      </c>
    </row>
    <row r="1898" spans="7:17" x14ac:dyDescent="0.25">
      <c r="G1898" t="str">
        <f t="shared" si="29"/>
        <v/>
      </c>
      <c r="H1898" t="s">
        <v>47</v>
      </c>
      <c r="I1898" t="s">
        <v>10</v>
      </c>
      <c r="J1898" t="s">
        <v>3</v>
      </c>
      <c r="K1898" t="s">
        <v>25</v>
      </c>
      <c r="L1898" t="s">
        <v>39</v>
      </c>
      <c r="M1898" t="s">
        <v>20</v>
      </c>
      <c r="N1898">
        <v>66</v>
      </c>
      <c r="O1898">
        <v>22</v>
      </c>
      <c r="P1898">
        <v>32078.989999999994</v>
      </c>
      <c r="Q1898">
        <v>0</v>
      </c>
    </row>
    <row r="1899" spans="7:17" x14ac:dyDescent="0.25">
      <c r="G1899" t="str">
        <f t="shared" si="29"/>
        <v/>
      </c>
      <c r="H1899" t="s">
        <v>47</v>
      </c>
      <c r="I1899" t="s">
        <v>10</v>
      </c>
      <c r="J1899" t="s">
        <v>3</v>
      </c>
      <c r="K1899" t="s">
        <v>25</v>
      </c>
      <c r="L1899" t="s">
        <v>40</v>
      </c>
      <c r="M1899" t="s">
        <v>19</v>
      </c>
      <c r="N1899">
        <v>16</v>
      </c>
      <c r="O1899">
        <v>4</v>
      </c>
      <c r="P1899">
        <v>18422.400000000001</v>
      </c>
      <c r="Q1899">
        <v>12457.320000000002</v>
      </c>
    </row>
    <row r="1900" spans="7:17" x14ac:dyDescent="0.25">
      <c r="G1900" t="str">
        <f t="shared" si="29"/>
        <v/>
      </c>
      <c r="H1900" t="s">
        <v>47</v>
      </c>
      <c r="I1900" t="s">
        <v>10</v>
      </c>
      <c r="J1900" t="s">
        <v>3</v>
      </c>
      <c r="K1900" t="s">
        <v>25</v>
      </c>
      <c r="L1900" t="s">
        <v>40</v>
      </c>
      <c r="M1900" t="s">
        <v>20</v>
      </c>
      <c r="N1900">
        <v>68</v>
      </c>
      <c r="O1900">
        <v>10</v>
      </c>
      <c r="P1900">
        <v>58249.34</v>
      </c>
      <c r="Q1900">
        <v>0</v>
      </c>
    </row>
    <row r="1901" spans="7:17" x14ac:dyDescent="0.25">
      <c r="G1901" t="str">
        <f t="shared" si="29"/>
        <v/>
      </c>
      <c r="H1901" t="s">
        <v>47</v>
      </c>
      <c r="I1901" t="s">
        <v>10</v>
      </c>
      <c r="J1901" t="s">
        <v>3</v>
      </c>
      <c r="K1901" t="s">
        <v>25</v>
      </c>
      <c r="L1901" t="s">
        <v>41</v>
      </c>
      <c r="M1901" t="s">
        <v>19</v>
      </c>
      <c r="N1901">
        <v>8</v>
      </c>
      <c r="O1901">
        <v>6</v>
      </c>
      <c r="P1901">
        <v>7736.96</v>
      </c>
      <c r="Q1901">
        <v>2503.4100000000003</v>
      </c>
    </row>
    <row r="1902" spans="7:17" x14ac:dyDescent="0.25">
      <c r="G1902" t="str">
        <f t="shared" si="29"/>
        <v/>
      </c>
      <c r="H1902" t="s">
        <v>47</v>
      </c>
      <c r="I1902" t="s">
        <v>10</v>
      </c>
      <c r="J1902" t="s">
        <v>3</v>
      </c>
      <c r="K1902" t="s">
        <v>25</v>
      </c>
      <c r="L1902" t="s">
        <v>41</v>
      </c>
      <c r="M1902" t="s">
        <v>20</v>
      </c>
      <c r="N1902">
        <v>56</v>
      </c>
      <c r="O1902">
        <v>15</v>
      </c>
      <c r="P1902">
        <v>53750.180000000008</v>
      </c>
      <c r="Q1902">
        <v>0</v>
      </c>
    </row>
    <row r="1903" spans="7:17" x14ac:dyDescent="0.25">
      <c r="G1903" t="str">
        <f t="shared" si="29"/>
        <v/>
      </c>
      <c r="H1903" t="s">
        <v>47</v>
      </c>
      <c r="I1903" t="s">
        <v>10</v>
      </c>
      <c r="J1903" t="s">
        <v>3</v>
      </c>
      <c r="K1903" t="s">
        <v>25</v>
      </c>
      <c r="L1903" t="s">
        <v>45</v>
      </c>
      <c r="M1903" t="s">
        <v>19</v>
      </c>
      <c r="N1903">
        <v>13</v>
      </c>
      <c r="O1903">
        <v>6</v>
      </c>
      <c r="P1903">
        <v>15613.34</v>
      </c>
      <c r="Q1903">
        <v>631.85</v>
      </c>
    </row>
    <row r="1904" spans="7:17" x14ac:dyDescent="0.25">
      <c r="G1904" t="str">
        <f t="shared" si="29"/>
        <v/>
      </c>
      <c r="H1904" t="s">
        <v>47</v>
      </c>
      <c r="I1904" t="s">
        <v>10</v>
      </c>
      <c r="J1904" t="s">
        <v>3</v>
      </c>
      <c r="K1904" t="s">
        <v>25</v>
      </c>
      <c r="L1904" t="s">
        <v>45</v>
      </c>
      <c r="M1904" t="s">
        <v>20</v>
      </c>
      <c r="N1904">
        <v>287</v>
      </c>
      <c r="O1904">
        <v>83</v>
      </c>
      <c r="P1904">
        <v>310416.66999999969</v>
      </c>
      <c r="Q1904">
        <v>0</v>
      </c>
    </row>
    <row r="1905" spans="7:17" x14ac:dyDescent="0.25">
      <c r="G1905" t="str">
        <f t="shared" si="29"/>
        <v/>
      </c>
      <c r="H1905" t="s">
        <v>47</v>
      </c>
      <c r="I1905" t="s">
        <v>10</v>
      </c>
      <c r="J1905" t="s">
        <v>3</v>
      </c>
      <c r="K1905" t="s">
        <v>26</v>
      </c>
      <c r="L1905" t="s">
        <v>42</v>
      </c>
      <c r="M1905" t="s">
        <v>19</v>
      </c>
      <c r="N1905">
        <v>1096</v>
      </c>
      <c r="O1905">
        <v>400</v>
      </c>
      <c r="P1905">
        <v>491578.72999999992</v>
      </c>
      <c r="Q1905">
        <v>484308.73999999993</v>
      </c>
    </row>
    <row r="1906" spans="7:17" x14ac:dyDescent="0.25">
      <c r="G1906" t="str">
        <f t="shared" si="29"/>
        <v/>
      </c>
      <c r="H1906" t="s">
        <v>47</v>
      </c>
      <c r="I1906" t="s">
        <v>10</v>
      </c>
      <c r="J1906" t="s">
        <v>3</v>
      </c>
      <c r="K1906" t="s">
        <v>26</v>
      </c>
      <c r="L1906" t="s">
        <v>42</v>
      </c>
      <c r="M1906" t="s">
        <v>20</v>
      </c>
      <c r="N1906">
        <v>472</v>
      </c>
      <c r="O1906">
        <v>163</v>
      </c>
      <c r="P1906">
        <v>138798.1200000002</v>
      </c>
      <c r="Q1906">
        <v>0</v>
      </c>
    </row>
    <row r="1907" spans="7:17" x14ac:dyDescent="0.25">
      <c r="G1907" t="str">
        <f t="shared" si="29"/>
        <v/>
      </c>
      <c r="H1907" t="s">
        <v>47</v>
      </c>
      <c r="I1907" t="s">
        <v>10</v>
      </c>
      <c r="J1907" t="s">
        <v>3</v>
      </c>
      <c r="K1907" t="s">
        <v>26</v>
      </c>
      <c r="L1907" t="s">
        <v>43</v>
      </c>
      <c r="M1907" t="s">
        <v>19</v>
      </c>
      <c r="N1907">
        <v>169</v>
      </c>
      <c r="O1907">
        <v>68</v>
      </c>
      <c r="P1907">
        <v>136900.51</v>
      </c>
      <c r="Q1907">
        <v>119502.61</v>
      </c>
    </row>
    <row r="1908" spans="7:17" x14ac:dyDescent="0.25">
      <c r="G1908" t="str">
        <f t="shared" si="29"/>
        <v/>
      </c>
      <c r="H1908" t="s">
        <v>47</v>
      </c>
      <c r="I1908" t="s">
        <v>10</v>
      </c>
      <c r="J1908" t="s">
        <v>3</v>
      </c>
      <c r="K1908" t="s">
        <v>26</v>
      </c>
      <c r="L1908" t="s">
        <v>43</v>
      </c>
      <c r="M1908" t="s">
        <v>20</v>
      </c>
      <c r="N1908">
        <v>192</v>
      </c>
      <c r="O1908">
        <v>65</v>
      </c>
      <c r="P1908">
        <v>155158.76000000007</v>
      </c>
      <c r="Q1908">
        <v>0</v>
      </c>
    </row>
    <row r="1909" spans="7:17" x14ac:dyDescent="0.25">
      <c r="G1909" t="str">
        <f t="shared" si="29"/>
        <v/>
      </c>
      <c r="H1909" t="s">
        <v>47</v>
      </c>
      <c r="I1909" t="s">
        <v>10</v>
      </c>
      <c r="J1909" t="s">
        <v>3</v>
      </c>
      <c r="K1909" t="s">
        <v>26</v>
      </c>
      <c r="L1909" t="s">
        <v>44</v>
      </c>
      <c r="M1909" t="s">
        <v>19</v>
      </c>
      <c r="N1909">
        <v>22</v>
      </c>
      <c r="O1909">
        <v>11</v>
      </c>
      <c r="P1909">
        <v>21959.53</v>
      </c>
      <c r="Q1909">
        <v>16490.82</v>
      </c>
    </row>
    <row r="1910" spans="7:17" x14ac:dyDescent="0.25">
      <c r="G1910" t="str">
        <f t="shared" si="29"/>
        <v/>
      </c>
      <c r="H1910" t="s">
        <v>47</v>
      </c>
      <c r="I1910" t="s">
        <v>10</v>
      </c>
      <c r="J1910" t="s">
        <v>3</v>
      </c>
      <c r="K1910" t="s">
        <v>26</v>
      </c>
      <c r="L1910" t="s">
        <v>44</v>
      </c>
      <c r="M1910" t="s">
        <v>20</v>
      </c>
      <c r="N1910">
        <v>238</v>
      </c>
      <c r="O1910">
        <v>111</v>
      </c>
      <c r="P1910">
        <v>221148.50999999995</v>
      </c>
      <c r="Q1910">
        <v>0</v>
      </c>
    </row>
    <row r="1911" spans="7:17" x14ac:dyDescent="0.25">
      <c r="G1911" t="str">
        <f t="shared" si="29"/>
        <v/>
      </c>
      <c r="H1911" t="s">
        <v>47</v>
      </c>
      <c r="I1911" t="s">
        <v>10</v>
      </c>
      <c r="J1911" t="s">
        <v>3</v>
      </c>
      <c r="K1911" t="s">
        <v>26</v>
      </c>
      <c r="L1911" t="s">
        <v>39</v>
      </c>
      <c r="M1911" t="s">
        <v>19</v>
      </c>
      <c r="N1911">
        <v>43</v>
      </c>
      <c r="O1911">
        <v>26</v>
      </c>
      <c r="P1911">
        <v>52221.849999999991</v>
      </c>
      <c r="Q1911">
        <v>25402.050000000003</v>
      </c>
    </row>
    <row r="1912" spans="7:17" x14ac:dyDescent="0.25">
      <c r="G1912" t="str">
        <f t="shared" si="29"/>
        <v/>
      </c>
      <c r="H1912" t="s">
        <v>47</v>
      </c>
      <c r="I1912" t="s">
        <v>10</v>
      </c>
      <c r="J1912" t="s">
        <v>3</v>
      </c>
      <c r="K1912" t="s">
        <v>26</v>
      </c>
      <c r="L1912" t="s">
        <v>39</v>
      </c>
      <c r="M1912" t="s">
        <v>20</v>
      </c>
      <c r="N1912">
        <v>182</v>
      </c>
      <c r="O1912">
        <v>121</v>
      </c>
      <c r="P1912">
        <v>160694.27000000005</v>
      </c>
      <c r="Q1912">
        <v>0</v>
      </c>
    </row>
    <row r="1913" spans="7:17" x14ac:dyDescent="0.25">
      <c r="G1913" t="str">
        <f t="shared" si="29"/>
        <v/>
      </c>
      <c r="H1913" t="s">
        <v>47</v>
      </c>
      <c r="I1913" t="s">
        <v>10</v>
      </c>
      <c r="J1913" t="s">
        <v>3</v>
      </c>
      <c r="K1913" t="s">
        <v>26</v>
      </c>
      <c r="L1913" t="s">
        <v>40</v>
      </c>
      <c r="M1913" t="s">
        <v>19</v>
      </c>
      <c r="N1913">
        <v>5</v>
      </c>
      <c r="O1913">
        <v>1</v>
      </c>
      <c r="P1913">
        <v>5330.7099999999991</v>
      </c>
      <c r="Q1913">
        <v>2643.04</v>
      </c>
    </row>
    <row r="1914" spans="7:17" x14ac:dyDescent="0.25">
      <c r="G1914" t="str">
        <f t="shared" si="29"/>
        <v/>
      </c>
      <c r="H1914" t="s">
        <v>47</v>
      </c>
      <c r="I1914" t="s">
        <v>10</v>
      </c>
      <c r="J1914" t="s">
        <v>3</v>
      </c>
      <c r="K1914" t="s">
        <v>26</v>
      </c>
      <c r="L1914" t="s">
        <v>40</v>
      </c>
      <c r="M1914" t="s">
        <v>20</v>
      </c>
      <c r="N1914">
        <v>80</v>
      </c>
      <c r="O1914">
        <v>28</v>
      </c>
      <c r="P1914">
        <v>66711.74000000002</v>
      </c>
      <c r="Q1914">
        <v>0</v>
      </c>
    </row>
    <row r="1915" spans="7:17" x14ac:dyDescent="0.25">
      <c r="G1915" t="str">
        <f t="shared" si="29"/>
        <v/>
      </c>
      <c r="H1915" t="s">
        <v>47</v>
      </c>
      <c r="I1915" t="s">
        <v>10</v>
      </c>
      <c r="J1915" t="s">
        <v>3</v>
      </c>
      <c r="K1915" t="s">
        <v>26</v>
      </c>
      <c r="L1915" t="s">
        <v>41</v>
      </c>
      <c r="M1915" t="s">
        <v>19</v>
      </c>
      <c r="N1915">
        <v>7</v>
      </c>
      <c r="O1915">
        <v>3</v>
      </c>
      <c r="P1915">
        <v>8164.2999999999993</v>
      </c>
      <c r="Q1915">
        <v>6517.6799999999994</v>
      </c>
    </row>
    <row r="1916" spans="7:17" x14ac:dyDescent="0.25">
      <c r="G1916" t="str">
        <f t="shared" si="29"/>
        <v/>
      </c>
      <c r="H1916" t="s">
        <v>47</v>
      </c>
      <c r="I1916" t="s">
        <v>10</v>
      </c>
      <c r="J1916" t="s">
        <v>3</v>
      </c>
      <c r="K1916" t="s">
        <v>26</v>
      </c>
      <c r="L1916" t="s">
        <v>41</v>
      </c>
      <c r="M1916" t="s">
        <v>20</v>
      </c>
      <c r="N1916">
        <v>60</v>
      </c>
      <c r="O1916">
        <v>25</v>
      </c>
      <c r="P1916">
        <v>45663.909999999989</v>
      </c>
      <c r="Q1916">
        <v>0</v>
      </c>
    </row>
    <row r="1917" spans="7:17" x14ac:dyDescent="0.25">
      <c r="G1917" t="str">
        <f t="shared" si="29"/>
        <v/>
      </c>
      <c r="H1917" t="s">
        <v>47</v>
      </c>
      <c r="I1917" t="s">
        <v>10</v>
      </c>
      <c r="J1917" t="s">
        <v>3</v>
      </c>
      <c r="K1917" t="s">
        <v>27</v>
      </c>
      <c r="L1917" t="s">
        <v>42</v>
      </c>
      <c r="M1917" t="s">
        <v>19</v>
      </c>
      <c r="N1917">
        <v>503</v>
      </c>
      <c r="O1917">
        <v>107</v>
      </c>
      <c r="P1917">
        <v>168969.8000000004</v>
      </c>
      <c r="Q1917">
        <v>166863.86000000042</v>
      </c>
    </row>
    <row r="1918" spans="7:17" x14ac:dyDescent="0.25">
      <c r="G1918" t="str">
        <f t="shared" si="29"/>
        <v/>
      </c>
      <c r="H1918" t="s">
        <v>47</v>
      </c>
      <c r="I1918" t="s">
        <v>10</v>
      </c>
      <c r="J1918" t="s">
        <v>3</v>
      </c>
      <c r="K1918" t="s">
        <v>27</v>
      </c>
      <c r="L1918" t="s">
        <v>42</v>
      </c>
      <c r="M1918" t="s">
        <v>20</v>
      </c>
      <c r="N1918">
        <v>155</v>
      </c>
      <c r="O1918">
        <v>33</v>
      </c>
      <c r="P1918">
        <v>216835.32</v>
      </c>
      <c r="Q1918">
        <v>0</v>
      </c>
    </row>
    <row r="1919" spans="7:17" x14ac:dyDescent="0.25">
      <c r="G1919" t="str">
        <f t="shared" si="29"/>
        <v/>
      </c>
      <c r="H1919" t="s">
        <v>47</v>
      </c>
      <c r="I1919" t="s">
        <v>10</v>
      </c>
      <c r="J1919" t="s">
        <v>3</v>
      </c>
      <c r="K1919" t="s">
        <v>27</v>
      </c>
      <c r="L1919" t="s">
        <v>43</v>
      </c>
      <c r="M1919" t="s">
        <v>19</v>
      </c>
      <c r="N1919">
        <v>17</v>
      </c>
      <c r="O1919">
        <v>10</v>
      </c>
      <c r="P1919">
        <v>11881.730000000001</v>
      </c>
      <c r="Q1919">
        <v>9574.7899999999991</v>
      </c>
    </row>
    <row r="1920" spans="7:17" x14ac:dyDescent="0.25">
      <c r="G1920" t="str">
        <f t="shared" si="29"/>
        <v/>
      </c>
      <c r="H1920" t="s">
        <v>47</v>
      </c>
      <c r="I1920" t="s">
        <v>10</v>
      </c>
      <c r="J1920" t="s">
        <v>3</v>
      </c>
      <c r="K1920" t="s">
        <v>27</v>
      </c>
      <c r="L1920" t="s">
        <v>43</v>
      </c>
      <c r="M1920" t="s">
        <v>20</v>
      </c>
      <c r="N1920">
        <v>42</v>
      </c>
      <c r="O1920">
        <v>21</v>
      </c>
      <c r="P1920">
        <v>34227.37000000001</v>
      </c>
      <c r="Q1920">
        <v>0</v>
      </c>
    </row>
    <row r="1921" spans="7:17" x14ac:dyDescent="0.25">
      <c r="G1921" t="str">
        <f t="shared" si="29"/>
        <v/>
      </c>
      <c r="H1921" t="s">
        <v>47</v>
      </c>
      <c r="I1921" t="s">
        <v>10</v>
      </c>
      <c r="J1921" t="s">
        <v>3</v>
      </c>
      <c r="K1921" t="s">
        <v>27</v>
      </c>
      <c r="L1921" t="s">
        <v>44</v>
      </c>
      <c r="M1921" t="s">
        <v>19</v>
      </c>
      <c r="N1921">
        <v>10</v>
      </c>
      <c r="O1921">
        <v>4</v>
      </c>
      <c r="P1921">
        <v>13465.829999999998</v>
      </c>
      <c r="Q1921">
        <v>11200.38</v>
      </c>
    </row>
    <row r="1922" spans="7:17" x14ac:dyDescent="0.25">
      <c r="G1922" t="str">
        <f t="shared" ref="G1922:G1985" si="30">IF(G$1="Overall","Overall",IF(G$1=L1922,L1922,""))</f>
        <v/>
      </c>
      <c r="H1922" t="s">
        <v>47</v>
      </c>
      <c r="I1922" t="s">
        <v>10</v>
      </c>
      <c r="J1922" t="s">
        <v>3</v>
      </c>
      <c r="K1922" t="s">
        <v>27</v>
      </c>
      <c r="L1922" t="s">
        <v>44</v>
      </c>
      <c r="M1922" t="s">
        <v>20</v>
      </c>
      <c r="N1922">
        <v>61</v>
      </c>
      <c r="O1922">
        <v>21</v>
      </c>
      <c r="P1922">
        <v>52358.080000000009</v>
      </c>
      <c r="Q1922">
        <v>0</v>
      </c>
    </row>
    <row r="1923" spans="7:17" x14ac:dyDescent="0.25">
      <c r="G1923" t="str">
        <f t="shared" si="30"/>
        <v/>
      </c>
      <c r="H1923" t="s">
        <v>47</v>
      </c>
      <c r="I1923" t="s">
        <v>10</v>
      </c>
      <c r="J1923" t="s">
        <v>3</v>
      </c>
      <c r="K1923" t="s">
        <v>27</v>
      </c>
      <c r="L1923" t="s">
        <v>39</v>
      </c>
      <c r="M1923" t="s">
        <v>19</v>
      </c>
      <c r="N1923">
        <v>4</v>
      </c>
      <c r="O1923">
        <v>2</v>
      </c>
      <c r="P1923">
        <v>2660.09</v>
      </c>
      <c r="Q1923">
        <v>1178.8499999999999</v>
      </c>
    </row>
    <row r="1924" spans="7:17" x14ac:dyDescent="0.25">
      <c r="G1924" t="str">
        <f t="shared" si="30"/>
        <v/>
      </c>
      <c r="H1924" t="s">
        <v>47</v>
      </c>
      <c r="I1924" t="s">
        <v>10</v>
      </c>
      <c r="J1924" t="s">
        <v>3</v>
      </c>
      <c r="K1924" t="s">
        <v>27</v>
      </c>
      <c r="L1924" t="s">
        <v>39</v>
      </c>
      <c r="M1924" t="s">
        <v>20</v>
      </c>
      <c r="N1924">
        <v>45</v>
      </c>
      <c r="O1924">
        <v>21</v>
      </c>
      <c r="P1924">
        <v>32699.39</v>
      </c>
      <c r="Q1924">
        <v>0</v>
      </c>
    </row>
    <row r="1925" spans="7:17" x14ac:dyDescent="0.25">
      <c r="G1925" t="str">
        <f t="shared" si="30"/>
        <v/>
      </c>
      <c r="H1925" t="s">
        <v>47</v>
      </c>
      <c r="I1925" t="s">
        <v>10</v>
      </c>
      <c r="J1925" t="s">
        <v>3</v>
      </c>
      <c r="K1925" t="s">
        <v>27</v>
      </c>
      <c r="L1925" t="s">
        <v>40</v>
      </c>
      <c r="M1925" t="s">
        <v>19</v>
      </c>
      <c r="N1925">
        <v>2</v>
      </c>
      <c r="O1925">
        <v>1</v>
      </c>
      <c r="P1925">
        <v>2208.6</v>
      </c>
      <c r="Q1925">
        <v>2208.6</v>
      </c>
    </row>
    <row r="1926" spans="7:17" x14ac:dyDescent="0.25">
      <c r="G1926" t="str">
        <f t="shared" si="30"/>
        <v/>
      </c>
      <c r="H1926" t="s">
        <v>47</v>
      </c>
      <c r="I1926" t="s">
        <v>10</v>
      </c>
      <c r="J1926" t="s">
        <v>3</v>
      </c>
      <c r="K1926" t="s">
        <v>27</v>
      </c>
      <c r="L1926" t="s">
        <v>40</v>
      </c>
      <c r="M1926" t="s">
        <v>20</v>
      </c>
      <c r="N1926">
        <v>29</v>
      </c>
      <c r="O1926">
        <v>4</v>
      </c>
      <c r="P1926">
        <v>17548.73</v>
      </c>
      <c r="Q1926">
        <v>0</v>
      </c>
    </row>
    <row r="1927" spans="7:17" x14ac:dyDescent="0.25">
      <c r="G1927" t="str">
        <f t="shared" si="30"/>
        <v/>
      </c>
      <c r="H1927" t="s">
        <v>47</v>
      </c>
      <c r="I1927" t="s">
        <v>10</v>
      </c>
      <c r="J1927" t="s">
        <v>3</v>
      </c>
      <c r="K1927" t="s">
        <v>27</v>
      </c>
      <c r="L1927" t="s">
        <v>41</v>
      </c>
      <c r="M1927" t="s">
        <v>20</v>
      </c>
      <c r="N1927">
        <v>15</v>
      </c>
      <c r="O1927">
        <v>1</v>
      </c>
      <c r="P1927">
        <v>8954.1299999999974</v>
      </c>
      <c r="Q1927">
        <v>0</v>
      </c>
    </row>
    <row r="1928" spans="7:17" x14ac:dyDescent="0.25">
      <c r="G1928" t="str">
        <f t="shared" si="30"/>
        <v/>
      </c>
      <c r="H1928" t="s">
        <v>47</v>
      </c>
      <c r="I1928" t="s">
        <v>10</v>
      </c>
      <c r="J1928" t="s">
        <v>3</v>
      </c>
      <c r="K1928" t="s">
        <v>27</v>
      </c>
      <c r="L1928" t="s">
        <v>45</v>
      </c>
      <c r="M1928" t="s">
        <v>19</v>
      </c>
      <c r="N1928">
        <v>1</v>
      </c>
      <c r="O1928">
        <v>1</v>
      </c>
      <c r="P1928">
        <v>262.35000000000002</v>
      </c>
      <c r="Q1928">
        <v>262.35000000000002</v>
      </c>
    </row>
    <row r="1929" spans="7:17" x14ac:dyDescent="0.25">
      <c r="G1929" t="str">
        <f t="shared" si="30"/>
        <v/>
      </c>
      <c r="H1929" t="s">
        <v>47</v>
      </c>
      <c r="I1929" t="s">
        <v>10</v>
      </c>
      <c r="J1929" t="s">
        <v>3</v>
      </c>
      <c r="K1929" t="s">
        <v>27</v>
      </c>
      <c r="L1929" t="s">
        <v>45</v>
      </c>
      <c r="M1929" t="s">
        <v>20</v>
      </c>
      <c r="N1929">
        <v>60</v>
      </c>
      <c r="O1929">
        <v>37</v>
      </c>
      <c r="P1929">
        <v>181814.15000000005</v>
      </c>
      <c r="Q1929">
        <v>0</v>
      </c>
    </row>
    <row r="1930" spans="7:17" x14ac:dyDescent="0.25">
      <c r="G1930" t="str">
        <f t="shared" si="30"/>
        <v/>
      </c>
      <c r="H1930" t="s">
        <v>47</v>
      </c>
      <c r="I1930" t="s">
        <v>10</v>
      </c>
      <c r="J1930" t="s">
        <v>3</v>
      </c>
      <c r="K1930" t="s">
        <v>28</v>
      </c>
      <c r="L1930" t="s">
        <v>42</v>
      </c>
      <c r="M1930" t="s">
        <v>19</v>
      </c>
      <c r="N1930">
        <v>896</v>
      </c>
      <c r="O1930">
        <v>257</v>
      </c>
      <c r="P1930">
        <v>348732.95000000019</v>
      </c>
      <c r="Q1930">
        <v>342854.89000000019</v>
      </c>
    </row>
    <row r="1931" spans="7:17" x14ac:dyDescent="0.25">
      <c r="G1931" t="str">
        <f t="shared" si="30"/>
        <v/>
      </c>
      <c r="H1931" t="s">
        <v>47</v>
      </c>
      <c r="I1931" t="s">
        <v>10</v>
      </c>
      <c r="J1931" t="s">
        <v>3</v>
      </c>
      <c r="K1931" t="s">
        <v>28</v>
      </c>
      <c r="L1931" t="s">
        <v>42</v>
      </c>
      <c r="M1931" t="s">
        <v>20</v>
      </c>
      <c r="N1931">
        <v>367</v>
      </c>
      <c r="O1931">
        <v>159</v>
      </c>
      <c r="P1931">
        <v>93970.39999999998</v>
      </c>
      <c r="Q1931">
        <v>0</v>
      </c>
    </row>
    <row r="1932" spans="7:17" x14ac:dyDescent="0.25">
      <c r="G1932" t="str">
        <f t="shared" si="30"/>
        <v/>
      </c>
      <c r="H1932" t="s">
        <v>47</v>
      </c>
      <c r="I1932" t="s">
        <v>10</v>
      </c>
      <c r="J1932" t="s">
        <v>3</v>
      </c>
      <c r="K1932" t="s">
        <v>28</v>
      </c>
      <c r="L1932" t="s">
        <v>43</v>
      </c>
      <c r="M1932" t="s">
        <v>19</v>
      </c>
      <c r="N1932">
        <v>178</v>
      </c>
      <c r="O1932">
        <v>50</v>
      </c>
      <c r="P1932">
        <v>111621.46999999996</v>
      </c>
      <c r="Q1932">
        <v>94469.100000000035</v>
      </c>
    </row>
    <row r="1933" spans="7:17" x14ac:dyDescent="0.25">
      <c r="G1933" t="str">
        <f t="shared" si="30"/>
        <v/>
      </c>
      <c r="H1933" t="s">
        <v>47</v>
      </c>
      <c r="I1933" t="s">
        <v>10</v>
      </c>
      <c r="J1933" t="s">
        <v>3</v>
      </c>
      <c r="K1933" t="s">
        <v>28</v>
      </c>
      <c r="L1933" t="s">
        <v>43</v>
      </c>
      <c r="M1933" t="s">
        <v>20</v>
      </c>
      <c r="N1933">
        <v>112</v>
      </c>
      <c r="O1933">
        <v>57</v>
      </c>
      <c r="P1933">
        <v>67841.56</v>
      </c>
      <c r="Q1933">
        <v>0</v>
      </c>
    </row>
    <row r="1934" spans="7:17" x14ac:dyDescent="0.25">
      <c r="G1934" t="str">
        <f t="shared" si="30"/>
        <v/>
      </c>
      <c r="H1934" t="s">
        <v>47</v>
      </c>
      <c r="I1934" t="s">
        <v>10</v>
      </c>
      <c r="J1934" t="s">
        <v>3</v>
      </c>
      <c r="K1934" t="s">
        <v>28</v>
      </c>
      <c r="L1934" t="s">
        <v>44</v>
      </c>
      <c r="M1934" t="s">
        <v>19</v>
      </c>
      <c r="N1934">
        <v>69</v>
      </c>
      <c r="O1934">
        <v>25</v>
      </c>
      <c r="P1934">
        <v>56565.999999999993</v>
      </c>
      <c r="Q1934">
        <v>47122.259999999995</v>
      </c>
    </row>
    <row r="1935" spans="7:17" x14ac:dyDescent="0.25">
      <c r="G1935" t="str">
        <f t="shared" si="30"/>
        <v/>
      </c>
      <c r="H1935" t="s">
        <v>47</v>
      </c>
      <c r="I1935" t="s">
        <v>10</v>
      </c>
      <c r="J1935" t="s">
        <v>3</v>
      </c>
      <c r="K1935" t="s">
        <v>28</v>
      </c>
      <c r="L1935" t="s">
        <v>44</v>
      </c>
      <c r="M1935" t="s">
        <v>20</v>
      </c>
      <c r="N1935">
        <v>118</v>
      </c>
      <c r="O1935">
        <v>75</v>
      </c>
      <c r="P1935">
        <v>81568.130000000019</v>
      </c>
      <c r="Q1935">
        <v>0</v>
      </c>
    </row>
    <row r="1936" spans="7:17" x14ac:dyDescent="0.25">
      <c r="G1936" t="str">
        <f t="shared" si="30"/>
        <v/>
      </c>
      <c r="H1936" t="s">
        <v>47</v>
      </c>
      <c r="I1936" t="s">
        <v>10</v>
      </c>
      <c r="J1936" t="s">
        <v>3</v>
      </c>
      <c r="K1936" t="s">
        <v>29</v>
      </c>
      <c r="L1936" t="s">
        <v>42</v>
      </c>
      <c r="M1936" t="s">
        <v>19</v>
      </c>
      <c r="N1936">
        <v>729</v>
      </c>
      <c r="O1936">
        <v>190</v>
      </c>
      <c r="P1936">
        <v>275444.04000000004</v>
      </c>
      <c r="Q1936">
        <v>257478.57000000007</v>
      </c>
    </row>
    <row r="1937" spans="7:17" x14ac:dyDescent="0.25">
      <c r="G1937" t="str">
        <f t="shared" si="30"/>
        <v/>
      </c>
      <c r="H1937" t="s">
        <v>47</v>
      </c>
      <c r="I1937" t="s">
        <v>10</v>
      </c>
      <c r="J1937" t="s">
        <v>3</v>
      </c>
      <c r="K1937" t="s">
        <v>29</v>
      </c>
      <c r="L1937" t="s">
        <v>42</v>
      </c>
      <c r="M1937" t="s">
        <v>20</v>
      </c>
      <c r="N1937">
        <v>289</v>
      </c>
      <c r="O1937">
        <v>74</v>
      </c>
      <c r="P1937">
        <v>92279.140000000014</v>
      </c>
      <c r="Q1937">
        <v>0</v>
      </c>
    </row>
    <row r="1938" spans="7:17" x14ac:dyDescent="0.25">
      <c r="G1938" t="str">
        <f t="shared" si="30"/>
        <v/>
      </c>
      <c r="H1938" t="s">
        <v>47</v>
      </c>
      <c r="I1938" t="s">
        <v>10</v>
      </c>
      <c r="J1938" t="s">
        <v>3</v>
      </c>
      <c r="K1938" t="s">
        <v>29</v>
      </c>
      <c r="L1938" t="s">
        <v>43</v>
      </c>
      <c r="M1938" t="s">
        <v>19</v>
      </c>
      <c r="N1938">
        <v>65</v>
      </c>
      <c r="O1938">
        <v>26</v>
      </c>
      <c r="P1938">
        <v>55406.569999999992</v>
      </c>
      <c r="Q1938">
        <v>47946.799999999981</v>
      </c>
    </row>
    <row r="1939" spans="7:17" x14ac:dyDescent="0.25">
      <c r="G1939" t="str">
        <f t="shared" si="30"/>
        <v/>
      </c>
      <c r="H1939" t="s">
        <v>47</v>
      </c>
      <c r="I1939" t="s">
        <v>10</v>
      </c>
      <c r="J1939" t="s">
        <v>3</v>
      </c>
      <c r="K1939" t="s">
        <v>29</v>
      </c>
      <c r="L1939" t="s">
        <v>43</v>
      </c>
      <c r="M1939" t="s">
        <v>20</v>
      </c>
      <c r="N1939">
        <v>109</v>
      </c>
      <c r="O1939">
        <v>34</v>
      </c>
      <c r="P1939">
        <v>70309.11</v>
      </c>
      <c r="Q1939">
        <v>0</v>
      </c>
    </row>
    <row r="1940" spans="7:17" x14ac:dyDescent="0.25">
      <c r="G1940" t="str">
        <f t="shared" si="30"/>
        <v/>
      </c>
      <c r="H1940" t="s">
        <v>47</v>
      </c>
      <c r="I1940" t="s">
        <v>10</v>
      </c>
      <c r="J1940" t="s">
        <v>3</v>
      </c>
      <c r="K1940" t="s">
        <v>29</v>
      </c>
      <c r="L1940" t="s">
        <v>44</v>
      </c>
      <c r="M1940" t="s">
        <v>19</v>
      </c>
      <c r="N1940">
        <v>54</v>
      </c>
      <c r="O1940">
        <v>11</v>
      </c>
      <c r="P1940">
        <v>49163.649999999994</v>
      </c>
      <c r="Q1940">
        <v>42121.599999999984</v>
      </c>
    </row>
    <row r="1941" spans="7:17" x14ac:dyDescent="0.25">
      <c r="G1941" t="str">
        <f t="shared" si="30"/>
        <v/>
      </c>
      <c r="H1941" t="s">
        <v>47</v>
      </c>
      <c r="I1941" t="s">
        <v>10</v>
      </c>
      <c r="J1941" t="s">
        <v>3</v>
      </c>
      <c r="K1941" t="s">
        <v>29</v>
      </c>
      <c r="L1941" t="s">
        <v>44</v>
      </c>
      <c r="M1941" t="s">
        <v>20</v>
      </c>
      <c r="N1941">
        <v>230</v>
      </c>
      <c r="O1941">
        <v>52</v>
      </c>
      <c r="P1941">
        <v>150724.49999999994</v>
      </c>
      <c r="Q1941">
        <v>0</v>
      </c>
    </row>
    <row r="1942" spans="7:17" x14ac:dyDescent="0.25">
      <c r="G1942" t="str">
        <f t="shared" si="30"/>
        <v/>
      </c>
      <c r="H1942" t="s">
        <v>47</v>
      </c>
      <c r="I1942" t="s">
        <v>10</v>
      </c>
      <c r="J1942" t="s">
        <v>3</v>
      </c>
      <c r="K1942" t="s">
        <v>29</v>
      </c>
      <c r="L1942" t="s">
        <v>39</v>
      </c>
      <c r="M1942" t="s">
        <v>19</v>
      </c>
      <c r="N1942">
        <v>17</v>
      </c>
      <c r="O1942">
        <v>11</v>
      </c>
      <c r="P1942">
        <v>17799.270000000004</v>
      </c>
      <c r="Q1942">
        <v>13186.490000000002</v>
      </c>
    </row>
    <row r="1943" spans="7:17" x14ac:dyDescent="0.25">
      <c r="G1943" t="str">
        <f t="shared" si="30"/>
        <v/>
      </c>
      <c r="H1943" t="s">
        <v>47</v>
      </c>
      <c r="I1943" t="s">
        <v>10</v>
      </c>
      <c r="J1943" t="s">
        <v>3</v>
      </c>
      <c r="K1943" t="s">
        <v>29</v>
      </c>
      <c r="L1943" t="s">
        <v>39</v>
      </c>
      <c r="M1943" t="s">
        <v>20</v>
      </c>
      <c r="N1943">
        <v>133</v>
      </c>
      <c r="O1943">
        <v>55</v>
      </c>
      <c r="P1943">
        <v>94050.709999999977</v>
      </c>
      <c r="Q1943">
        <v>0</v>
      </c>
    </row>
    <row r="1944" spans="7:17" x14ac:dyDescent="0.25">
      <c r="G1944" t="str">
        <f t="shared" si="30"/>
        <v/>
      </c>
      <c r="H1944" t="s">
        <v>47</v>
      </c>
      <c r="I1944" t="s">
        <v>10</v>
      </c>
      <c r="J1944" t="s">
        <v>3</v>
      </c>
      <c r="K1944" t="s">
        <v>29</v>
      </c>
      <c r="L1944" t="s">
        <v>40</v>
      </c>
      <c r="M1944" t="s">
        <v>19</v>
      </c>
      <c r="N1944">
        <v>2</v>
      </c>
      <c r="O1944">
        <v>0</v>
      </c>
      <c r="P1944">
        <v>2847.73</v>
      </c>
      <c r="Q1944">
        <v>474.33</v>
      </c>
    </row>
    <row r="1945" spans="7:17" x14ac:dyDescent="0.25">
      <c r="G1945" t="str">
        <f t="shared" si="30"/>
        <v/>
      </c>
      <c r="H1945" t="s">
        <v>47</v>
      </c>
      <c r="I1945" t="s">
        <v>10</v>
      </c>
      <c r="J1945" t="s">
        <v>3</v>
      </c>
      <c r="K1945" t="s">
        <v>29</v>
      </c>
      <c r="L1945" t="s">
        <v>40</v>
      </c>
      <c r="M1945" t="s">
        <v>20</v>
      </c>
      <c r="N1945">
        <v>37</v>
      </c>
      <c r="O1945">
        <v>9</v>
      </c>
      <c r="P1945">
        <v>25051.67</v>
      </c>
      <c r="Q1945">
        <v>0</v>
      </c>
    </row>
    <row r="1946" spans="7:17" x14ac:dyDescent="0.25">
      <c r="G1946" t="str">
        <f t="shared" si="30"/>
        <v/>
      </c>
      <c r="H1946" t="s">
        <v>47</v>
      </c>
      <c r="I1946" t="s">
        <v>10</v>
      </c>
      <c r="J1946" t="s">
        <v>3</v>
      </c>
      <c r="K1946" t="s">
        <v>29</v>
      </c>
      <c r="L1946" t="s">
        <v>41</v>
      </c>
      <c r="M1946" t="s">
        <v>19</v>
      </c>
      <c r="N1946">
        <v>1</v>
      </c>
      <c r="O1946">
        <v>1</v>
      </c>
      <c r="P1946">
        <v>4271.4799999999996</v>
      </c>
      <c r="Q1946">
        <v>4271</v>
      </c>
    </row>
    <row r="1947" spans="7:17" x14ac:dyDescent="0.25">
      <c r="G1947" t="str">
        <f t="shared" si="30"/>
        <v/>
      </c>
      <c r="H1947" t="s">
        <v>47</v>
      </c>
      <c r="I1947" t="s">
        <v>10</v>
      </c>
      <c r="J1947" t="s">
        <v>3</v>
      </c>
      <c r="K1947" t="s">
        <v>29</v>
      </c>
      <c r="L1947" t="s">
        <v>41</v>
      </c>
      <c r="M1947" t="s">
        <v>20</v>
      </c>
      <c r="N1947">
        <v>17</v>
      </c>
      <c r="O1947">
        <v>6</v>
      </c>
      <c r="P1947">
        <v>12373.450000000003</v>
      </c>
      <c r="Q1947">
        <v>0</v>
      </c>
    </row>
    <row r="1948" spans="7:17" x14ac:dyDescent="0.25">
      <c r="G1948" t="str">
        <f t="shared" si="30"/>
        <v/>
      </c>
      <c r="H1948" t="s">
        <v>47</v>
      </c>
      <c r="I1948" t="s">
        <v>10</v>
      </c>
      <c r="J1948" t="s">
        <v>3</v>
      </c>
      <c r="K1948" t="s">
        <v>29</v>
      </c>
      <c r="L1948" t="s">
        <v>45</v>
      </c>
      <c r="M1948" t="s">
        <v>19</v>
      </c>
      <c r="N1948">
        <v>5</v>
      </c>
      <c r="O1948">
        <v>3</v>
      </c>
      <c r="P1948">
        <v>2518.23</v>
      </c>
      <c r="Q1948">
        <v>2503.23</v>
      </c>
    </row>
    <row r="1949" spans="7:17" x14ac:dyDescent="0.25">
      <c r="G1949" t="str">
        <f t="shared" si="30"/>
        <v/>
      </c>
      <c r="H1949" t="s">
        <v>47</v>
      </c>
      <c r="I1949" t="s">
        <v>10</v>
      </c>
      <c r="J1949" t="s">
        <v>3</v>
      </c>
      <c r="K1949" t="s">
        <v>29</v>
      </c>
      <c r="L1949" t="s">
        <v>45</v>
      </c>
      <c r="M1949" t="s">
        <v>20</v>
      </c>
      <c r="N1949">
        <v>217</v>
      </c>
      <c r="O1949">
        <v>91</v>
      </c>
      <c r="P1949">
        <v>187794.49000000011</v>
      </c>
      <c r="Q1949">
        <v>0</v>
      </c>
    </row>
    <row r="1950" spans="7:17" x14ac:dyDescent="0.25">
      <c r="G1950" t="str">
        <f t="shared" si="30"/>
        <v/>
      </c>
      <c r="H1950" t="s">
        <v>47</v>
      </c>
      <c r="I1950" t="s">
        <v>10</v>
      </c>
      <c r="J1950" t="s">
        <v>3</v>
      </c>
      <c r="K1950" t="s">
        <v>30</v>
      </c>
      <c r="L1950" t="s">
        <v>42</v>
      </c>
      <c r="M1950" t="s">
        <v>19</v>
      </c>
      <c r="N1950">
        <v>60</v>
      </c>
      <c r="O1950">
        <v>14</v>
      </c>
      <c r="P1950">
        <v>28498.27</v>
      </c>
      <c r="Q1950">
        <v>28491.719999999998</v>
      </c>
    </row>
    <row r="1951" spans="7:17" x14ac:dyDescent="0.25">
      <c r="G1951" t="str">
        <f t="shared" si="30"/>
        <v/>
      </c>
      <c r="H1951" t="s">
        <v>47</v>
      </c>
      <c r="I1951" t="s">
        <v>10</v>
      </c>
      <c r="J1951" t="s">
        <v>3</v>
      </c>
      <c r="K1951" t="s">
        <v>30</v>
      </c>
      <c r="L1951" t="s">
        <v>42</v>
      </c>
      <c r="M1951" t="s">
        <v>20</v>
      </c>
      <c r="N1951">
        <v>42</v>
      </c>
      <c r="O1951">
        <v>5</v>
      </c>
      <c r="P1951">
        <v>9239.1899999999987</v>
      </c>
      <c r="Q1951">
        <v>0</v>
      </c>
    </row>
    <row r="1952" spans="7:17" x14ac:dyDescent="0.25">
      <c r="G1952" t="str">
        <f t="shared" si="30"/>
        <v/>
      </c>
      <c r="H1952" t="s">
        <v>47</v>
      </c>
      <c r="I1952" t="s">
        <v>10</v>
      </c>
      <c r="J1952" t="s">
        <v>3</v>
      </c>
      <c r="K1952" t="s">
        <v>30</v>
      </c>
      <c r="L1952" t="s">
        <v>43</v>
      </c>
      <c r="M1952" t="s">
        <v>19</v>
      </c>
      <c r="N1952">
        <v>3</v>
      </c>
      <c r="O1952">
        <v>1</v>
      </c>
      <c r="P1952">
        <v>2038.7199999999998</v>
      </c>
      <c r="Q1952">
        <v>2038.7199999999998</v>
      </c>
    </row>
    <row r="1953" spans="7:17" x14ac:dyDescent="0.25">
      <c r="G1953" t="str">
        <f t="shared" si="30"/>
        <v/>
      </c>
      <c r="H1953" t="s">
        <v>47</v>
      </c>
      <c r="I1953" t="s">
        <v>10</v>
      </c>
      <c r="J1953" t="s">
        <v>3</v>
      </c>
      <c r="K1953" t="s">
        <v>30</v>
      </c>
      <c r="L1953" t="s">
        <v>43</v>
      </c>
      <c r="M1953" t="s">
        <v>20</v>
      </c>
      <c r="N1953">
        <v>12</v>
      </c>
      <c r="O1953">
        <v>5</v>
      </c>
      <c r="P1953">
        <v>8186.65</v>
      </c>
      <c r="Q1953">
        <v>0</v>
      </c>
    </row>
    <row r="1954" spans="7:17" x14ac:dyDescent="0.25">
      <c r="G1954" t="str">
        <f t="shared" si="30"/>
        <v/>
      </c>
      <c r="H1954" t="s">
        <v>47</v>
      </c>
      <c r="I1954" t="s">
        <v>10</v>
      </c>
      <c r="J1954" t="s">
        <v>3</v>
      </c>
      <c r="K1954" t="s">
        <v>30</v>
      </c>
      <c r="L1954" t="s">
        <v>44</v>
      </c>
      <c r="M1954" t="s">
        <v>20</v>
      </c>
      <c r="N1954">
        <v>26</v>
      </c>
      <c r="O1954">
        <v>3</v>
      </c>
      <c r="P1954">
        <v>16416.27</v>
      </c>
      <c r="Q1954">
        <v>0</v>
      </c>
    </row>
    <row r="1955" spans="7:17" x14ac:dyDescent="0.25">
      <c r="G1955" t="str">
        <f t="shared" si="30"/>
        <v/>
      </c>
      <c r="H1955" t="s">
        <v>47</v>
      </c>
      <c r="I1955" t="s">
        <v>10</v>
      </c>
      <c r="J1955" t="s">
        <v>3</v>
      </c>
      <c r="K1955" t="s">
        <v>30</v>
      </c>
      <c r="L1955" t="s">
        <v>39</v>
      </c>
      <c r="M1955" t="s">
        <v>20</v>
      </c>
      <c r="N1955">
        <v>24</v>
      </c>
      <c r="O1955">
        <v>7</v>
      </c>
      <c r="P1955">
        <v>23885.340000000004</v>
      </c>
      <c r="Q1955">
        <v>0</v>
      </c>
    </row>
    <row r="1956" spans="7:17" x14ac:dyDescent="0.25">
      <c r="G1956" t="str">
        <f t="shared" si="30"/>
        <v/>
      </c>
      <c r="H1956" t="s">
        <v>47</v>
      </c>
      <c r="I1956" t="s">
        <v>10</v>
      </c>
      <c r="J1956" t="s">
        <v>3</v>
      </c>
      <c r="K1956" t="s">
        <v>30</v>
      </c>
      <c r="L1956" t="s">
        <v>40</v>
      </c>
      <c r="M1956" t="s">
        <v>20</v>
      </c>
      <c r="N1956">
        <v>5</v>
      </c>
      <c r="O1956">
        <v>2</v>
      </c>
      <c r="P1956">
        <v>5650.27</v>
      </c>
      <c r="Q1956">
        <v>0</v>
      </c>
    </row>
    <row r="1957" spans="7:17" x14ac:dyDescent="0.25">
      <c r="G1957" t="str">
        <f t="shared" si="30"/>
        <v/>
      </c>
      <c r="H1957" t="s">
        <v>47</v>
      </c>
      <c r="I1957" t="s">
        <v>10</v>
      </c>
      <c r="J1957" t="s">
        <v>3</v>
      </c>
      <c r="K1957" t="s">
        <v>30</v>
      </c>
      <c r="L1957" t="s">
        <v>41</v>
      </c>
      <c r="M1957" t="s">
        <v>20</v>
      </c>
      <c r="N1957">
        <v>1</v>
      </c>
      <c r="O1957">
        <v>0</v>
      </c>
      <c r="P1957">
        <v>535.35</v>
      </c>
      <c r="Q1957">
        <v>0</v>
      </c>
    </row>
    <row r="1958" spans="7:17" x14ac:dyDescent="0.25">
      <c r="G1958" t="str">
        <f t="shared" si="30"/>
        <v/>
      </c>
      <c r="H1958" t="s">
        <v>47</v>
      </c>
      <c r="I1958" t="s">
        <v>10</v>
      </c>
      <c r="J1958" t="s">
        <v>3</v>
      </c>
      <c r="K1958" t="s">
        <v>30</v>
      </c>
      <c r="L1958" t="s">
        <v>45</v>
      </c>
      <c r="M1958" t="s">
        <v>20</v>
      </c>
      <c r="N1958">
        <v>8</v>
      </c>
      <c r="O1958">
        <v>1</v>
      </c>
      <c r="P1958">
        <v>9774.6500000000015</v>
      </c>
      <c r="Q1958">
        <v>0</v>
      </c>
    </row>
    <row r="1959" spans="7:17" x14ac:dyDescent="0.25">
      <c r="G1959" t="str">
        <f t="shared" si="30"/>
        <v/>
      </c>
      <c r="H1959" t="s">
        <v>47</v>
      </c>
      <c r="I1959" t="s">
        <v>10</v>
      </c>
      <c r="J1959" t="s">
        <v>3</v>
      </c>
      <c r="K1959" t="s">
        <v>31</v>
      </c>
      <c r="L1959" t="s">
        <v>45</v>
      </c>
      <c r="M1959" t="s">
        <v>20</v>
      </c>
      <c r="N1959">
        <v>2</v>
      </c>
      <c r="O1959">
        <v>0</v>
      </c>
      <c r="P1959">
        <v>1112.03</v>
      </c>
      <c r="Q1959">
        <v>0</v>
      </c>
    </row>
    <row r="1960" spans="7:17" x14ac:dyDescent="0.25">
      <c r="G1960" t="str">
        <f t="shared" si="30"/>
        <v/>
      </c>
      <c r="H1960" t="s">
        <v>47</v>
      </c>
      <c r="I1960" t="s">
        <v>10</v>
      </c>
      <c r="J1960" t="s">
        <v>3</v>
      </c>
      <c r="K1960" t="s">
        <v>32</v>
      </c>
      <c r="L1960" t="s">
        <v>42</v>
      </c>
      <c r="M1960" t="s">
        <v>19</v>
      </c>
      <c r="N1960">
        <v>127</v>
      </c>
      <c r="O1960">
        <v>16</v>
      </c>
      <c r="P1960">
        <v>34436.570000000007</v>
      </c>
      <c r="Q1960">
        <v>34240.740000000005</v>
      </c>
    </row>
    <row r="1961" spans="7:17" x14ac:dyDescent="0.25">
      <c r="G1961" t="str">
        <f t="shared" si="30"/>
        <v/>
      </c>
      <c r="H1961" t="s">
        <v>47</v>
      </c>
      <c r="I1961" t="s">
        <v>10</v>
      </c>
      <c r="J1961" t="s">
        <v>3</v>
      </c>
      <c r="K1961" t="s">
        <v>32</v>
      </c>
      <c r="L1961" t="s">
        <v>42</v>
      </c>
      <c r="M1961" t="s">
        <v>20</v>
      </c>
      <c r="N1961">
        <v>15</v>
      </c>
      <c r="O1961">
        <v>6</v>
      </c>
      <c r="P1961">
        <v>5822.170000000001</v>
      </c>
      <c r="Q1961">
        <v>0</v>
      </c>
    </row>
    <row r="1962" spans="7:17" x14ac:dyDescent="0.25">
      <c r="G1962" t="str">
        <f t="shared" si="30"/>
        <v/>
      </c>
      <c r="H1962" t="s">
        <v>47</v>
      </c>
      <c r="I1962" t="s">
        <v>10</v>
      </c>
      <c r="J1962" t="s">
        <v>3</v>
      </c>
      <c r="K1962" t="s">
        <v>32</v>
      </c>
      <c r="L1962" t="s">
        <v>43</v>
      </c>
      <c r="M1962" t="s">
        <v>20</v>
      </c>
      <c r="N1962">
        <v>51</v>
      </c>
      <c r="O1962">
        <v>3</v>
      </c>
      <c r="P1962">
        <v>47806.279999999941</v>
      </c>
      <c r="Q1962">
        <v>0</v>
      </c>
    </row>
    <row r="1963" spans="7:17" x14ac:dyDescent="0.25">
      <c r="G1963" t="str">
        <f t="shared" si="30"/>
        <v/>
      </c>
      <c r="H1963" t="s">
        <v>47</v>
      </c>
      <c r="I1963" t="s">
        <v>10</v>
      </c>
      <c r="J1963" t="s">
        <v>3</v>
      </c>
      <c r="K1963" t="s">
        <v>32</v>
      </c>
      <c r="L1963" t="s">
        <v>44</v>
      </c>
      <c r="M1963" t="s">
        <v>19</v>
      </c>
      <c r="N1963">
        <v>1</v>
      </c>
      <c r="O1963">
        <v>1</v>
      </c>
      <c r="P1963">
        <v>1547.18</v>
      </c>
      <c r="Q1963">
        <v>1547.18</v>
      </c>
    </row>
    <row r="1964" spans="7:17" x14ac:dyDescent="0.25">
      <c r="G1964" t="str">
        <f t="shared" si="30"/>
        <v/>
      </c>
      <c r="H1964" t="s">
        <v>47</v>
      </c>
      <c r="I1964" t="s">
        <v>10</v>
      </c>
      <c r="J1964" t="s">
        <v>3</v>
      </c>
      <c r="K1964" t="s">
        <v>32</v>
      </c>
      <c r="L1964" t="s">
        <v>44</v>
      </c>
      <c r="M1964" t="s">
        <v>20</v>
      </c>
      <c r="N1964">
        <v>37</v>
      </c>
      <c r="O1964">
        <v>9</v>
      </c>
      <c r="P1964">
        <v>30531.000000000004</v>
      </c>
      <c r="Q1964">
        <v>0</v>
      </c>
    </row>
    <row r="1965" spans="7:17" x14ac:dyDescent="0.25">
      <c r="G1965" t="str">
        <f t="shared" si="30"/>
        <v/>
      </c>
      <c r="H1965" t="s">
        <v>47</v>
      </c>
      <c r="I1965" t="s">
        <v>10</v>
      </c>
      <c r="J1965" t="s">
        <v>3</v>
      </c>
      <c r="K1965" t="s">
        <v>32</v>
      </c>
      <c r="L1965" t="s">
        <v>39</v>
      </c>
      <c r="M1965" t="s">
        <v>19</v>
      </c>
      <c r="N1965">
        <v>2</v>
      </c>
      <c r="O1965">
        <v>2</v>
      </c>
      <c r="P1965">
        <v>1224.1400000000001</v>
      </c>
      <c r="Q1965">
        <v>1155.8200000000002</v>
      </c>
    </row>
    <row r="1966" spans="7:17" x14ac:dyDescent="0.25">
      <c r="G1966" t="str">
        <f t="shared" si="30"/>
        <v/>
      </c>
      <c r="H1966" t="s">
        <v>47</v>
      </c>
      <c r="I1966" t="s">
        <v>10</v>
      </c>
      <c r="J1966" t="s">
        <v>3</v>
      </c>
      <c r="K1966" t="s">
        <v>32</v>
      </c>
      <c r="L1966" t="s">
        <v>39</v>
      </c>
      <c r="M1966" t="s">
        <v>20</v>
      </c>
      <c r="N1966">
        <v>13</v>
      </c>
      <c r="O1966">
        <v>4</v>
      </c>
      <c r="P1966">
        <v>13967.069999999998</v>
      </c>
      <c r="Q1966">
        <v>0</v>
      </c>
    </row>
    <row r="1967" spans="7:17" x14ac:dyDescent="0.25">
      <c r="G1967" t="str">
        <f t="shared" si="30"/>
        <v/>
      </c>
      <c r="H1967" t="s">
        <v>47</v>
      </c>
      <c r="I1967" t="s">
        <v>10</v>
      </c>
      <c r="J1967" t="s">
        <v>3</v>
      </c>
      <c r="K1967" t="s">
        <v>32</v>
      </c>
      <c r="L1967" t="s">
        <v>40</v>
      </c>
      <c r="M1967" t="s">
        <v>20</v>
      </c>
      <c r="N1967">
        <v>4</v>
      </c>
      <c r="O1967">
        <v>1</v>
      </c>
      <c r="P1967">
        <v>5394.2199999999993</v>
      </c>
      <c r="Q1967">
        <v>0</v>
      </c>
    </row>
    <row r="1968" spans="7:17" x14ac:dyDescent="0.25">
      <c r="G1968" t="str">
        <f t="shared" si="30"/>
        <v/>
      </c>
      <c r="H1968" t="s">
        <v>47</v>
      </c>
      <c r="I1968" t="s">
        <v>10</v>
      </c>
      <c r="J1968" t="s">
        <v>3</v>
      </c>
      <c r="K1968" t="s">
        <v>32</v>
      </c>
      <c r="L1968" t="s">
        <v>41</v>
      </c>
      <c r="M1968" t="s">
        <v>20</v>
      </c>
      <c r="N1968">
        <v>8</v>
      </c>
      <c r="O1968">
        <v>1</v>
      </c>
      <c r="P1968">
        <v>3606.51</v>
      </c>
      <c r="Q1968">
        <v>0</v>
      </c>
    </row>
    <row r="1969" spans="7:17" x14ac:dyDescent="0.25">
      <c r="G1969" t="str">
        <f t="shared" si="30"/>
        <v/>
      </c>
      <c r="H1969" t="s">
        <v>47</v>
      </c>
      <c r="I1969" t="s">
        <v>10</v>
      </c>
      <c r="J1969" t="s">
        <v>3</v>
      </c>
      <c r="K1969" t="s">
        <v>32</v>
      </c>
      <c r="L1969" t="s">
        <v>45</v>
      </c>
      <c r="M1969" t="s">
        <v>20</v>
      </c>
      <c r="N1969">
        <v>29</v>
      </c>
      <c r="O1969">
        <v>12</v>
      </c>
      <c r="P1969">
        <v>32580.960000000003</v>
      </c>
      <c r="Q1969">
        <v>0</v>
      </c>
    </row>
    <row r="1970" spans="7:17" x14ac:dyDescent="0.25">
      <c r="G1970" t="str">
        <f t="shared" si="30"/>
        <v/>
      </c>
      <c r="H1970" t="s">
        <v>47</v>
      </c>
      <c r="I1970" t="s">
        <v>10</v>
      </c>
      <c r="J1970" t="s">
        <v>3</v>
      </c>
      <c r="K1970" t="s">
        <v>33</v>
      </c>
      <c r="L1970" t="s">
        <v>42</v>
      </c>
      <c r="M1970" t="s">
        <v>19</v>
      </c>
      <c r="N1970">
        <v>443</v>
      </c>
      <c r="O1970">
        <v>139</v>
      </c>
      <c r="P1970">
        <v>183136.52000000043</v>
      </c>
      <c r="Q1970">
        <v>179245.35000000036</v>
      </c>
    </row>
    <row r="1971" spans="7:17" x14ac:dyDescent="0.25">
      <c r="G1971" t="str">
        <f t="shared" si="30"/>
        <v/>
      </c>
      <c r="H1971" t="s">
        <v>47</v>
      </c>
      <c r="I1971" t="s">
        <v>10</v>
      </c>
      <c r="J1971" t="s">
        <v>3</v>
      </c>
      <c r="K1971" t="s">
        <v>33</v>
      </c>
      <c r="L1971" t="s">
        <v>42</v>
      </c>
      <c r="M1971" t="s">
        <v>20</v>
      </c>
      <c r="N1971">
        <v>195</v>
      </c>
      <c r="O1971">
        <v>47</v>
      </c>
      <c r="P1971">
        <v>47683.939999999973</v>
      </c>
      <c r="Q1971">
        <v>0</v>
      </c>
    </row>
    <row r="1972" spans="7:17" x14ac:dyDescent="0.25">
      <c r="G1972" t="str">
        <f t="shared" si="30"/>
        <v/>
      </c>
      <c r="H1972" t="s">
        <v>47</v>
      </c>
      <c r="I1972" t="s">
        <v>10</v>
      </c>
      <c r="J1972" t="s">
        <v>3</v>
      </c>
      <c r="K1972" t="s">
        <v>33</v>
      </c>
      <c r="L1972" t="s">
        <v>43</v>
      </c>
      <c r="M1972" t="s">
        <v>19</v>
      </c>
      <c r="N1972">
        <v>41</v>
      </c>
      <c r="O1972">
        <v>19</v>
      </c>
      <c r="P1972">
        <v>32634.639999999999</v>
      </c>
      <c r="Q1972">
        <v>28392.260000000002</v>
      </c>
    </row>
    <row r="1973" spans="7:17" x14ac:dyDescent="0.25">
      <c r="G1973" t="str">
        <f t="shared" si="30"/>
        <v/>
      </c>
      <c r="H1973" t="s">
        <v>47</v>
      </c>
      <c r="I1973" t="s">
        <v>10</v>
      </c>
      <c r="J1973" t="s">
        <v>3</v>
      </c>
      <c r="K1973" t="s">
        <v>33</v>
      </c>
      <c r="L1973" t="s">
        <v>43</v>
      </c>
      <c r="M1973" t="s">
        <v>20</v>
      </c>
      <c r="N1973">
        <v>87</v>
      </c>
      <c r="O1973">
        <v>27</v>
      </c>
      <c r="P1973">
        <v>53612.580000000009</v>
      </c>
      <c r="Q1973">
        <v>0</v>
      </c>
    </row>
    <row r="1974" spans="7:17" x14ac:dyDescent="0.25">
      <c r="G1974" t="str">
        <f t="shared" si="30"/>
        <v/>
      </c>
      <c r="H1974" t="s">
        <v>47</v>
      </c>
      <c r="I1974" t="s">
        <v>10</v>
      </c>
      <c r="J1974" t="s">
        <v>3</v>
      </c>
      <c r="K1974" t="s">
        <v>33</v>
      </c>
      <c r="L1974" t="s">
        <v>44</v>
      </c>
      <c r="M1974" t="s">
        <v>19</v>
      </c>
      <c r="N1974">
        <v>9</v>
      </c>
      <c r="O1974">
        <v>7</v>
      </c>
      <c r="P1974">
        <v>6471.09</v>
      </c>
      <c r="Q1974">
        <v>4642.78</v>
      </c>
    </row>
    <row r="1975" spans="7:17" x14ac:dyDescent="0.25">
      <c r="G1975" t="str">
        <f t="shared" si="30"/>
        <v/>
      </c>
      <c r="H1975" t="s">
        <v>47</v>
      </c>
      <c r="I1975" t="s">
        <v>10</v>
      </c>
      <c r="J1975" t="s">
        <v>3</v>
      </c>
      <c r="K1975" t="s">
        <v>33</v>
      </c>
      <c r="L1975" t="s">
        <v>44</v>
      </c>
      <c r="M1975" t="s">
        <v>20</v>
      </c>
      <c r="N1975">
        <v>116</v>
      </c>
      <c r="O1975">
        <v>40</v>
      </c>
      <c r="P1975">
        <v>93681.150000000038</v>
      </c>
      <c r="Q1975">
        <v>0</v>
      </c>
    </row>
    <row r="1976" spans="7:17" x14ac:dyDescent="0.25">
      <c r="G1976" t="str">
        <f t="shared" si="30"/>
        <v/>
      </c>
      <c r="H1976" t="s">
        <v>47</v>
      </c>
      <c r="I1976" t="s">
        <v>10</v>
      </c>
      <c r="J1976" t="s">
        <v>3</v>
      </c>
      <c r="K1976" t="s">
        <v>33</v>
      </c>
      <c r="L1976" t="s">
        <v>39</v>
      </c>
      <c r="M1976" t="s">
        <v>19</v>
      </c>
      <c r="N1976">
        <v>6</v>
      </c>
      <c r="O1976">
        <v>4</v>
      </c>
      <c r="P1976">
        <v>5021.41</v>
      </c>
      <c r="Q1976">
        <v>2749.3199999999997</v>
      </c>
    </row>
    <row r="1977" spans="7:17" x14ac:dyDescent="0.25">
      <c r="G1977" t="str">
        <f t="shared" si="30"/>
        <v/>
      </c>
      <c r="H1977" t="s">
        <v>47</v>
      </c>
      <c r="I1977" t="s">
        <v>10</v>
      </c>
      <c r="J1977" t="s">
        <v>3</v>
      </c>
      <c r="K1977" t="s">
        <v>33</v>
      </c>
      <c r="L1977" t="s">
        <v>39</v>
      </c>
      <c r="M1977" t="s">
        <v>20</v>
      </c>
      <c r="N1977">
        <v>90</v>
      </c>
      <c r="O1977">
        <v>38</v>
      </c>
      <c r="P1977">
        <v>74233.890000000029</v>
      </c>
      <c r="Q1977">
        <v>0</v>
      </c>
    </row>
    <row r="1978" spans="7:17" x14ac:dyDescent="0.25">
      <c r="G1978" t="str">
        <f t="shared" si="30"/>
        <v/>
      </c>
      <c r="H1978" t="s">
        <v>47</v>
      </c>
      <c r="I1978" t="s">
        <v>10</v>
      </c>
      <c r="J1978" t="s">
        <v>3</v>
      </c>
      <c r="K1978" t="s">
        <v>33</v>
      </c>
      <c r="L1978" t="s">
        <v>40</v>
      </c>
      <c r="M1978" t="s">
        <v>19</v>
      </c>
      <c r="N1978">
        <v>27</v>
      </c>
      <c r="O1978">
        <v>0</v>
      </c>
      <c r="P1978">
        <v>18702.670000000002</v>
      </c>
      <c r="Q1978">
        <v>4000</v>
      </c>
    </row>
    <row r="1979" spans="7:17" x14ac:dyDescent="0.25">
      <c r="G1979" t="str">
        <f t="shared" si="30"/>
        <v/>
      </c>
      <c r="H1979" t="s">
        <v>47</v>
      </c>
      <c r="I1979" t="s">
        <v>10</v>
      </c>
      <c r="J1979" t="s">
        <v>3</v>
      </c>
      <c r="K1979" t="s">
        <v>33</v>
      </c>
      <c r="L1979" t="s">
        <v>40</v>
      </c>
      <c r="M1979" t="s">
        <v>20</v>
      </c>
      <c r="N1979">
        <v>40</v>
      </c>
      <c r="O1979">
        <v>10</v>
      </c>
      <c r="P1979">
        <v>25590.120000000006</v>
      </c>
      <c r="Q1979">
        <v>0</v>
      </c>
    </row>
    <row r="1980" spans="7:17" x14ac:dyDescent="0.25">
      <c r="G1980" t="str">
        <f t="shared" si="30"/>
        <v/>
      </c>
      <c r="H1980" t="s">
        <v>47</v>
      </c>
      <c r="I1980" t="s">
        <v>10</v>
      </c>
      <c r="J1980" t="s">
        <v>3</v>
      </c>
      <c r="K1980" t="s">
        <v>33</v>
      </c>
      <c r="L1980" t="s">
        <v>41</v>
      </c>
      <c r="M1980" t="s">
        <v>19</v>
      </c>
      <c r="N1980">
        <v>4</v>
      </c>
      <c r="O1980">
        <v>0</v>
      </c>
      <c r="P1980">
        <v>5033.3799999999992</v>
      </c>
      <c r="Q1980">
        <v>800</v>
      </c>
    </row>
    <row r="1981" spans="7:17" x14ac:dyDescent="0.25">
      <c r="G1981" t="str">
        <f t="shared" si="30"/>
        <v/>
      </c>
      <c r="H1981" t="s">
        <v>47</v>
      </c>
      <c r="I1981" t="s">
        <v>10</v>
      </c>
      <c r="J1981" t="s">
        <v>3</v>
      </c>
      <c r="K1981" t="s">
        <v>33</v>
      </c>
      <c r="L1981" t="s">
        <v>41</v>
      </c>
      <c r="M1981" t="s">
        <v>20</v>
      </c>
      <c r="N1981">
        <v>27</v>
      </c>
      <c r="O1981">
        <v>11</v>
      </c>
      <c r="P1981">
        <v>15888.910000000003</v>
      </c>
      <c r="Q1981">
        <v>0</v>
      </c>
    </row>
    <row r="1982" spans="7:17" x14ac:dyDescent="0.25">
      <c r="G1982" t="str">
        <f t="shared" si="30"/>
        <v/>
      </c>
      <c r="H1982" t="s">
        <v>47</v>
      </c>
      <c r="I1982" t="s">
        <v>10</v>
      </c>
      <c r="J1982" t="s">
        <v>3</v>
      </c>
      <c r="K1982" t="s">
        <v>33</v>
      </c>
      <c r="L1982" t="s">
        <v>45</v>
      </c>
      <c r="M1982" t="s">
        <v>19</v>
      </c>
      <c r="N1982">
        <v>2</v>
      </c>
      <c r="O1982">
        <v>1</v>
      </c>
      <c r="P1982">
        <v>2131.58</v>
      </c>
      <c r="Q1982">
        <v>1000</v>
      </c>
    </row>
    <row r="1983" spans="7:17" x14ac:dyDescent="0.25">
      <c r="G1983" t="str">
        <f t="shared" si="30"/>
        <v/>
      </c>
      <c r="H1983" t="s">
        <v>47</v>
      </c>
      <c r="I1983" t="s">
        <v>10</v>
      </c>
      <c r="J1983" t="s">
        <v>3</v>
      </c>
      <c r="K1983" t="s">
        <v>33</v>
      </c>
      <c r="L1983" t="s">
        <v>45</v>
      </c>
      <c r="M1983" t="s">
        <v>20</v>
      </c>
      <c r="N1983">
        <v>218</v>
      </c>
      <c r="O1983">
        <v>66</v>
      </c>
      <c r="P1983">
        <v>206047.82000000004</v>
      </c>
      <c r="Q1983">
        <v>0</v>
      </c>
    </row>
    <row r="1984" spans="7:17" x14ac:dyDescent="0.25">
      <c r="G1984" t="str">
        <f t="shared" si="30"/>
        <v/>
      </c>
      <c r="H1984" t="s">
        <v>47</v>
      </c>
      <c r="I1984" t="s">
        <v>10</v>
      </c>
      <c r="J1984" t="s">
        <v>3</v>
      </c>
      <c r="K1984" t="s">
        <v>34</v>
      </c>
      <c r="L1984" t="s">
        <v>42</v>
      </c>
      <c r="M1984" t="s">
        <v>19</v>
      </c>
      <c r="N1984">
        <v>322</v>
      </c>
      <c r="O1984">
        <v>91</v>
      </c>
      <c r="P1984">
        <v>123652.27000000008</v>
      </c>
      <c r="Q1984">
        <v>122654.92000000004</v>
      </c>
    </row>
    <row r="1985" spans="7:17" x14ac:dyDescent="0.25">
      <c r="G1985" t="str">
        <f t="shared" si="30"/>
        <v/>
      </c>
      <c r="H1985" t="s">
        <v>47</v>
      </c>
      <c r="I1985" t="s">
        <v>10</v>
      </c>
      <c r="J1985" t="s">
        <v>3</v>
      </c>
      <c r="K1985" t="s">
        <v>34</v>
      </c>
      <c r="L1985" t="s">
        <v>42</v>
      </c>
      <c r="M1985" t="s">
        <v>20</v>
      </c>
      <c r="N1985">
        <v>148</v>
      </c>
      <c r="O1985">
        <v>42</v>
      </c>
      <c r="P1985">
        <v>32346.219999999983</v>
      </c>
      <c r="Q1985">
        <v>0</v>
      </c>
    </row>
    <row r="1986" spans="7:17" x14ac:dyDescent="0.25">
      <c r="G1986" t="str">
        <f t="shared" ref="G1986:G2049" si="31">IF(G$1="Overall","Overall",IF(G$1=L1986,L1986,""))</f>
        <v/>
      </c>
      <c r="H1986" t="s">
        <v>47</v>
      </c>
      <c r="I1986" t="s">
        <v>10</v>
      </c>
      <c r="J1986" t="s">
        <v>3</v>
      </c>
      <c r="K1986" t="s">
        <v>34</v>
      </c>
      <c r="L1986" t="s">
        <v>43</v>
      </c>
      <c r="M1986" t="s">
        <v>19</v>
      </c>
      <c r="N1986">
        <v>33</v>
      </c>
      <c r="O1986">
        <v>16</v>
      </c>
      <c r="P1986">
        <v>24753.319999999996</v>
      </c>
      <c r="Q1986">
        <v>20714.150000000001</v>
      </c>
    </row>
    <row r="1987" spans="7:17" x14ac:dyDescent="0.25">
      <c r="G1987" t="str">
        <f t="shared" si="31"/>
        <v/>
      </c>
      <c r="H1987" t="s">
        <v>47</v>
      </c>
      <c r="I1987" t="s">
        <v>10</v>
      </c>
      <c r="J1987" t="s">
        <v>3</v>
      </c>
      <c r="K1987" t="s">
        <v>34</v>
      </c>
      <c r="L1987" t="s">
        <v>43</v>
      </c>
      <c r="M1987" t="s">
        <v>20</v>
      </c>
      <c r="N1987">
        <v>61</v>
      </c>
      <c r="O1987">
        <v>30</v>
      </c>
      <c r="P1987">
        <v>44050.150000000023</v>
      </c>
      <c r="Q1987">
        <v>0</v>
      </c>
    </row>
    <row r="1988" spans="7:17" x14ac:dyDescent="0.25">
      <c r="G1988" t="str">
        <f t="shared" si="31"/>
        <v/>
      </c>
      <c r="H1988" t="s">
        <v>47</v>
      </c>
      <c r="I1988" t="s">
        <v>10</v>
      </c>
      <c r="J1988" t="s">
        <v>3</v>
      </c>
      <c r="K1988" t="s">
        <v>34</v>
      </c>
      <c r="L1988" t="s">
        <v>44</v>
      </c>
      <c r="M1988" t="s">
        <v>19</v>
      </c>
      <c r="N1988">
        <v>12</v>
      </c>
      <c r="O1988">
        <v>3</v>
      </c>
      <c r="P1988">
        <v>9421.7200000000012</v>
      </c>
      <c r="Q1988">
        <v>6858.4999999999991</v>
      </c>
    </row>
    <row r="1989" spans="7:17" x14ac:dyDescent="0.25">
      <c r="G1989" t="str">
        <f t="shared" si="31"/>
        <v/>
      </c>
      <c r="H1989" t="s">
        <v>47</v>
      </c>
      <c r="I1989" t="s">
        <v>10</v>
      </c>
      <c r="J1989" t="s">
        <v>3</v>
      </c>
      <c r="K1989" t="s">
        <v>34</v>
      </c>
      <c r="L1989" t="s">
        <v>44</v>
      </c>
      <c r="M1989" t="s">
        <v>20</v>
      </c>
      <c r="N1989">
        <v>60</v>
      </c>
      <c r="O1989">
        <v>32</v>
      </c>
      <c r="P1989">
        <v>38221.03</v>
      </c>
      <c r="Q1989">
        <v>0</v>
      </c>
    </row>
    <row r="1990" spans="7:17" x14ac:dyDescent="0.25">
      <c r="G1990" t="str">
        <f t="shared" si="31"/>
        <v/>
      </c>
      <c r="H1990" t="s">
        <v>47</v>
      </c>
      <c r="I1990" t="s">
        <v>10</v>
      </c>
      <c r="J1990" t="s">
        <v>3</v>
      </c>
      <c r="K1990" t="s">
        <v>34</v>
      </c>
      <c r="L1990" t="s">
        <v>39</v>
      </c>
      <c r="M1990" t="s">
        <v>19</v>
      </c>
      <c r="N1990">
        <v>7</v>
      </c>
      <c r="O1990">
        <v>6</v>
      </c>
      <c r="P1990">
        <v>5811.22</v>
      </c>
      <c r="Q1990">
        <v>4834.62</v>
      </c>
    </row>
    <row r="1991" spans="7:17" x14ac:dyDescent="0.25">
      <c r="G1991" t="str">
        <f t="shared" si="31"/>
        <v/>
      </c>
      <c r="H1991" t="s">
        <v>47</v>
      </c>
      <c r="I1991" t="s">
        <v>10</v>
      </c>
      <c r="J1991" t="s">
        <v>3</v>
      </c>
      <c r="K1991" t="s">
        <v>34</v>
      </c>
      <c r="L1991" t="s">
        <v>39</v>
      </c>
      <c r="M1991" t="s">
        <v>20</v>
      </c>
      <c r="N1991">
        <v>57</v>
      </c>
      <c r="O1991">
        <v>32</v>
      </c>
      <c r="P1991">
        <v>37031.339999999997</v>
      </c>
      <c r="Q1991">
        <v>0</v>
      </c>
    </row>
    <row r="1992" spans="7:17" x14ac:dyDescent="0.25">
      <c r="G1992" t="str">
        <f t="shared" si="31"/>
        <v/>
      </c>
      <c r="H1992" t="s">
        <v>47</v>
      </c>
      <c r="I1992" t="s">
        <v>10</v>
      </c>
      <c r="J1992" t="s">
        <v>3</v>
      </c>
      <c r="K1992" t="s">
        <v>34</v>
      </c>
      <c r="L1992" t="s">
        <v>40</v>
      </c>
      <c r="M1992" t="s">
        <v>20</v>
      </c>
      <c r="N1992">
        <v>29</v>
      </c>
      <c r="O1992">
        <v>6</v>
      </c>
      <c r="P1992">
        <v>18485.43</v>
      </c>
      <c r="Q1992">
        <v>0</v>
      </c>
    </row>
    <row r="1993" spans="7:17" x14ac:dyDescent="0.25">
      <c r="G1993" t="str">
        <f t="shared" si="31"/>
        <v/>
      </c>
      <c r="H1993" t="s">
        <v>47</v>
      </c>
      <c r="I1993" t="s">
        <v>10</v>
      </c>
      <c r="J1993" t="s">
        <v>3</v>
      </c>
      <c r="K1993" t="s">
        <v>34</v>
      </c>
      <c r="L1993" t="s">
        <v>41</v>
      </c>
      <c r="M1993" t="s">
        <v>20</v>
      </c>
      <c r="N1993">
        <v>13</v>
      </c>
      <c r="O1993">
        <v>1</v>
      </c>
      <c r="P1993">
        <v>8467.2300000000014</v>
      </c>
      <c r="Q1993">
        <v>0</v>
      </c>
    </row>
    <row r="1994" spans="7:17" x14ac:dyDescent="0.25">
      <c r="G1994" t="str">
        <f t="shared" si="31"/>
        <v/>
      </c>
      <c r="H1994" t="s">
        <v>47</v>
      </c>
      <c r="I1994" t="s">
        <v>10</v>
      </c>
      <c r="J1994" t="s">
        <v>3</v>
      </c>
      <c r="K1994" t="s">
        <v>34</v>
      </c>
      <c r="L1994" t="s">
        <v>45</v>
      </c>
      <c r="M1994" t="s">
        <v>19</v>
      </c>
      <c r="N1994">
        <v>5</v>
      </c>
      <c r="O1994">
        <v>2</v>
      </c>
      <c r="P1994">
        <v>2691.2799999999997</v>
      </c>
      <c r="Q1994">
        <v>2691.2799999999997</v>
      </c>
    </row>
    <row r="1995" spans="7:17" x14ac:dyDescent="0.25">
      <c r="G1995" t="str">
        <f t="shared" si="31"/>
        <v/>
      </c>
      <c r="H1995" t="s">
        <v>47</v>
      </c>
      <c r="I1995" t="s">
        <v>10</v>
      </c>
      <c r="J1995" t="s">
        <v>3</v>
      </c>
      <c r="K1995" t="s">
        <v>34</v>
      </c>
      <c r="L1995" t="s">
        <v>45</v>
      </c>
      <c r="M1995" t="s">
        <v>20</v>
      </c>
      <c r="N1995">
        <v>159</v>
      </c>
      <c r="O1995">
        <v>61</v>
      </c>
      <c r="P1995">
        <v>101015.34000000003</v>
      </c>
      <c r="Q1995">
        <v>0</v>
      </c>
    </row>
    <row r="1996" spans="7:17" x14ac:dyDescent="0.25">
      <c r="G1996" t="str">
        <f t="shared" si="31"/>
        <v/>
      </c>
      <c r="H1996" t="s">
        <v>47</v>
      </c>
      <c r="I1996" t="s">
        <v>10</v>
      </c>
      <c r="J1996" t="s">
        <v>3</v>
      </c>
      <c r="K1996" t="s">
        <v>35</v>
      </c>
      <c r="L1996" t="s">
        <v>42</v>
      </c>
      <c r="M1996" t="s">
        <v>19</v>
      </c>
      <c r="N1996">
        <v>877</v>
      </c>
      <c r="O1996">
        <v>278</v>
      </c>
      <c r="P1996">
        <v>346401.68000000028</v>
      </c>
      <c r="Q1996">
        <v>338981.48000000033</v>
      </c>
    </row>
    <row r="1997" spans="7:17" x14ac:dyDescent="0.25">
      <c r="G1997" t="str">
        <f t="shared" si="31"/>
        <v/>
      </c>
      <c r="H1997" t="s">
        <v>47</v>
      </c>
      <c r="I1997" t="s">
        <v>10</v>
      </c>
      <c r="J1997" t="s">
        <v>3</v>
      </c>
      <c r="K1997" t="s">
        <v>35</v>
      </c>
      <c r="L1997" t="s">
        <v>42</v>
      </c>
      <c r="M1997" t="s">
        <v>20</v>
      </c>
      <c r="N1997">
        <v>429</v>
      </c>
      <c r="O1997">
        <v>147</v>
      </c>
      <c r="P1997">
        <v>157094.94</v>
      </c>
      <c r="Q1997">
        <v>0</v>
      </c>
    </row>
    <row r="1998" spans="7:17" x14ac:dyDescent="0.25">
      <c r="G1998" t="str">
        <f t="shared" si="31"/>
        <v/>
      </c>
      <c r="H1998" t="s">
        <v>47</v>
      </c>
      <c r="I1998" t="s">
        <v>10</v>
      </c>
      <c r="J1998" t="s">
        <v>3</v>
      </c>
      <c r="K1998" t="s">
        <v>35</v>
      </c>
      <c r="L1998" t="s">
        <v>43</v>
      </c>
      <c r="M1998" t="s">
        <v>19</v>
      </c>
      <c r="N1998">
        <v>65</v>
      </c>
      <c r="O1998">
        <v>28</v>
      </c>
      <c r="P1998">
        <v>48739.709999999977</v>
      </c>
      <c r="Q1998">
        <v>40321.899999999987</v>
      </c>
    </row>
    <row r="1999" spans="7:17" x14ac:dyDescent="0.25">
      <c r="G1999" t="str">
        <f t="shared" si="31"/>
        <v/>
      </c>
      <c r="H1999" t="s">
        <v>47</v>
      </c>
      <c r="I1999" t="s">
        <v>10</v>
      </c>
      <c r="J1999" t="s">
        <v>3</v>
      </c>
      <c r="K1999" t="s">
        <v>35</v>
      </c>
      <c r="L1999" t="s">
        <v>43</v>
      </c>
      <c r="M1999" t="s">
        <v>20</v>
      </c>
      <c r="N1999">
        <v>170</v>
      </c>
      <c r="O1999">
        <v>79</v>
      </c>
      <c r="P1999">
        <v>104949.25000000003</v>
      </c>
      <c r="Q1999">
        <v>0</v>
      </c>
    </row>
    <row r="2000" spans="7:17" x14ac:dyDescent="0.25">
      <c r="G2000" t="str">
        <f t="shared" si="31"/>
        <v/>
      </c>
      <c r="H2000" t="s">
        <v>47</v>
      </c>
      <c r="I2000" t="s">
        <v>10</v>
      </c>
      <c r="J2000" t="s">
        <v>3</v>
      </c>
      <c r="K2000" t="s">
        <v>35</v>
      </c>
      <c r="L2000" t="s">
        <v>44</v>
      </c>
      <c r="M2000" t="s">
        <v>19</v>
      </c>
      <c r="N2000">
        <v>19</v>
      </c>
      <c r="O2000">
        <v>7</v>
      </c>
      <c r="P2000">
        <v>12500.840000000002</v>
      </c>
      <c r="Q2000">
        <v>7590.24</v>
      </c>
    </row>
    <row r="2001" spans="7:17" x14ac:dyDescent="0.25">
      <c r="G2001" t="str">
        <f t="shared" si="31"/>
        <v/>
      </c>
      <c r="H2001" t="s">
        <v>47</v>
      </c>
      <c r="I2001" t="s">
        <v>10</v>
      </c>
      <c r="J2001" t="s">
        <v>3</v>
      </c>
      <c r="K2001" t="s">
        <v>35</v>
      </c>
      <c r="L2001" t="s">
        <v>44</v>
      </c>
      <c r="M2001" t="s">
        <v>20</v>
      </c>
      <c r="N2001">
        <v>160</v>
      </c>
      <c r="O2001">
        <v>87</v>
      </c>
      <c r="P2001">
        <v>112796.84000000003</v>
      </c>
      <c r="Q2001">
        <v>0</v>
      </c>
    </row>
    <row r="2002" spans="7:17" x14ac:dyDescent="0.25">
      <c r="G2002" t="str">
        <f t="shared" si="31"/>
        <v/>
      </c>
      <c r="H2002" t="s">
        <v>47</v>
      </c>
      <c r="I2002" t="s">
        <v>10</v>
      </c>
      <c r="J2002" t="s">
        <v>3</v>
      </c>
      <c r="K2002" t="s">
        <v>36</v>
      </c>
      <c r="L2002" t="s">
        <v>42</v>
      </c>
      <c r="M2002" t="s">
        <v>19</v>
      </c>
      <c r="N2002">
        <v>639</v>
      </c>
      <c r="O2002">
        <v>224</v>
      </c>
      <c r="P2002">
        <v>274007.86000000051</v>
      </c>
      <c r="Q2002">
        <v>271127.07000000047</v>
      </c>
    </row>
    <row r="2003" spans="7:17" x14ac:dyDescent="0.25">
      <c r="G2003" t="str">
        <f t="shared" si="31"/>
        <v/>
      </c>
      <c r="H2003" t="s">
        <v>47</v>
      </c>
      <c r="I2003" t="s">
        <v>10</v>
      </c>
      <c r="J2003" t="s">
        <v>3</v>
      </c>
      <c r="K2003" t="s">
        <v>36</v>
      </c>
      <c r="L2003" t="s">
        <v>42</v>
      </c>
      <c r="M2003" t="s">
        <v>20</v>
      </c>
      <c r="N2003">
        <v>544</v>
      </c>
      <c r="O2003">
        <v>117</v>
      </c>
      <c r="P2003">
        <v>120226.85000000043</v>
      </c>
      <c r="Q2003">
        <v>0</v>
      </c>
    </row>
    <row r="2004" spans="7:17" x14ac:dyDescent="0.25">
      <c r="G2004" t="str">
        <f t="shared" si="31"/>
        <v/>
      </c>
      <c r="H2004" t="s">
        <v>47</v>
      </c>
      <c r="I2004" t="s">
        <v>10</v>
      </c>
      <c r="J2004" t="s">
        <v>3</v>
      </c>
      <c r="K2004" t="s">
        <v>36</v>
      </c>
      <c r="L2004" t="s">
        <v>43</v>
      </c>
      <c r="M2004" t="s">
        <v>19</v>
      </c>
      <c r="N2004">
        <v>50</v>
      </c>
      <c r="O2004">
        <v>25</v>
      </c>
      <c r="P2004">
        <v>55092.33</v>
      </c>
      <c r="Q2004">
        <v>48319.66</v>
      </c>
    </row>
    <row r="2005" spans="7:17" x14ac:dyDescent="0.25">
      <c r="G2005" t="str">
        <f t="shared" si="31"/>
        <v/>
      </c>
      <c r="H2005" t="s">
        <v>47</v>
      </c>
      <c r="I2005" t="s">
        <v>10</v>
      </c>
      <c r="J2005" t="s">
        <v>3</v>
      </c>
      <c r="K2005" t="s">
        <v>36</v>
      </c>
      <c r="L2005" t="s">
        <v>43</v>
      </c>
      <c r="M2005" t="s">
        <v>20</v>
      </c>
      <c r="N2005">
        <v>107</v>
      </c>
      <c r="O2005">
        <v>35</v>
      </c>
      <c r="P2005">
        <v>64406.149999999965</v>
      </c>
      <c r="Q2005">
        <v>0</v>
      </c>
    </row>
    <row r="2006" spans="7:17" x14ac:dyDescent="0.25">
      <c r="G2006" t="str">
        <f t="shared" si="31"/>
        <v/>
      </c>
      <c r="H2006" t="s">
        <v>47</v>
      </c>
      <c r="I2006" t="s">
        <v>10</v>
      </c>
      <c r="J2006" t="s">
        <v>3</v>
      </c>
      <c r="K2006" t="s">
        <v>36</v>
      </c>
      <c r="L2006" t="s">
        <v>44</v>
      </c>
      <c r="M2006" t="s">
        <v>19</v>
      </c>
      <c r="N2006">
        <v>20</v>
      </c>
      <c r="O2006">
        <v>11</v>
      </c>
      <c r="P2006">
        <v>22040.36</v>
      </c>
      <c r="Q2006">
        <v>18218.399999999998</v>
      </c>
    </row>
    <row r="2007" spans="7:17" x14ac:dyDescent="0.25">
      <c r="G2007" t="str">
        <f t="shared" si="31"/>
        <v/>
      </c>
      <c r="H2007" t="s">
        <v>47</v>
      </c>
      <c r="I2007" t="s">
        <v>10</v>
      </c>
      <c r="J2007" t="s">
        <v>3</v>
      </c>
      <c r="K2007" t="s">
        <v>36</v>
      </c>
      <c r="L2007" t="s">
        <v>44</v>
      </c>
      <c r="M2007" t="s">
        <v>20</v>
      </c>
      <c r="N2007">
        <v>247</v>
      </c>
      <c r="O2007">
        <v>53</v>
      </c>
      <c r="P2007">
        <v>125021.95999999954</v>
      </c>
      <c r="Q2007">
        <v>0</v>
      </c>
    </row>
    <row r="2008" spans="7:17" x14ac:dyDescent="0.25">
      <c r="G2008" t="str">
        <f t="shared" si="31"/>
        <v/>
      </c>
      <c r="H2008" t="s">
        <v>47</v>
      </c>
      <c r="I2008" t="s">
        <v>10</v>
      </c>
      <c r="J2008" t="s">
        <v>3</v>
      </c>
      <c r="K2008" t="s">
        <v>36</v>
      </c>
      <c r="L2008" t="s">
        <v>39</v>
      </c>
      <c r="M2008" t="s">
        <v>19</v>
      </c>
      <c r="N2008">
        <v>32</v>
      </c>
      <c r="O2008">
        <v>17</v>
      </c>
      <c r="P2008">
        <v>40528.85</v>
      </c>
      <c r="Q2008">
        <v>30012.37</v>
      </c>
    </row>
    <row r="2009" spans="7:17" x14ac:dyDescent="0.25">
      <c r="G2009" t="str">
        <f t="shared" si="31"/>
        <v/>
      </c>
      <c r="H2009" t="s">
        <v>47</v>
      </c>
      <c r="I2009" t="s">
        <v>10</v>
      </c>
      <c r="J2009" t="s">
        <v>3</v>
      </c>
      <c r="K2009" t="s">
        <v>36</v>
      </c>
      <c r="L2009" t="s">
        <v>39</v>
      </c>
      <c r="M2009" t="s">
        <v>20</v>
      </c>
      <c r="N2009">
        <v>116</v>
      </c>
      <c r="O2009">
        <v>77</v>
      </c>
      <c r="P2009">
        <v>82710.909999999974</v>
      </c>
      <c r="Q2009">
        <v>0</v>
      </c>
    </row>
    <row r="2010" spans="7:17" x14ac:dyDescent="0.25">
      <c r="G2010" t="str">
        <f t="shared" si="31"/>
        <v/>
      </c>
      <c r="H2010" t="s">
        <v>47</v>
      </c>
      <c r="I2010" t="s">
        <v>10</v>
      </c>
      <c r="J2010" t="s">
        <v>3</v>
      </c>
      <c r="K2010" t="s">
        <v>36</v>
      </c>
      <c r="L2010" t="s">
        <v>40</v>
      </c>
      <c r="M2010" t="s">
        <v>19</v>
      </c>
      <c r="N2010">
        <v>4</v>
      </c>
      <c r="O2010">
        <v>1</v>
      </c>
      <c r="P2010">
        <v>5623.52</v>
      </c>
      <c r="Q2010">
        <v>5248.15</v>
      </c>
    </row>
    <row r="2011" spans="7:17" x14ac:dyDescent="0.25">
      <c r="G2011" t="str">
        <f t="shared" si="31"/>
        <v/>
      </c>
      <c r="H2011" t="s">
        <v>47</v>
      </c>
      <c r="I2011" t="s">
        <v>10</v>
      </c>
      <c r="J2011" t="s">
        <v>3</v>
      </c>
      <c r="K2011" t="s">
        <v>36</v>
      </c>
      <c r="L2011" t="s">
        <v>40</v>
      </c>
      <c r="M2011" t="s">
        <v>20</v>
      </c>
      <c r="N2011">
        <v>53</v>
      </c>
      <c r="O2011">
        <v>17</v>
      </c>
      <c r="P2011">
        <v>23693.18</v>
      </c>
      <c r="Q2011">
        <v>0</v>
      </c>
    </row>
    <row r="2012" spans="7:17" x14ac:dyDescent="0.25">
      <c r="G2012" t="str">
        <f t="shared" si="31"/>
        <v/>
      </c>
      <c r="H2012" t="s">
        <v>47</v>
      </c>
      <c r="I2012" t="s">
        <v>10</v>
      </c>
      <c r="J2012" t="s">
        <v>3</v>
      </c>
      <c r="K2012" t="s">
        <v>36</v>
      </c>
      <c r="L2012" t="s">
        <v>41</v>
      </c>
      <c r="M2012" t="s">
        <v>20</v>
      </c>
      <c r="N2012">
        <v>18</v>
      </c>
      <c r="O2012">
        <v>8</v>
      </c>
      <c r="P2012">
        <v>14353.069999999998</v>
      </c>
      <c r="Q2012">
        <v>0</v>
      </c>
    </row>
    <row r="2013" spans="7:17" x14ac:dyDescent="0.25">
      <c r="G2013" t="str">
        <f t="shared" si="31"/>
        <v/>
      </c>
      <c r="H2013" t="s">
        <v>47</v>
      </c>
      <c r="I2013" t="s">
        <v>10</v>
      </c>
      <c r="J2013" t="s">
        <v>3</v>
      </c>
      <c r="K2013" t="s">
        <v>36</v>
      </c>
      <c r="L2013" t="s">
        <v>45</v>
      </c>
      <c r="M2013" t="s">
        <v>19</v>
      </c>
      <c r="N2013">
        <v>1</v>
      </c>
      <c r="O2013">
        <v>0</v>
      </c>
      <c r="P2013">
        <v>1309.92</v>
      </c>
      <c r="Q2013">
        <v>1309.92</v>
      </c>
    </row>
    <row r="2014" spans="7:17" x14ac:dyDescent="0.25">
      <c r="G2014" t="str">
        <f t="shared" si="31"/>
        <v/>
      </c>
      <c r="H2014" t="s">
        <v>47</v>
      </c>
      <c r="I2014" t="s">
        <v>10</v>
      </c>
      <c r="J2014" t="s">
        <v>3</v>
      </c>
      <c r="K2014" t="s">
        <v>36</v>
      </c>
      <c r="L2014" t="s">
        <v>45</v>
      </c>
      <c r="M2014" t="s">
        <v>20</v>
      </c>
      <c r="N2014">
        <v>151</v>
      </c>
      <c r="O2014">
        <v>72</v>
      </c>
      <c r="P2014">
        <v>139763.02000000008</v>
      </c>
      <c r="Q2014">
        <v>0</v>
      </c>
    </row>
    <row r="2015" spans="7:17" x14ac:dyDescent="0.25">
      <c r="G2015" t="str">
        <f t="shared" si="31"/>
        <v/>
      </c>
      <c r="H2015" t="s">
        <v>47</v>
      </c>
      <c r="I2015" t="s">
        <v>10</v>
      </c>
      <c r="J2015" t="s">
        <v>3</v>
      </c>
      <c r="K2015" t="s">
        <v>37</v>
      </c>
      <c r="L2015" t="s">
        <v>42</v>
      </c>
      <c r="M2015" t="s">
        <v>19</v>
      </c>
      <c r="N2015">
        <v>1093</v>
      </c>
      <c r="O2015">
        <v>269</v>
      </c>
      <c r="P2015">
        <v>366820.69000000018</v>
      </c>
      <c r="Q2015">
        <v>353940.81000000011</v>
      </c>
    </row>
    <row r="2016" spans="7:17" x14ac:dyDescent="0.25">
      <c r="G2016" t="str">
        <f t="shared" si="31"/>
        <v/>
      </c>
      <c r="H2016" t="s">
        <v>47</v>
      </c>
      <c r="I2016" t="s">
        <v>10</v>
      </c>
      <c r="J2016" t="s">
        <v>3</v>
      </c>
      <c r="K2016" t="s">
        <v>37</v>
      </c>
      <c r="L2016" t="s">
        <v>42</v>
      </c>
      <c r="M2016" t="s">
        <v>20</v>
      </c>
      <c r="N2016">
        <v>385</v>
      </c>
      <c r="O2016">
        <v>73</v>
      </c>
      <c r="P2016">
        <v>86084.760000000097</v>
      </c>
      <c r="Q2016">
        <v>0</v>
      </c>
    </row>
    <row r="2017" spans="7:17" x14ac:dyDescent="0.25">
      <c r="G2017" t="str">
        <f t="shared" si="31"/>
        <v/>
      </c>
      <c r="H2017" t="s">
        <v>47</v>
      </c>
      <c r="I2017" t="s">
        <v>10</v>
      </c>
      <c r="J2017" t="s">
        <v>3</v>
      </c>
      <c r="K2017" t="s">
        <v>37</v>
      </c>
      <c r="L2017" t="s">
        <v>43</v>
      </c>
      <c r="M2017" t="s">
        <v>19</v>
      </c>
      <c r="N2017">
        <v>51</v>
      </c>
      <c r="O2017">
        <v>27</v>
      </c>
      <c r="P2017">
        <v>36353.489999999991</v>
      </c>
      <c r="Q2017">
        <v>31773.429999999993</v>
      </c>
    </row>
    <row r="2018" spans="7:17" x14ac:dyDescent="0.25">
      <c r="G2018" t="str">
        <f t="shared" si="31"/>
        <v/>
      </c>
      <c r="H2018" t="s">
        <v>47</v>
      </c>
      <c r="I2018" t="s">
        <v>10</v>
      </c>
      <c r="J2018" t="s">
        <v>3</v>
      </c>
      <c r="K2018" t="s">
        <v>37</v>
      </c>
      <c r="L2018" t="s">
        <v>43</v>
      </c>
      <c r="M2018" t="s">
        <v>20</v>
      </c>
      <c r="N2018">
        <v>132</v>
      </c>
      <c r="O2018">
        <v>37</v>
      </c>
      <c r="P2018">
        <v>77612.26999999999</v>
      </c>
      <c r="Q2018">
        <v>0</v>
      </c>
    </row>
    <row r="2019" spans="7:17" x14ac:dyDescent="0.25">
      <c r="G2019" t="str">
        <f t="shared" si="31"/>
        <v/>
      </c>
      <c r="H2019" t="s">
        <v>47</v>
      </c>
      <c r="I2019" t="s">
        <v>10</v>
      </c>
      <c r="J2019" t="s">
        <v>3</v>
      </c>
      <c r="K2019" t="s">
        <v>37</v>
      </c>
      <c r="L2019" t="s">
        <v>44</v>
      </c>
      <c r="M2019" t="s">
        <v>19</v>
      </c>
      <c r="N2019">
        <v>12</v>
      </c>
      <c r="O2019">
        <v>7</v>
      </c>
      <c r="P2019">
        <v>11579.5</v>
      </c>
      <c r="Q2019">
        <v>10887.55</v>
      </c>
    </row>
    <row r="2020" spans="7:17" x14ac:dyDescent="0.25">
      <c r="G2020" t="str">
        <f t="shared" si="31"/>
        <v/>
      </c>
      <c r="H2020" t="s">
        <v>47</v>
      </c>
      <c r="I2020" t="s">
        <v>10</v>
      </c>
      <c r="J2020" t="s">
        <v>3</v>
      </c>
      <c r="K2020" t="s">
        <v>37</v>
      </c>
      <c r="L2020" t="s">
        <v>44</v>
      </c>
      <c r="M2020" t="s">
        <v>20</v>
      </c>
      <c r="N2020">
        <v>110</v>
      </c>
      <c r="O2020">
        <v>55</v>
      </c>
      <c r="P2020">
        <v>78867.349999999991</v>
      </c>
      <c r="Q2020">
        <v>0</v>
      </c>
    </row>
    <row r="2021" spans="7:17" x14ac:dyDescent="0.25">
      <c r="G2021" t="str">
        <f t="shared" si="31"/>
        <v/>
      </c>
      <c r="H2021" t="s">
        <v>47</v>
      </c>
      <c r="I2021" t="s">
        <v>10</v>
      </c>
      <c r="J2021" t="s">
        <v>3</v>
      </c>
      <c r="K2021" t="s">
        <v>37</v>
      </c>
      <c r="L2021" t="s">
        <v>39</v>
      </c>
      <c r="M2021" t="s">
        <v>19</v>
      </c>
      <c r="N2021">
        <v>6</v>
      </c>
      <c r="O2021">
        <v>4</v>
      </c>
      <c r="P2021">
        <v>6217.1</v>
      </c>
      <c r="Q2021">
        <v>3748.2000000000003</v>
      </c>
    </row>
    <row r="2022" spans="7:17" x14ac:dyDescent="0.25">
      <c r="G2022" t="str">
        <f t="shared" si="31"/>
        <v/>
      </c>
      <c r="H2022" t="s">
        <v>47</v>
      </c>
      <c r="I2022" t="s">
        <v>10</v>
      </c>
      <c r="J2022" t="s">
        <v>3</v>
      </c>
      <c r="K2022" t="s">
        <v>37</v>
      </c>
      <c r="L2022" t="s">
        <v>39</v>
      </c>
      <c r="M2022" t="s">
        <v>20</v>
      </c>
      <c r="N2022">
        <v>69</v>
      </c>
      <c r="O2022">
        <v>47</v>
      </c>
      <c r="P2022">
        <v>47671.409999999989</v>
      </c>
      <c r="Q2022">
        <v>0</v>
      </c>
    </row>
    <row r="2023" spans="7:17" x14ac:dyDescent="0.25">
      <c r="G2023" t="str">
        <f t="shared" si="31"/>
        <v/>
      </c>
      <c r="H2023" t="s">
        <v>47</v>
      </c>
      <c r="I2023" t="s">
        <v>10</v>
      </c>
      <c r="J2023" t="s">
        <v>3</v>
      </c>
      <c r="K2023" t="s">
        <v>37</v>
      </c>
      <c r="L2023" t="s">
        <v>40</v>
      </c>
      <c r="M2023" t="s">
        <v>19</v>
      </c>
      <c r="N2023">
        <v>1</v>
      </c>
      <c r="O2023">
        <v>0</v>
      </c>
      <c r="P2023">
        <v>291.62</v>
      </c>
      <c r="Q2023">
        <v>56.620000000000005</v>
      </c>
    </row>
    <row r="2024" spans="7:17" x14ac:dyDescent="0.25">
      <c r="G2024" t="str">
        <f t="shared" si="31"/>
        <v/>
      </c>
      <c r="H2024" t="s">
        <v>47</v>
      </c>
      <c r="I2024" t="s">
        <v>10</v>
      </c>
      <c r="J2024" t="s">
        <v>3</v>
      </c>
      <c r="K2024" t="s">
        <v>37</v>
      </c>
      <c r="L2024" t="s">
        <v>40</v>
      </c>
      <c r="M2024" t="s">
        <v>20</v>
      </c>
      <c r="N2024">
        <v>27</v>
      </c>
      <c r="O2024">
        <v>4</v>
      </c>
      <c r="P2024">
        <v>13711.09</v>
      </c>
      <c r="Q2024">
        <v>0</v>
      </c>
    </row>
    <row r="2025" spans="7:17" x14ac:dyDescent="0.25">
      <c r="G2025" t="str">
        <f t="shared" si="31"/>
        <v/>
      </c>
      <c r="H2025" t="s">
        <v>47</v>
      </c>
      <c r="I2025" t="s">
        <v>10</v>
      </c>
      <c r="J2025" t="s">
        <v>3</v>
      </c>
      <c r="K2025" t="s">
        <v>37</v>
      </c>
      <c r="L2025" t="s">
        <v>41</v>
      </c>
      <c r="M2025" t="s">
        <v>20</v>
      </c>
      <c r="N2025">
        <v>11</v>
      </c>
      <c r="O2025">
        <v>3</v>
      </c>
      <c r="P2025">
        <v>7775.09</v>
      </c>
      <c r="Q2025">
        <v>0</v>
      </c>
    </row>
    <row r="2026" spans="7:17" x14ac:dyDescent="0.25">
      <c r="G2026" t="str">
        <f t="shared" si="31"/>
        <v/>
      </c>
      <c r="H2026" t="s">
        <v>47</v>
      </c>
      <c r="I2026" t="s">
        <v>10</v>
      </c>
      <c r="J2026" t="s">
        <v>3</v>
      </c>
      <c r="K2026" t="s">
        <v>37</v>
      </c>
      <c r="L2026" t="s">
        <v>45</v>
      </c>
      <c r="M2026" t="s">
        <v>19</v>
      </c>
      <c r="N2026">
        <v>2</v>
      </c>
      <c r="O2026">
        <v>2</v>
      </c>
      <c r="P2026">
        <v>810.96</v>
      </c>
      <c r="Q2026">
        <v>810.96</v>
      </c>
    </row>
    <row r="2027" spans="7:17" x14ac:dyDescent="0.25">
      <c r="G2027" t="str">
        <f t="shared" si="31"/>
        <v/>
      </c>
      <c r="H2027" t="s">
        <v>47</v>
      </c>
      <c r="I2027" t="s">
        <v>10</v>
      </c>
      <c r="J2027" t="s">
        <v>3</v>
      </c>
      <c r="K2027" t="s">
        <v>37</v>
      </c>
      <c r="L2027" t="s">
        <v>45</v>
      </c>
      <c r="M2027" t="s">
        <v>20</v>
      </c>
      <c r="N2027">
        <v>178</v>
      </c>
      <c r="O2027">
        <v>73</v>
      </c>
      <c r="P2027">
        <v>105904.82999999999</v>
      </c>
      <c r="Q2027">
        <v>0</v>
      </c>
    </row>
    <row r="2028" spans="7:17" x14ac:dyDescent="0.25">
      <c r="G2028" t="str">
        <f t="shared" si="31"/>
        <v/>
      </c>
      <c r="H2028" t="s">
        <v>47</v>
      </c>
      <c r="I2028" t="s">
        <v>10</v>
      </c>
      <c r="J2028" t="s">
        <v>3</v>
      </c>
      <c r="K2028" t="s">
        <v>38</v>
      </c>
      <c r="L2028" t="s">
        <v>42</v>
      </c>
      <c r="M2028" t="s">
        <v>19</v>
      </c>
      <c r="N2028">
        <v>440</v>
      </c>
      <c r="O2028">
        <v>140</v>
      </c>
      <c r="P2028">
        <v>188110.49000000051</v>
      </c>
      <c r="Q2028">
        <v>186458.49000000046</v>
      </c>
    </row>
    <row r="2029" spans="7:17" x14ac:dyDescent="0.25">
      <c r="G2029" t="str">
        <f t="shared" si="31"/>
        <v/>
      </c>
      <c r="H2029" t="s">
        <v>47</v>
      </c>
      <c r="I2029" t="s">
        <v>10</v>
      </c>
      <c r="J2029" t="s">
        <v>3</v>
      </c>
      <c r="K2029" t="s">
        <v>38</v>
      </c>
      <c r="L2029" t="s">
        <v>42</v>
      </c>
      <c r="M2029" t="s">
        <v>20</v>
      </c>
      <c r="N2029">
        <v>277</v>
      </c>
      <c r="O2029">
        <v>52</v>
      </c>
      <c r="P2029">
        <v>76411.310000000027</v>
      </c>
      <c r="Q2029">
        <v>0</v>
      </c>
    </row>
    <row r="2030" spans="7:17" x14ac:dyDescent="0.25">
      <c r="G2030" t="str">
        <f t="shared" si="31"/>
        <v/>
      </c>
      <c r="H2030" t="s">
        <v>47</v>
      </c>
      <c r="I2030" t="s">
        <v>10</v>
      </c>
      <c r="J2030" t="s">
        <v>3</v>
      </c>
      <c r="K2030" t="s">
        <v>38</v>
      </c>
      <c r="L2030" t="s">
        <v>43</v>
      </c>
      <c r="M2030" t="s">
        <v>19</v>
      </c>
      <c r="N2030">
        <v>28</v>
      </c>
      <c r="O2030">
        <v>8</v>
      </c>
      <c r="P2030">
        <v>22557.599999999999</v>
      </c>
      <c r="Q2030">
        <v>17112.29</v>
      </c>
    </row>
    <row r="2031" spans="7:17" x14ac:dyDescent="0.25">
      <c r="G2031" t="str">
        <f t="shared" si="31"/>
        <v/>
      </c>
      <c r="H2031" t="s">
        <v>47</v>
      </c>
      <c r="I2031" t="s">
        <v>10</v>
      </c>
      <c r="J2031" t="s">
        <v>3</v>
      </c>
      <c r="K2031" t="s">
        <v>38</v>
      </c>
      <c r="L2031" t="s">
        <v>43</v>
      </c>
      <c r="M2031" t="s">
        <v>20</v>
      </c>
      <c r="N2031">
        <v>81</v>
      </c>
      <c r="O2031">
        <v>32</v>
      </c>
      <c r="P2031">
        <v>60168.089999999953</v>
      </c>
      <c r="Q2031">
        <v>0</v>
      </c>
    </row>
    <row r="2032" spans="7:17" x14ac:dyDescent="0.25">
      <c r="G2032" t="str">
        <f t="shared" si="31"/>
        <v/>
      </c>
      <c r="H2032" t="s">
        <v>47</v>
      </c>
      <c r="I2032" t="s">
        <v>10</v>
      </c>
      <c r="J2032" t="s">
        <v>3</v>
      </c>
      <c r="K2032" t="s">
        <v>38</v>
      </c>
      <c r="L2032" t="s">
        <v>44</v>
      </c>
      <c r="M2032" t="s">
        <v>19</v>
      </c>
      <c r="N2032">
        <v>12</v>
      </c>
      <c r="O2032">
        <v>5</v>
      </c>
      <c r="P2032">
        <v>13194.000000000002</v>
      </c>
      <c r="Q2032">
        <v>6920.35</v>
      </c>
    </row>
    <row r="2033" spans="7:17" x14ac:dyDescent="0.25">
      <c r="G2033" t="str">
        <f t="shared" si="31"/>
        <v/>
      </c>
      <c r="H2033" t="s">
        <v>47</v>
      </c>
      <c r="I2033" t="s">
        <v>10</v>
      </c>
      <c r="J2033" t="s">
        <v>3</v>
      </c>
      <c r="K2033" t="s">
        <v>38</v>
      </c>
      <c r="L2033" t="s">
        <v>44</v>
      </c>
      <c r="M2033" t="s">
        <v>20</v>
      </c>
      <c r="N2033">
        <v>104</v>
      </c>
      <c r="O2033">
        <v>37</v>
      </c>
      <c r="P2033">
        <v>88136.48000000004</v>
      </c>
      <c r="Q2033">
        <v>0</v>
      </c>
    </row>
    <row r="2034" spans="7:17" x14ac:dyDescent="0.25">
      <c r="G2034" t="str">
        <f t="shared" si="31"/>
        <v/>
      </c>
      <c r="H2034" t="s">
        <v>47</v>
      </c>
      <c r="I2034" t="s">
        <v>10</v>
      </c>
      <c r="J2034" t="s">
        <v>3</v>
      </c>
      <c r="K2034" t="s">
        <v>38</v>
      </c>
      <c r="L2034" t="s">
        <v>39</v>
      </c>
      <c r="M2034" t="s">
        <v>19</v>
      </c>
      <c r="N2034">
        <v>10</v>
      </c>
      <c r="O2034">
        <v>6</v>
      </c>
      <c r="P2034">
        <v>9844.67</v>
      </c>
      <c r="Q2034">
        <v>5779.7600000000011</v>
      </c>
    </row>
    <row r="2035" spans="7:17" x14ac:dyDescent="0.25">
      <c r="G2035" t="str">
        <f t="shared" si="31"/>
        <v/>
      </c>
      <c r="H2035" t="s">
        <v>47</v>
      </c>
      <c r="I2035" t="s">
        <v>10</v>
      </c>
      <c r="J2035" t="s">
        <v>3</v>
      </c>
      <c r="K2035" t="s">
        <v>38</v>
      </c>
      <c r="L2035" t="s">
        <v>39</v>
      </c>
      <c r="M2035" t="s">
        <v>20</v>
      </c>
      <c r="N2035">
        <v>101</v>
      </c>
      <c r="O2035">
        <v>53</v>
      </c>
      <c r="P2035">
        <v>90077.089999999982</v>
      </c>
      <c r="Q2035">
        <v>0</v>
      </c>
    </row>
    <row r="2036" spans="7:17" x14ac:dyDescent="0.25">
      <c r="G2036" t="str">
        <f t="shared" si="31"/>
        <v/>
      </c>
      <c r="H2036" t="s">
        <v>47</v>
      </c>
      <c r="I2036" t="s">
        <v>10</v>
      </c>
      <c r="J2036" t="s">
        <v>3</v>
      </c>
      <c r="K2036" t="s">
        <v>38</v>
      </c>
      <c r="L2036" t="s">
        <v>40</v>
      </c>
      <c r="M2036" t="s">
        <v>19</v>
      </c>
      <c r="N2036">
        <v>18</v>
      </c>
      <c r="O2036">
        <v>0</v>
      </c>
      <c r="P2036">
        <v>16661.25</v>
      </c>
      <c r="Q2036">
        <v>8667.0300000000007</v>
      </c>
    </row>
    <row r="2037" spans="7:17" x14ac:dyDescent="0.25">
      <c r="G2037" t="str">
        <f t="shared" si="31"/>
        <v/>
      </c>
      <c r="H2037" t="s">
        <v>47</v>
      </c>
      <c r="I2037" t="s">
        <v>10</v>
      </c>
      <c r="J2037" t="s">
        <v>3</v>
      </c>
      <c r="K2037" t="s">
        <v>38</v>
      </c>
      <c r="L2037" t="s">
        <v>40</v>
      </c>
      <c r="M2037" t="s">
        <v>20</v>
      </c>
      <c r="N2037">
        <v>60</v>
      </c>
      <c r="O2037">
        <v>6</v>
      </c>
      <c r="P2037">
        <v>42339.380000000012</v>
      </c>
      <c r="Q2037">
        <v>0</v>
      </c>
    </row>
    <row r="2038" spans="7:17" x14ac:dyDescent="0.25">
      <c r="G2038" t="str">
        <f t="shared" si="31"/>
        <v/>
      </c>
      <c r="H2038" t="s">
        <v>47</v>
      </c>
      <c r="I2038" t="s">
        <v>10</v>
      </c>
      <c r="J2038" t="s">
        <v>3</v>
      </c>
      <c r="K2038" t="s">
        <v>38</v>
      </c>
      <c r="L2038" t="s">
        <v>41</v>
      </c>
      <c r="M2038" t="s">
        <v>19</v>
      </c>
      <c r="N2038">
        <v>1</v>
      </c>
      <c r="O2038">
        <v>0</v>
      </c>
      <c r="P2038">
        <v>1417.36</v>
      </c>
      <c r="Q2038">
        <v>977</v>
      </c>
    </row>
    <row r="2039" spans="7:17" x14ac:dyDescent="0.25">
      <c r="G2039" t="str">
        <f t="shared" si="31"/>
        <v/>
      </c>
      <c r="H2039" t="s">
        <v>47</v>
      </c>
      <c r="I2039" t="s">
        <v>10</v>
      </c>
      <c r="J2039" t="s">
        <v>3</v>
      </c>
      <c r="K2039" t="s">
        <v>38</v>
      </c>
      <c r="L2039" t="s">
        <v>41</v>
      </c>
      <c r="M2039" t="s">
        <v>20</v>
      </c>
      <c r="N2039">
        <v>36</v>
      </c>
      <c r="O2039">
        <v>8</v>
      </c>
      <c r="P2039">
        <v>25111.119999999995</v>
      </c>
      <c r="Q2039">
        <v>0</v>
      </c>
    </row>
    <row r="2040" spans="7:17" x14ac:dyDescent="0.25">
      <c r="G2040" t="str">
        <f t="shared" si="31"/>
        <v/>
      </c>
      <c r="H2040" t="s">
        <v>47</v>
      </c>
      <c r="I2040" t="s">
        <v>10</v>
      </c>
      <c r="J2040" t="s">
        <v>3</v>
      </c>
      <c r="K2040" t="s">
        <v>38</v>
      </c>
      <c r="L2040" t="s">
        <v>45</v>
      </c>
      <c r="M2040" t="s">
        <v>19</v>
      </c>
      <c r="N2040">
        <v>5</v>
      </c>
      <c r="O2040">
        <v>1</v>
      </c>
      <c r="P2040">
        <v>1982.0300000000002</v>
      </c>
      <c r="Q2040">
        <v>1982.0300000000002</v>
      </c>
    </row>
    <row r="2041" spans="7:17" x14ac:dyDescent="0.25">
      <c r="G2041" t="str">
        <f t="shared" si="31"/>
        <v/>
      </c>
      <c r="H2041" t="s">
        <v>47</v>
      </c>
      <c r="I2041" t="s">
        <v>10</v>
      </c>
      <c r="J2041" t="s">
        <v>3</v>
      </c>
      <c r="K2041" t="s">
        <v>38</v>
      </c>
      <c r="L2041" t="s">
        <v>45</v>
      </c>
      <c r="M2041" t="s">
        <v>20</v>
      </c>
      <c r="N2041">
        <v>202</v>
      </c>
      <c r="O2041">
        <v>74</v>
      </c>
      <c r="P2041">
        <v>170333.89999999997</v>
      </c>
      <c r="Q2041">
        <v>0</v>
      </c>
    </row>
    <row r="2042" spans="7:17" x14ac:dyDescent="0.25">
      <c r="G2042" t="str">
        <f t="shared" si="31"/>
        <v/>
      </c>
      <c r="H2042" t="s">
        <v>47</v>
      </c>
      <c r="I2042" t="s">
        <v>10</v>
      </c>
      <c r="J2042" t="s">
        <v>5</v>
      </c>
      <c r="K2042" t="s">
        <v>23</v>
      </c>
      <c r="L2042" t="s">
        <v>42</v>
      </c>
      <c r="M2042" t="s">
        <v>19</v>
      </c>
      <c r="N2042">
        <v>875</v>
      </c>
      <c r="O2042">
        <v>238</v>
      </c>
      <c r="P2042">
        <v>463142.96000000113</v>
      </c>
      <c r="Q2042">
        <v>456937.23000000091</v>
      </c>
    </row>
    <row r="2043" spans="7:17" x14ac:dyDescent="0.25">
      <c r="G2043" t="str">
        <f t="shared" si="31"/>
        <v/>
      </c>
      <c r="H2043" t="s">
        <v>47</v>
      </c>
      <c r="I2043" t="s">
        <v>10</v>
      </c>
      <c r="J2043" t="s">
        <v>5</v>
      </c>
      <c r="K2043" t="s">
        <v>23</v>
      </c>
      <c r="L2043" t="s">
        <v>42</v>
      </c>
      <c r="M2043" t="s">
        <v>20</v>
      </c>
      <c r="N2043">
        <v>365</v>
      </c>
      <c r="O2043">
        <v>109</v>
      </c>
      <c r="P2043">
        <v>122251.86000000007</v>
      </c>
      <c r="Q2043">
        <v>0</v>
      </c>
    </row>
    <row r="2044" spans="7:17" x14ac:dyDescent="0.25">
      <c r="G2044" t="str">
        <f t="shared" si="31"/>
        <v/>
      </c>
      <c r="H2044" t="s">
        <v>47</v>
      </c>
      <c r="I2044" t="s">
        <v>10</v>
      </c>
      <c r="J2044" t="s">
        <v>5</v>
      </c>
      <c r="K2044" t="s">
        <v>23</v>
      </c>
      <c r="L2044" t="s">
        <v>43</v>
      </c>
      <c r="M2044" t="s">
        <v>19</v>
      </c>
      <c r="N2044">
        <v>93</v>
      </c>
      <c r="O2044">
        <v>55</v>
      </c>
      <c r="P2044">
        <v>69181.62999999999</v>
      </c>
      <c r="Q2044">
        <v>48351.560000000005</v>
      </c>
    </row>
    <row r="2045" spans="7:17" x14ac:dyDescent="0.25">
      <c r="G2045" t="str">
        <f t="shared" si="31"/>
        <v/>
      </c>
      <c r="H2045" t="s">
        <v>47</v>
      </c>
      <c r="I2045" t="s">
        <v>10</v>
      </c>
      <c r="J2045" t="s">
        <v>5</v>
      </c>
      <c r="K2045" t="s">
        <v>23</v>
      </c>
      <c r="L2045" t="s">
        <v>43</v>
      </c>
      <c r="M2045" t="s">
        <v>20</v>
      </c>
      <c r="N2045">
        <v>69</v>
      </c>
      <c r="O2045">
        <v>34</v>
      </c>
      <c r="P2045">
        <v>52113.05</v>
      </c>
      <c r="Q2045">
        <v>0</v>
      </c>
    </row>
    <row r="2046" spans="7:17" x14ac:dyDescent="0.25">
      <c r="G2046" t="str">
        <f t="shared" si="31"/>
        <v/>
      </c>
      <c r="H2046" t="s">
        <v>47</v>
      </c>
      <c r="I2046" t="s">
        <v>10</v>
      </c>
      <c r="J2046" t="s">
        <v>5</v>
      </c>
      <c r="K2046" t="s">
        <v>23</v>
      </c>
      <c r="L2046" t="s">
        <v>44</v>
      </c>
      <c r="M2046" t="s">
        <v>19</v>
      </c>
      <c r="N2046">
        <v>101</v>
      </c>
      <c r="O2046">
        <v>52</v>
      </c>
      <c r="P2046">
        <v>127852.63999999998</v>
      </c>
      <c r="Q2046">
        <v>60801.399999999972</v>
      </c>
    </row>
    <row r="2047" spans="7:17" x14ac:dyDescent="0.25">
      <c r="G2047" t="str">
        <f t="shared" si="31"/>
        <v/>
      </c>
      <c r="H2047" t="s">
        <v>47</v>
      </c>
      <c r="I2047" t="s">
        <v>10</v>
      </c>
      <c r="J2047" t="s">
        <v>5</v>
      </c>
      <c r="K2047" t="s">
        <v>23</v>
      </c>
      <c r="L2047" t="s">
        <v>44</v>
      </c>
      <c r="M2047" t="s">
        <v>20</v>
      </c>
      <c r="N2047">
        <v>22</v>
      </c>
      <c r="O2047">
        <v>9</v>
      </c>
      <c r="P2047">
        <v>19123.030000000006</v>
      </c>
      <c r="Q2047">
        <v>0</v>
      </c>
    </row>
    <row r="2048" spans="7:17" x14ac:dyDescent="0.25">
      <c r="G2048" t="str">
        <f t="shared" si="31"/>
        <v/>
      </c>
      <c r="H2048" t="s">
        <v>47</v>
      </c>
      <c r="I2048" t="s">
        <v>10</v>
      </c>
      <c r="J2048" t="s">
        <v>5</v>
      </c>
      <c r="K2048" t="s">
        <v>23</v>
      </c>
      <c r="L2048" t="s">
        <v>39</v>
      </c>
      <c r="M2048" t="s">
        <v>19</v>
      </c>
      <c r="N2048">
        <v>2</v>
      </c>
      <c r="O2048">
        <v>2</v>
      </c>
      <c r="P2048">
        <v>955.97</v>
      </c>
      <c r="Q2048">
        <v>437.33</v>
      </c>
    </row>
    <row r="2049" spans="7:17" x14ac:dyDescent="0.25">
      <c r="G2049" t="str">
        <f t="shared" si="31"/>
        <v/>
      </c>
      <c r="H2049" t="s">
        <v>47</v>
      </c>
      <c r="I2049" t="s">
        <v>10</v>
      </c>
      <c r="J2049" t="s">
        <v>5</v>
      </c>
      <c r="K2049" t="s">
        <v>23</v>
      </c>
      <c r="L2049" t="s">
        <v>39</v>
      </c>
      <c r="M2049" t="s">
        <v>20</v>
      </c>
      <c r="N2049">
        <v>39</v>
      </c>
      <c r="O2049">
        <v>26</v>
      </c>
      <c r="P2049">
        <v>33447.259999999995</v>
      </c>
      <c r="Q2049">
        <v>0</v>
      </c>
    </row>
    <row r="2050" spans="7:17" x14ac:dyDescent="0.25">
      <c r="G2050" t="str">
        <f t="shared" ref="G2050:G2113" si="32">IF(G$1="Overall","Overall",IF(G$1=L2050,L2050,""))</f>
        <v/>
      </c>
      <c r="H2050" t="s">
        <v>47</v>
      </c>
      <c r="I2050" t="s">
        <v>10</v>
      </c>
      <c r="J2050" t="s">
        <v>5</v>
      </c>
      <c r="K2050" t="s">
        <v>23</v>
      </c>
      <c r="L2050" t="s">
        <v>40</v>
      </c>
      <c r="M2050" t="s">
        <v>19</v>
      </c>
      <c r="N2050">
        <v>2</v>
      </c>
      <c r="O2050">
        <v>1</v>
      </c>
      <c r="P2050">
        <v>1487.3999999999999</v>
      </c>
      <c r="Q2050">
        <v>315.85000000000002</v>
      </c>
    </row>
    <row r="2051" spans="7:17" x14ac:dyDescent="0.25">
      <c r="G2051" t="str">
        <f t="shared" si="32"/>
        <v/>
      </c>
      <c r="H2051" t="s">
        <v>47</v>
      </c>
      <c r="I2051" t="s">
        <v>10</v>
      </c>
      <c r="J2051" t="s">
        <v>5</v>
      </c>
      <c r="K2051" t="s">
        <v>23</v>
      </c>
      <c r="L2051" t="s">
        <v>40</v>
      </c>
      <c r="M2051" t="s">
        <v>20</v>
      </c>
      <c r="N2051">
        <v>22</v>
      </c>
      <c r="O2051">
        <v>9</v>
      </c>
      <c r="P2051">
        <v>16397.519999999997</v>
      </c>
      <c r="Q2051">
        <v>0</v>
      </c>
    </row>
    <row r="2052" spans="7:17" x14ac:dyDescent="0.25">
      <c r="G2052" t="str">
        <f t="shared" si="32"/>
        <v/>
      </c>
      <c r="H2052" t="s">
        <v>47</v>
      </c>
      <c r="I2052" t="s">
        <v>10</v>
      </c>
      <c r="J2052" t="s">
        <v>5</v>
      </c>
      <c r="K2052" t="s">
        <v>23</v>
      </c>
      <c r="L2052" t="s">
        <v>41</v>
      </c>
      <c r="M2052" t="s">
        <v>20</v>
      </c>
      <c r="N2052">
        <v>35</v>
      </c>
      <c r="O2052">
        <v>14</v>
      </c>
      <c r="P2052">
        <v>51803.62999999999</v>
      </c>
      <c r="Q2052">
        <v>0</v>
      </c>
    </row>
    <row r="2053" spans="7:17" x14ac:dyDescent="0.25">
      <c r="G2053" t="str">
        <f t="shared" si="32"/>
        <v/>
      </c>
      <c r="H2053" t="s">
        <v>47</v>
      </c>
      <c r="I2053" t="s">
        <v>10</v>
      </c>
      <c r="J2053" t="s">
        <v>5</v>
      </c>
      <c r="K2053" t="s">
        <v>23</v>
      </c>
      <c r="L2053" t="s">
        <v>45</v>
      </c>
      <c r="M2053" t="s">
        <v>19</v>
      </c>
      <c r="N2053">
        <v>8</v>
      </c>
      <c r="O2053">
        <v>3</v>
      </c>
      <c r="P2053">
        <v>4654.2700000000004</v>
      </c>
      <c r="Q2053">
        <v>3297.34</v>
      </c>
    </row>
    <row r="2054" spans="7:17" x14ac:dyDescent="0.25">
      <c r="G2054" t="str">
        <f t="shared" si="32"/>
        <v/>
      </c>
      <c r="H2054" t="s">
        <v>47</v>
      </c>
      <c r="I2054" t="s">
        <v>10</v>
      </c>
      <c r="J2054" t="s">
        <v>5</v>
      </c>
      <c r="K2054" t="s">
        <v>23</v>
      </c>
      <c r="L2054" t="s">
        <v>45</v>
      </c>
      <c r="M2054" t="s">
        <v>20</v>
      </c>
      <c r="N2054">
        <v>354</v>
      </c>
      <c r="O2054">
        <v>139</v>
      </c>
      <c r="P2054">
        <v>343704.9599999999</v>
      </c>
      <c r="Q2054">
        <v>0</v>
      </c>
    </row>
    <row r="2055" spans="7:17" x14ac:dyDescent="0.25">
      <c r="G2055" t="str">
        <f t="shared" si="32"/>
        <v/>
      </c>
      <c r="H2055" t="s">
        <v>47</v>
      </c>
      <c r="I2055" t="s">
        <v>10</v>
      </c>
      <c r="J2055" t="s">
        <v>5</v>
      </c>
      <c r="K2055" t="s">
        <v>24</v>
      </c>
      <c r="L2055" t="s">
        <v>42</v>
      </c>
      <c r="M2055" t="s">
        <v>19</v>
      </c>
      <c r="N2055">
        <v>11</v>
      </c>
      <c r="O2055">
        <v>0</v>
      </c>
      <c r="P2055">
        <v>6337.95</v>
      </c>
      <c r="Q2055">
        <v>6337.95</v>
      </c>
    </row>
    <row r="2056" spans="7:17" x14ac:dyDescent="0.25">
      <c r="G2056" t="str">
        <f t="shared" si="32"/>
        <v/>
      </c>
      <c r="H2056" t="s">
        <v>47</v>
      </c>
      <c r="I2056" t="s">
        <v>10</v>
      </c>
      <c r="J2056" t="s">
        <v>5</v>
      </c>
      <c r="K2056" t="s">
        <v>25</v>
      </c>
      <c r="L2056" t="s">
        <v>42</v>
      </c>
      <c r="M2056" t="s">
        <v>19</v>
      </c>
      <c r="N2056">
        <v>828</v>
      </c>
      <c r="O2056">
        <v>251</v>
      </c>
      <c r="P2056">
        <v>523233.46000000025</v>
      </c>
      <c r="Q2056">
        <v>517783.40000000008</v>
      </c>
    </row>
    <row r="2057" spans="7:17" x14ac:dyDescent="0.25">
      <c r="G2057" t="str">
        <f t="shared" si="32"/>
        <v/>
      </c>
      <c r="H2057" t="s">
        <v>47</v>
      </c>
      <c r="I2057" t="s">
        <v>10</v>
      </c>
      <c r="J2057" t="s">
        <v>5</v>
      </c>
      <c r="K2057" t="s">
        <v>25</v>
      </c>
      <c r="L2057" t="s">
        <v>42</v>
      </c>
      <c r="M2057" t="s">
        <v>20</v>
      </c>
      <c r="N2057">
        <v>441</v>
      </c>
      <c r="O2057">
        <v>130</v>
      </c>
      <c r="P2057">
        <v>168734.05000000016</v>
      </c>
      <c r="Q2057">
        <v>0</v>
      </c>
    </row>
    <row r="2058" spans="7:17" x14ac:dyDescent="0.25">
      <c r="G2058" t="str">
        <f t="shared" si="32"/>
        <v/>
      </c>
      <c r="H2058" t="s">
        <v>47</v>
      </c>
      <c r="I2058" t="s">
        <v>10</v>
      </c>
      <c r="J2058" t="s">
        <v>5</v>
      </c>
      <c r="K2058" t="s">
        <v>25</v>
      </c>
      <c r="L2058" t="s">
        <v>43</v>
      </c>
      <c r="M2058" t="s">
        <v>19</v>
      </c>
      <c r="N2058">
        <v>132</v>
      </c>
      <c r="O2058">
        <v>54</v>
      </c>
      <c r="P2058">
        <v>89924.670000000086</v>
      </c>
      <c r="Q2058">
        <v>68944.09</v>
      </c>
    </row>
    <row r="2059" spans="7:17" x14ac:dyDescent="0.25">
      <c r="G2059" t="str">
        <f t="shared" si="32"/>
        <v/>
      </c>
      <c r="H2059" t="s">
        <v>47</v>
      </c>
      <c r="I2059" t="s">
        <v>10</v>
      </c>
      <c r="J2059" t="s">
        <v>5</v>
      </c>
      <c r="K2059" t="s">
        <v>25</v>
      </c>
      <c r="L2059" t="s">
        <v>43</v>
      </c>
      <c r="M2059" t="s">
        <v>20</v>
      </c>
      <c r="N2059">
        <v>114</v>
      </c>
      <c r="O2059">
        <v>45</v>
      </c>
      <c r="P2059">
        <v>72069.609999999986</v>
      </c>
      <c r="Q2059">
        <v>0</v>
      </c>
    </row>
    <row r="2060" spans="7:17" x14ac:dyDescent="0.25">
      <c r="G2060" t="str">
        <f t="shared" si="32"/>
        <v/>
      </c>
      <c r="H2060" t="s">
        <v>47</v>
      </c>
      <c r="I2060" t="s">
        <v>10</v>
      </c>
      <c r="J2060" t="s">
        <v>5</v>
      </c>
      <c r="K2060" t="s">
        <v>25</v>
      </c>
      <c r="L2060" t="s">
        <v>44</v>
      </c>
      <c r="M2060" t="s">
        <v>19</v>
      </c>
      <c r="N2060">
        <v>129</v>
      </c>
      <c r="O2060">
        <v>56</v>
      </c>
      <c r="P2060">
        <v>130198.02999999998</v>
      </c>
      <c r="Q2060">
        <v>67014.149999999965</v>
      </c>
    </row>
    <row r="2061" spans="7:17" x14ac:dyDescent="0.25">
      <c r="G2061" t="str">
        <f t="shared" si="32"/>
        <v/>
      </c>
      <c r="H2061" t="s">
        <v>47</v>
      </c>
      <c r="I2061" t="s">
        <v>10</v>
      </c>
      <c r="J2061" t="s">
        <v>5</v>
      </c>
      <c r="K2061" t="s">
        <v>25</v>
      </c>
      <c r="L2061" t="s">
        <v>44</v>
      </c>
      <c r="M2061" t="s">
        <v>20</v>
      </c>
      <c r="N2061">
        <v>32</v>
      </c>
      <c r="O2061">
        <v>17</v>
      </c>
      <c r="P2061">
        <v>20824.25</v>
      </c>
      <c r="Q2061">
        <v>0</v>
      </c>
    </row>
    <row r="2062" spans="7:17" x14ac:dyDescent="0.25">
      <c r="G2062" t="str">
        <f t="shared" si="32"/>
        <v/>
      </c>
      <c r="H2062" t="s">
        <v>47</v>
      </c>
      <c r="I2062" t="s">
        <v>10</v>
      </c>
      <c r="J2062" t="s">
        <v>5</v>
      </c>
      <c r="K2062" t="s">
        <v>25</v>
      </c>
      <c r="L2062" t="s">
        <v>39</v>
      </c>
      <c r="M2062" t="s">
        <v>19</v>
      </c>
      <c r="N2062">
        <v>11</v>
      </c>
      <c r="O2062">
        <v>9</v>
      </c>
      <c r="P2062">
        <v>18691.690000000002</v>
      </c>
      <c r="Q2062">
        <v>7928.53</v>
      </c>
    </row>
    <row r="2063" spans="7:17" x14ac:dyDescent="0.25">
      <c r="G2063" t="str">
        <f t="shared" si="32"/>
        <v/>
      </c>
      <c r="H2063" t="s">
        <v>47</v>
      </c>
      <c r="I2063" t="s">
        <v>10</v>
      </c>
      <c r="J2063" t="s">
        <v>5</v>
      </c>
      <c r="K2063" t="s">
        <v>25</v>
      </c>
      <c r="L2063" t="s">
        <v>39</v>
      </c>
      <c r="M2063" t="s">
        <v>20</v>
      </c>
      <c r="N2063">
        <v>42</v>
      </c>
      <c r="O2063">
        <v>34</v>
      </c>
      <c r="P2063">
        <v>45489.859999999979</v>
      </c>
      <c r="Q2063">
        <v>0</v>
      </c>
    </row>
    <row r="2064" spans="7:17" x14ac:dyDescent="0.25">
      <c r="G2064" t="str">
        <f t="shared" si="32"/>
        <v/>
      </c>
      <c r="H2064" t="s">
        <v>47</v>
      </c>
      <c r="I2064" t="s">
        <v>10</v>
      </c>
      <c r="J2064" t="s">
        <v>5</v>
      </c>
      <c r="K2064" t="s">
        <v>25</v>
      </c>
      <c r="L2064" t="s">
        <v>40</v>
      </c>
      <c r="M2064" t="s">
        <v>19</v>
      </c>
      <c r="N2064">
        <v>8</v>
      </c>
      <c r="O2064">
        <v>4</v>
      </c>
      <c r="P2064">
        <v>14637.56</v>
      </c>
      <c r="Q2064">
        <v>8764.0499999999993</v>
      </c>
    </row>
    <row r="2065" spans="7:17" x14ac:dyDescent="0.25">
      <c r="G2065" t="str">
        <f t="shared" si="32"/>
        <v/>
      </c>
      <c r="H2065" t="s">
        <v>47</v>
      </c>
      <c r="I2065" t="s">
        <v>10</v>
      </c>
      <c r="J2065" t="s">
        <v>5</v>
      </c>
      <c r="K2065" t="s">
        <v>25</v>
      </c>
      <c r="L2065" t="s">
        <v>40</v>
      </c>
      <c r="M2065" t="s">
        <v>20</v>
      </c>
      <c r="N2065">
        <v>51</v>
      </c>
      <c r="O2065">
        <v>19</v>
      </c>
      <c r="P2065">
        <v>41253.949999999997</v>
      </c>
      <c r="Q2065">
        <v>0</v>
      </c>
    </row>
    <row r="2066" spans="7:17" x14ac:dyDescent="0.25">
      <c r="G2066" t="str">
        <f t="shared" si="32"/>
        <v/>
      </c>
      <c r="H2066" t="s">
        <v>47</v>
      </c>
      <c r="I2066" t="s">
        <v>10</v>
      </c>
      <c r="J2066" t="s">
        <v>5</v>
      </c>
      <c r="K2066" t="s">
        <v>25</v>
      </c>
      <c r="L2066" t="s">
        <v>41</v>
      </c>
      <c r="M2066" t="s">
        <v>19</v>
      </c>
      <c r="N2066">
        <v>5</v>
      </c>
      <c r="O2066">
        <v>4</v>
      </c>
      <c r="P2066">
        <v>10843.17</v>
      </c>
      <c r="Q2066">
        <v>3041.34</v>
      </c>
    </row>
    <row r="2067" spans="7:17" x14ac:dyDescent="0.25">
      <c r="G2067" t="str">
        <f t="shared" si="32"/>
        <v/>
      </c>
      <c r="H2067" t="s">
        <v>47</v>
      </c>
      <c r="I2067" t="s">
        <v>10</v>
      </c>
      <c r="J2067" t="s">
        <v>5</v>
      </c>
      <c r="K2067" t="s">
        <v>25</v>
      </c>
      <c r="L2067" t="s">
        <v>41</v>
      </c>
      <c r="M2067" t="s">
        <v>20</v>
      </c>
      <c r="N2067">
        <v>53</v>
      </c>
      <c r="O2067">
        <v>14</v>
      </c>
      <c r="P2067">
        <v>47613.159999999989</v>
      </c>
      <c r="Q2067">
        <v>0</v>
      </c>
    </row>
    <row r="2068" spans="7:17" x14ac:dyDescent="0.25">
      <c r="G2068" t="str">
        <f t="shared" si="32"/>
        <v/>
      </c>
      <c r="H2068" t="s">
        <v>47</v>
      </c>
      <c r="I2068" t="s">
        <v>10</v>
      </c>
      <c r="J2068" t="s">
        <v>5</v>
      </c>
      <c r="K2068" t="s">
        <v>25</v>
      </c>
      <c r="L2068" t="s">
        <v>45</v>
      </c>
      <c r="M2068" t="s">
        <v>19</v>
      </c>
      <c r="N2068">
        <v>14</v>
      </c>
      <c r="O2068">
        <v>5</v>
      </c>
      <c r="P2068">
        <v>17615.030000000002</v>
      </c>
      <c r="Q2068">
        <v>6436.83</v>
      </c>
    </row>
    <row r="2069" spans="7:17" x14ac:dyDescent="0.25">
      <c r="G2069" t="str">
        <f t="shared" si="32"/>
        <v/>
      </c>
      <c r="H2069" t="s">
        <v>47</v>
      </c>
      <c r="I2069" t="s">
        <v>10</v>
      </c>
      <c r="J2069" t="s">
        <v>5</v>
      </c>
      <c r="K2069" t="s">
        <v>25</v>
      </c>
      <c r="L2069" t="s">
        <v>45</v>
      </c>
      <c r="M2069" t="s">
        <v>20</v>
      </c>
      <c r="N2069">
        <v>439</v>
      </c>
      <c r="O2069">
        <v>154</v>
      </c>
      <c r="P2069">
        <v>439513.06999999972</v>
      </c>
      <c r="Q2069">
        <v>0</v>
      </c>
    </row>
    <row r="2070" spans="7:17" x14ac:dyDescent="0.25">
      <c r="G2070" t="str">
        <f t="shared" si="32"/>
        <v/>
      </c>
      <c r="H2070" t="s">
        <v>47</v>
      </c>
      <c r="I2070" t="s">
        <v>10</v>
      </c>
      <c r="J2070" t="s">
        <v>5</v>
      </c>
      <c r="K2070" t="s">
        <v>26</v>
      </c>
      <c r="L2070" t="s">
        <v>42</v>
      </c>
      <c r="M2070" t="s">
        <v>19</v>
      </c>
      <c r="N2070">
        <v>940</v>
      </c>
      <c r="O2070">
        <v>346</v>
      </c>
      <c r="P2070">
        <v>504229.97000000015</v>
      </c>
      <c r="Q2070">
        <v>495680.77000000025</v>
      </c>
    </row>
    <row r="2071" spans="7:17" x14ac:dyDescent="0.25">
      <c r="G2071" t="str">
        <f t="shared" si="32"/>
        <v/>
      </c>
      <c r="H2071" t="s">
        <v>47</v>
      </c>
      <c r="I2071" t="s">
        <v>10</v>
      </c>
      <c r="J2071" t="s">
        <v>5</v>
      </c>
      <c r="K2071" t="s">
        <v>26</v>
      </c>
      <c r="L2071" t="s">
        <v>42</v>
      </c>
      <c r="M2071" t="s">
        <v>20</v>
      </c>
      <c r="N2071">
        <v>408</v>
      </c>
      <c r="O2071">
        <v>199</v>
      </c>
      <c r="P2071">
        <v>112274.03999999996</v>
      </c>
      <c r="Q2071">
        <v>0</v>
      </c>
    </row>
    <row r="2072" spans="7:17" x14ac:dyDescent="0.25">
      <c r="G2072" t="str">
        <f t="shared" si="32"/>
        <v/>
      </c>
      <c r="H2072" t="s">
        <v>47</v>
      </c>
      <c r="I2072" t="s">
        <v>10</v>
      </c>
      <c r="J2072" t="s">
        <v>5</v>
      </c>
      <c r="K2072" t="s">
        <v>26</v>
      </c>
      <c r="L2072" t="s">
        <v>43</v>
      </c>
      <c r="M2072" t="s">
        <v>19</v>
      </c>
      <c r="N2072">
        <v>89</v>
      </c>
      <c r="O2072">
        <v>57</v>
      </c>
      <c r="P2072">
        <v>71805.240000000049</v>
      </c>
      <c r="Q2072">
        <v>64450.440000000017</v>
      </c>
    </row>
    <row r="2073" spans="7:17" x14ac:dyDescent="0.25">
      <c r="G2073" t="str">
        <f t="shared" si="32"/>
        <v/>
      </c>
      <c r="H2073" t="s">
        <v>47</v>
      </c>
      <c r="I2073" t="s">
        <v>10</v>
      </c>
      <c r="J2073" t="s">
        <v>5</v>
      </c>
      <c r="K2073" t="s">
        <v>26</v>
      </c>
      <c r="L2073" t="s">
        <v>43</v>
      </c>
      <c r="M2073" t="s">
        <v>20</v>
      </c>
      <c r="N2073">
        <v>116</v>
      </c>
      <c r="O2073">
        <v>56</v>
      </c>
      <c r="P2073">
        <v>84868.109999999986</v>
      </c>
      <c r="Q2073">
        <v>0</v>
      </c>
    </row>
    <row r="2074" spans="7:17" x14ac:dyDescent="0.25">
      <c r="G2074" t="str">
        <f t="shared" si="32"/>
        <v/>
      </c>
      <c r="H2074" t="s">
        <v>47</v>
      </c>
      <c r="I2074" t="s">
        <v>10</v>
      </c>
      <c r="J2074" t="s">
        <v>5</v>
      </c>
      <c r="K2074" t="s">
        <v>26</v>
      </c>
      <c r="L2074" t="s">
        <v>44</v>
      </c>
      <c r="M2074" t="s">
        <v>19</v>
      </c>
      <c r="N2074">
        <v>127</v>
      </c>
      <c r="O2074">
        <v>32</v>
      </c>
      <c r="P2074">
        <v>109890.84000000011</v>
      </c>
      <c r="Q2074">
        <v>74361.960000000006</v>
      </c>
    </row>
    <row r="2075" spans="7:17" x14ac:dyDescent="0.25">
      <c r="G2075" t="str">
        <f t="shared" si="32"/>
        <v/>
      </c>
      <c r="H2075" t="s">
        <v>47</v>
      </c>
      <c r="I2075" t="s">
        <v>10</v>
      </c>
      <c r="J2075" t="s">
        <v>5</v>
      </c>
      <c r="K2075" t="s">
        <v>26</v>
      </c>
      <c r="L2075" t="s">
        <v>44</v>
      </c>
      <c r="M2075" t="s">
        <v>20</v>
      </c>
      <c r="N2075">
        <v>105</v>
      </c>
      <c r="O2075">
        <v>46</v>
      </c>
      <c r="P2075">
        <v>73519.880000000092</v>
      </c>
      <c r="Q2075">
        <v>0</v>
      </c>
    </row>
    <row r="2076" spans="7:17" x14ac:dyDescent="0.25">
      <c r="G2076" t="str">
        <f t="shared" si="32"/>
        <v/>
      </c>
      <c r="H2076" t="s">
        <v>47</v>
      </c>
      <c r="I2076" t="s">
        <v>10</v>
      </c>
      <c r="J2076" t="s">
        <v>5</v>
      </c>
      <c r="K2076" t="s">
        <v>26</v>
      </c>
      <c r="L2076" t="s">
        <v>39</v>
      </c>
      <c r="M2076" t="s">
        <v>19</v>
      </c>
      <c r="N2076">
        <v>23</v>
      </c>
      <c r="O2076">
        <v>2</v>
      </c>
      <c r="P2076">
        <v>16123.34</v>
      </c>
      <c r="Q2076">
        <v>16123.34</v>
      </c>
    </row>
    <row r="2077" spans="7:17" x14ac:dyDescent="0.25">
      <c r="G2077" t="str">
        <f t="shared" si="32"/>
        <v/>
      </c>
      <c r="H2077" t="s">
        <v>47</v>
      </c>
      <c r="I2077" t="s">
        <v>10</v>
      </c>
      <c r="J2077" t="s">
        <v>5</v>
      </c>
      <c r="K2077" t="s">
        <v>26</v>
      </c>
      <c r="L2077" t="s">
        <v>39</v>
      </c>
      <c r="M2077" t="s">
        <v>20</v>
      </c>
      <c r="N2077">
        <v>58</v>
      </c>
      <c r="O2077">
        <v>34</v>
      </c>
      <c r="P2077">
        <v>41694.269999999997</v>
      </c>
      <c r="Q2077">
        <v>0</v>
      </c>
    </row>
    <row r="2078" spans="7:17" x14ac:dyDescent="0.25">
      <c r="G2078" t="str">
        <f t="shared" si="32"/>
        <v/>
      </c>
      <c r="H2078" t="s">
        <v>47</v>
      </c>
      <c r="I2078" t="s">
        <v>10</v>
      </c>
      <c r="J2078" t="s">
        <v>5</v>
      </c>
      <c r="K2078" t="s">
        <v>26</v>
      </c>
      <c r="L2078" t="s">
        <v>40</v>
      </c>
      <c r="M2078" t="s">
        <v>19</v>
      </c>
      <c r="N2078">
        <v>2</v>
      </c>
      <c r="O2078">
        <v>0</v>
      </c>
      <c r="P2078">
        <v>5170.26</v>
      </c>
      <c r="Q2078">
        <v>5170.26</v>
      </c>
    </row>
    <row r="2079" spans="7:17" x14ac:dyDescent="0.25">
      <c r="G2079" t="str">
        <f t="shared" si="32"/>
        <v/>
      </c>
      <c r="H2079" t="s">
        <v>47</v>
      </c>
      <c r="I2079" t="s">
        <v>10</v>
      </c>
      <c r="J2079" t="s">
        <v>5</v>
      </c>
      <c r="K2079" t="s">
        <v>26</v>
      </c>
      <c r="L2079" t="s">
        <v>40</v>
      </c>
      <c r="M2079" t="s">
        <v>20</v>
      </c>
      <c r="N2079">
        <v>44</v>
      </c>
      <c r="O2079">
        <v>20</v>
      </c>
      <c r="P2079">
        <v>36405.47</v>
      </c>
      <c r="Q2079">
        <v>0</v>
      </c>
    </row>
    <row r="2080" spans="7:17" x14ac:dyDescent="0.25">
      <c r="G2080" t="str">
        <f t="shared" si="32"/>
        <v/>
      </c>
      <c r="H2080" t="s">
        <v>47</v>
      </c>
      <c r="I2080" t="s">
        <v>10</v>
      </c>
      <c r="J2080" t="s">
        <v>5</v>
      </c>
      <c r="K2080" t="s">
        <v>26</v>
      </c>
      <c r="L2080" t="s">
        <v>41</v>
      </c>
      <c r="M2080" t="s">
        <v>20</v>
      </c>
      <c r="N2080">
        <v>34</v>
      </c>
      <c r="O2080">
        <v>22</v>
      </c>
      <c r="P2080">
        <v>36285.339999999997</v>
      </c>
      <c r="Q2080">
        <v>0</v>
      </c>
    </row>
    <row r="2081" spans="7:17" x14ac:dyDescent="0.25">
      <c r="G2081" t="str">
        <f t="shared" si="32"/>
        <v/>
      </c>
      <c r="H2081" t="s">
        <v>47</v>
      </c>
      <c r="I2081" t="s">
        <v>10</v>
      </c>
      <c r="J2081" t="s">
        <v>5</v>
      </c>
      <c r="K2081" t="s">
        <v>27</v>
      </c>
      <c r="L2081" t="s">
        <v>42</v>
      </c>
      <c r="M2081" t="s">
        <v>19</v>
      </c>
      <c r="N2081">
        <v>67</v>
      </c>
      <c r="O2081">
        <v>35</v>
      </c>
      <c r="P2081">
        <v>29013.679999999986</v>
      </c>
      <c r="Q2081">
        <v>28905.989999999987</v>
      </c>
    </row>
    <row r="2082" spans="7:17" x14ac:dyDescent="0.25">
      <c r="G2082" t="str">
        <f t="shared" si="32"/>
        <v/>
      </c>
      <c r="H2082" t="s">
        <v>47</v>
      </c>
      <c r="I2082" t="s">
        <v>10</v>
      </c>
      <c r="J2082" t="s">
        <v>5</v>
      </c>
      <c r="K2082" t="s">
        <v>27</v>
      </c>
      <c r="L2082" t="s">
        <v>42</v>
      </c>
      <c r="M2082" t="s">
        <v>20</v>
      </c>
      <c r="N2082">
        <v>38</v>
      </c>
      <c r="O2082">
        <v>14</v>
      </c>
      <c r="P2082">
        <v>9665.4000000000015</v>
      </c>
      <c r="Q2082">
        <v>0</v>
      </c>
    </row>
    <row r="2083" spans="7:17" x14ac:dyDescent="0.25">
      <c r="G2083" t="str">
        <f t="shared" si="32"/>
        <v/>
      </c>
      <c r="H2083" t="s">
        <v>47</v>
      </c>
      <c r="I2083" t="s">
        <v>10</v>
      </c>
      <c r="J2083" t="s">
        <v>5</v>
      </c>
      <c r="K2083" t="s">
        <v>27</v>
      </c>
      <c r="L2083" t="s">
        <v>43</v>
      </c>
      <c r="M2083" t="s">
        <v>19</v>
      </c>
      <c r="N2083">
        <v>10</v>
      </c>
      <c r="O2083">
        <v>6</v>
      </c>
      <c r="P2083">
        <v>6714.74</v>
      </c>
      <c r="Q2083">
        <v>6072.8899999999994</v>
      </c>
    </row>
    <row r="2084" spans="7:17" x14ac:dyDescent="0.25">
      <c r="G2084" t="str">
        <f t="shared" si="32"/>
        <v/>
      </c>
      <c r="H2084" t="s">
        <v>47</v>
      </c>
      <c r="I2084" t="s">
        <v>10</v>
      </c>
      <c r="J2084" t="s">
        <v>5</v>
      </c>
      <c r="K2084" t="s">
        <v>27</v>
      </c>
      <c r="L2084" t="s">
        <v>43</v>
      </c>
      <c r="M2084" t="s">
        <v>20</v>
      </c>
      <c r="N2084">
        <v>16</v>
      </c>
      <c r="O2084">
        <v>7</v>
      </c>
      <c r="P2084">
        <v>9875.0500000000011</v>
      </c>
      <c r="Q2084">
        <v>0</v>
      </c>
    </row>
    <row r="2085" spans="7:17" x14ac:dyDescent="0.25">
      <c r="G2085" t="str">
        <f t="shared" si="32"/>
        <v/>
      </c>
      <c r="H2085" t="s">
        <v>47</v>
      </c>
      <c r="I2085" t="s">
        <v>10</v>
      </c>
      <c r="J2085" t="s">
        <v>5</v>
      </c>
      <c r="K2085" t="s">
        <v>27</v>
      </c>
      <c r="L2085" t="s">
        <v>44</v>
      </c>
      <c r="M2085" t="s">
        <v>19</v>
      </c>
      <c r="N2085">
        <v>1</v>
      </c>
      <c r="O2085">
        <v>1</v>
      </c>
      <c r="P2085">
        <v>413.06</v>
      </c>
      <c r="Q2085">
        <v>3.35</v>
      </c>
    </row>
    <row r="2086" spans="7:17" x14ac:dyDescent="0.25">
      <c r="G2086" t="str">
        <f t="shared" si="32"/>
        <v/>
      </c>
      <c r="H2086" t="s">
        <v>47</v>
      </c>
      <c r="I2086" t="s">
        <v>10</v>
      </c>
      <c r="J2086" t="s">
        <v>5</v>
      </c>
      <c r="K2086" t="s">
        <v>27</v>
      </c>
      <c r="L2086" t="s">
        <v>44</v>
      </c>
      <c r="M2086" t="s">
        <v>20</v>
      </c>
      <c r="N2086">
        <v>9</v>
      </c>
      <c r="O2086">
        <v>7</v>
      </c>
      <c r="P2086">
        <v>6945.6200000000008</v>
      </c>
      <c r="Q2086">
        <v>0</v>
      </c>
    </row>
    <row r="2087" spans="7:17" x14ac:dyDescent="0.25">
      <c r="G2087" t="str">
        <f t="shared" si="32"/>
        <v/>
      </c>
      <c r="H2087" t="s">
        <v>47</v>
      </c>
      <c r="I2087" t="s">
        <v>10</v>
      </c>
      <c r="J2087" t="s">
        <v>5</v>
      </c>
      <c r="K2087" t="s">
        <v>27</v>
      </c>
      <c r="L2087" t="s">
        <v>39</v>
      </c>
      <c r="M2087" t="s">
        <v>20</v>
      </c>
      <c r="N2087">
        <v>3</v>
      </c>
      <c r="O2087">
        <v>3</v>
      </c>
      <c r="P2087">
        <v>1566.51</v>
      </c>
      <c r="Q2087">
        <v>0</v>
      </c>
    </row>
    <row r="2088" spans="7:17" x14ac:dyDescent="0.25">
      <c r="G2088" t="str">
        <f t="shared" si="32"/>
        <v/>
      </c>
      <c r="H2088" t="s">
        <v>47</v>
      </c>
      <c r="I2088" t="s">
        <v>10</v>
      </c>
      <c r="J2088" t="s">
        <v>5</v>
      </c>
      <c r="K2088" t="s">
        <v>27</v>
      </c>
      <c r="L2088" t="s">
        <v>40</v>
      </c>
      <c r="M2088" t="s">
        <v>20</v>
      </c>
      <c r="N2088">
        <v>7</v>
      </c>
      <c r="O2088">
        <v>3</v>
      </c>
      <c r="P2088">
        <v>4190.79</v>
      </c>
      <c r="Q2088">
        <v>0</v>
      </c>
    </row>
    <row r="2089" spans="7:17" x14ac:dyDescent="0.25">
      <c r="G2089" t="str">
        <f t="shared" si="32"/>
        <v/>
      </c>
      <c r="H2089" t="s">
        <v>47</v>
      </c>
      <c r="I2089" t="s">
        <v>10</v>
      </c>
      <c r="J2089" t="s">
        <v>5</v>
      </c>
      <c r="K2089" t="s">
        <v>27</v>
      </c>
      <c r="L2089" t="s">
        <v>41</v>
      </c>
      <c r="M2089" t="s">
        <v>19</v>
      </c>
      <c r="N2089">
        <v>2</v>
      </c>
      <c r="O2089">
        <v>2</v>
      </c>
      <c r="P2089">
        <v>2007.9499999999998</v>
      </c>
      <c r="Q2089">
        <v>1058.04</v>
      </c>
    </row>
    <row r="2090" spans="7:17" x14ac:dyDescent="0.25">
      <c r="G2090" t="str">
        <f t="shared" si="32"/>
        <v/>
      </c>
      <c r="H2090" t="s">
        <v>47</v>
      </c>
      <c r="I2090" t="s">
        <v>10</v>
      </c>
      <c r="J2090" t="s">
        <v>5</v>
      </c>
      <c r="K2090" t="s">
        <v>27</v>
      </c>
      <c r="L2090" t="s">
        <v>41</v>
      </c>
      <c r="M2090" t="s">
        <v>20</v>
      </c>
      <c r="N2090">
        <v>3</v>
      </c>
      <c r="O2090">
        <v>2</v>
      </c>
      <c r="P2090">
        <v>1371.3200000000002</v>
      </c>
      <c r="Q2090">
        <v>0</v>
      </c>
    </row>
    <row r="2091" spans="7:17" x14ac:dyDescent="0.25">
      <c r="G2091" t="str">
        <f t="shared" si="32"/>
        <v/>
      </c>
      <c r="H2091" t="s">
        <v>47</v>
      </c>
      <c r="I2091" t="s">
        <v>10</v>
      </c>
      <c r="J2091" t="s">
        <v>5</v>
      </c>
      <c r="K2091" t="s">
        <v>27</v>
      </c>
      <c r="L2091" t="s">
        <v>45</v>
      </c>
      <c r="M2091" t="s">
        <v>19</v>
      </c>
      <c r="N2091">
        <v>2</v>
      </c>
      <c r="O2091">
        <v>1</v>
      </c>
      <c r="P2091">
        <v>2036.61</v>
      </c>
      <c r="Q2091">
        <v>304.82</v>
      </c>
    </row>
    <row r="2092" spans="7:17" x14ac:dyDescent="0.25">
      <c r="G2092" t="str">
        <f t="shared" si="32"/>
        <v/>
      </c>
      <c r="H2092" t="s">
        <v>47</v>
      </c>
      <c r="I2092" t="s">
        <v>10</v>
      </c>
      <c r="J2092" t="s">
        <v>5</v>
      </c>
      <c r="K2092" t="s">
        <v>27</v>
      </c>
      <c r="L2092" t="s">
        <v>45</v>
      </c>
      <c r="M2092" t="s">
        <v>20</v>
      </c>
      <c r="N2092">
        <v>42</v>
      </c>
      <c r="O2092">
        <v>19</v>
      </c>
      <c r="P2092">
        <v>28727.670000000006</v>
      </c>
      <c r="Q2092">
        <v>0</v>
      </c>
    </row>
    <row r="2093" spans="7:17" x14ac:dyDescent="0.25">
      <c r="G2093" t="str">
        <f t="shared" si="32"/>
        <v/>
      </c>
      <c r="H2093" t="s">
        <v>47</v>
      </c>
      <c r="I2093" t="s">
        <v>10</v>
      </c>
      <c r="J2093" t="s">
        <v>5</v>
      </c>
      <c r="K2093" t="s">
        <v>28</v>
      </c>
      <c r="L2093" t="s">
        <v>42</v>
      </c>
      <c r="M2093" t="s">
        <v>19</v>
      </c>
      <c r="N2093">
        <v>362</v>
      </c>
      <c r="O2093">
        <v>152</v>
      </c>
      <c r="P2093">
        <v>171914.65000000023</v>
      </c>
      <c r="Q2093">
        <v>168996.2100000002</v>
      </c>
    </row>
    <row r="2094" spans="7:17" x14ac:dyDescent="0.25">
      <c r="G2094" t="str">
        <f t="shared" si="32"/>
        <v/>
      </c>
      <c r="H2094" t="s">
        <v>47</v>
      </c>
      <c r="I2094" t="s">
        <v>10</v>
      </c>
      <c r="J2094" t="s">
        <v>5</v>
      </c>
      <c r="K2094" t="s">
        <v>28</v>
      </c>
      <c r="L2094" t="s">
        <v>42</v>
      </c>
      <c r="M2094" t="s">
        <v>20</v>
      </c>
      <c r="N2094">
        <v>201</v>
      </c>
      <c r="O2094">
        <v>97</v>
      </c>
      <c r="P2094">
        <v>53704.090000000018</v>
      </c>
      <c r="Q2094">
        <v>0</v>
      </c>
    </row>
    <row r="2095" spans="7:17" x14ac:dyDescent="0.25">
      <c r="G2095" t="str">
        <f t="shared" si="32"/>
        <v/>
      </c>
      <c r="H2095" t="s">
        <v>47</v>
      </c>
      <c r="I2095" t="s">
        <v>10</v>
      </c>
      <c r="J2095" t="s">
        <v>5</v>
      </c>
      <c r="K2095" t="s">
        <v>28</v>
      </c>
      <c r="L2095" t="s">
        <v>43</v>
      </c>
      <c r="M2095" t="s">
        <v>19</v>
      </c>
      <c r="N2095">
        <v>52</v>
      </c>
      <c r="O2095">
        <v>36</v>
      </c>
      <c r="P2095">
        <v>38044.82</v>
      </c>
      <c r="Q2095">
        <v>31514.16</v>
      </c>
    </row>
    <row r="2096" spans="7:17" x14ac:dyDescent="0.25">
      <c r="G2096" t="str">
        <f t="shared" si="32"/>
        <v/>
      </c>
      <c r="H2096" t="s">
        <v>47</v>
      </c>
      <c r="I2096" t="s">
        <v>10</v>
      </c>
      <c r="J2096" t="s">
        <v>5</v>
      </c>
      <c r="K2096" t="s">
        <v>28</v>
      </c>
      <c r="L2096" t="s">
        <v>43</v>
      </c>
      <c r="M2096" t="s">
        <v>20</v>
      </c>
      <c r="N2096">
        <v>54</v>
      </c>
      <c r="O2096">
        <v>28</v>
      </c>
      <c r="P2096">
        <v>51462.8</v>
      </c>
      <c r="Q2096">
        <v>0</v>
      </c>
    </row>
    <row r="2097" spans="7:17" x14ac:dyDescent="0.25">
      <c r="G2097" t="str">
        <f t="shared" si="32"/>
        <v/>
      </c>
      <c r="H2097" t="s">
        <v>47</v>
      </c>
      <c r="I2097" t="s">
        <v>10</v>
      </c>
      <c r="J2097" t="s">
        <v>5</v>
      </c>
      <c r="K2097" t="s">
        <v>28</v>
      </c>
      <c r="L2097" t="s">
        <v>44</v>
      </c>
      <c r="M2097" t="s">
        <v>19</v>
      </c>
      <c r="N2097">
        <v>32</v>
      </c>
      <c r="O2097">
        <v>11</v>
      </c>
      <c r="P2097">
        <v>25751.529999999995</v>
      </c>
      <c r="Q2097">
        <v>17353.54</v>
      </c>
    </row>
    <row r="2098" spans="7:17" x14ac:dyDescent="0.25">
      <c r="G2098" t="str">
        <f t="shared" si="32"/>
        <v/>
      </c>
      <c r="H2098" t="s">
        <v>47</v>
      </c>
      <c r="I2098" t="s">
        <v>10</v>
      </c>
      <c r="J2098" t="s">
        <v>5</v>
      </c>
      <c r="K2098" t="s">
        <v>28</v>
      </c>
      <c r="L2098" t="s">
        <v>44</v>
      </c>
      <c r="M2098" t="s">
        <v>20</v>
      </c>
      <c r="N2098">
        <v>34</v>
      </c>
      <c r="O2098">
        <v>28</v>
      </c>
      <c r="P2098">
        <v>24349.000000000004</v>
      </c>
      <c r="Q2098">
        <v>0</v>
      </c>
    </row>
    <row r="2099" spans="7:17" x14ac:dyDescent="0.25">
      <c r="G2099" t="str">
        <f t="shared" si="32"/>
        <v/>
      </c>
      <c r="H2099" t="s">
        <v>47</v>
      </c>
      <c r="I2099" t="s">
        <v>10</v>
      </c>
      <c r="J2099" t="s">
        <v>5</v>
      </c>
      <c r="K2099" t="s">
        <v>29</v>
      </c>
      <c r="L2099" t="s">
        <v>42</v>
      </c>
      <c r="M2099" t="s">
        <v>19</v>
      </c>
      <c r="N2099">
        <v>343</v>
      </c>
      <c r="O2099">
        <v>97</v>
      </c>
      <c r="P2099">
        <v>172040.91</v>
      </c>
      <c r="Q2099">
        <v>170400.23999999993</v>
      </c>
    </row>
    <row r="2100" spans="7:17" x14ac:dyDescent="0.25">
      <c r="G2100" t="str">
        <f t="shared" si="32"/>
        <v/>
      </c>
      <c r="H2100" t="s">
        <v>47</v>
      </c>
      <c r="I2100" t="s">
        <v>10</v>
      </c>
      <c r="J2100" t="s">
        <v>5</v>
      </c>
      <c r="K2100" t="s">
        <v>29</v>
      </c>
      <c r="L2100" t="s">
        <v>42</v>
      </c>
      <c r="M2100" t="s">
        <v>20</v>
      </c>
      <c r="N2100">
        <v>176</v>
      </c>
      <c r="O2100">
        <v>64</v>
      </c>
      <c r="P2100">
        <v>48119.439999999995</v>
      </c>
      <c r="Q2100">
        <v>0</v>
      </c>
    </row>
    <row r="2101" spans="7:17" x14ac:dyDescent="0.25">
      <c r="G2101" t="str">
        <f t="shared" si="32"/>
        <v/>
      </c>
      <c r="H2101" t="s">
        <v>47</v>
      </c>
      <c r="I2101" t="s">
        <v>10</v>
      </c>
      <c r="J2101" t="s">
        <v>5</v>
      </c>
      <c r="K2101" t="s">
        <v>29</v>
      </c>
      <c r="L2101" t="s">
        <v>43</v>
      </c>
      <c r="M2101" t="s">
        <v>19</v>
      </c>
      <c r="N2101">
        <v>21</v>
      </c>
      <c r="O2101">
        <v>15</v>
      </c>
      <c r="P2101">
        <v>33357.650000000009</v>
      </c>
      <c r="Q2101">
        <v>32104.35</v>
      </c>
    </row>
    <row r="2102" spans="7:17" x14ac:dyDescent="0.25">
      <c r="G2102" t="str">
        <f t="shared" si="32"/>
        <v/>
      </c>
      <c r="H2102" t="s">
        <v>47</v>
      </c>
      <c r="I2102" t="s">
        <v>10</v>
      </c>
      <c r="J2102" t="s">
        <v>5</v>
      </c>
      <c r="K2102" t="s">
        <v>29</v>
      </c>
      <c r="L2102" t="s">
        <v>43</v>
      </c>
      <c r="M2102" t="s">
        <v>20</v>
      </c>
      <c r="N2102">
        <v>47</v>
      </c>
      <c r="O2102">
        <v>20</v>
      </c>
      <c r="P2102">
        <v>33055.769999999997</v>
      </c>
      <c r="Q2102">
        <v>0</v>
      </c>
    </row>
    <row r="2103" spans="7:17" x14ac:dyDescent="0.25">
      <c r="G2103" t="str">
        <f t="shared" si="32"/>
        <v/>
      </c>
      <c r="H2103" t="s">
        <v>47</v>
      </c>
      <c r="I2103" t="s">
        <v>10</v>
      </c>
      <c r="J2103" t="s">
        <v>5</v>
      </c>
      <c r="K2103" t="s">
        <v>29</v>
      </c>
      <c r="L2103" t="s">
        <v>44</v>
      </c>
      <c r="M2103" t="s">
        <v>19</v>
      </c>
      <c r="N2103">
        <v>14</v>
      </c>
      <c r="O2103">
        <v>9</v>
      </c>
      <c r="P2103">
        <v>14570.08</v>
      </c>
      <c r="Q2103">
        <v>9357.3200000000015</v>
      </c>
    </row>
    <row r="2104" spans="7:17" x14ac:dyDescent="0.25">
      <c r="G2104" t="str">
        <f t="shared" si="32"/>
        <v/>
      </c>
      <c r="H2104" t="s">
        <v>47</v>
      </c>
      <c r="I2104" t="s">
        <v>10</v>
      </c>
      <c r="J2104" t="s">
        <v>5</v>
      </c>
      <c r="K2104" t="s">
        <v>29</v>
      </c>
      <c r="L2104" t="s">
        <v>44</v>
      </c>
      <c r="M2104" t="s">
        <v>20</v>
      </c>
      <c r="N2104">
        <v>28</v>
      </c>
      <c r="O2104">
        <v>18</v>
      </c>
      <c r="P2104">
        <v>24322.46</v>
      </c>
      <c r="Q2104">
        <v>0</v>
      </c>
    </row>
    <row r="2105" spans="7:17" x14ac:dyDescent="0.25">
      <c r="G2105" t="str">
        <f t="shared" si="32"/>
        <v/>
      </c>
      <c r="H2105" t="s">
        <v>47</v>
      </c>
      <c r="I2105" t="s">
        <v>10</v>
      </c>
      <c r="J2105" t="s">
        <v>5</v>
      </c>
      <c r="K2105" t="s">
        <v>29</v>
      </c>
      <c r="L2105" t="s">
        <v>39</v>
      </c>
      <c r="M2105" t="s">
        <v>19</v>
      </c>
      <c r="N2105">
        <v>1</v>
      </c>
      <c r="O2105">
        <v>1</v>
      </c>
      <c r="P2105">
        <v>1533.72</v>
      </c>
      <c r="Q2105">
        <v>1533</v>
      </c>
    </row>
    <row r="2106" spans="7:17" x14ac:dyDescent="0.25">
      <c r="G2106" t="str">
        <f t="shared" si="32"/>
        <v/>
      </c>
      <c r="H2106" t="s">
        <v>47</v>
      </c>
      <c r="I2106" t="s">
        <v>10</v>
      </c>
      <c r="J2106" t="s">
        <v>5</v>
      </c>
      <c r="K2106" t="s">
        <v>29</v>
      </c>
      <c r="L2106" t="s">
        <v>39</v>
      </c>
      <c r="M2106" t="s">
        <v>20</v>
      </c>
      <c r="N2106">
        <v>12</v>
      </c>
      <c r="O2106">
        <v>11</v>
      </c>
      <c r="P2106">
        <v>10286.239999999998</v>
      </c>
      <c r="Q2106">
        <v>0</v>
      </c>
    </row>
    <row r="2107" spans="7:17" x14ac:dyDescent="0.25">
      <c r="G2107" t="str">
        <f t="shared" si="32"/>
        <v/>
      </c>
      <c r="H2107" t="s">
        <v>47</v>
      </c>
      <c r="I2107" t="s">
        <v>10</v>
      </c>
      <c r="J2107" t="s">
        <v>5</v>
      </c>
      <c r="K2107" t="s">
        <v>29</v>
      </c>
      <c r="L2107" t="s">
        <v>40</v>
      </c>
      <c r="M2107" t="s">
        <v>19</v>
      </c>
      <c r="N2107">
        <v>2</v>
      </c>
      <c r="O2107">
        <v>1</v>
      </c>
      <c r="P2107">
        <v>4396.84</v>
      </c>
      <c r="Q2107">
        <v>4396.8399999999992</v>
      </c>
    </row>
    <row r="2108" spans="7:17" x14ac:dyDescent="0.25">
      <c r="G2108" t="str">
        <f t="shared" si="32"/>
        <v/>
      </c>
      <c r="H2108" t="s">
        <v>47</v>
      </c>
      <c r="I2108" t="s">
        <v>10</v>
      </c>
      <c r="J2108" t="s">
        <v>5</v>
      </c>
      <c r="K2108" t="s">
        <v>29</v>
      </c>
      <c r="L2108" t="s">
        <v>40</v>
      </c>
      <c r="M2108" t="s">
        <v>20</v>
      </c>
      <c r="N2108">
        <v>15</v>
      </c>
      <c r="O2108">
        <v>4</v>
      </c>
      <c r="P2108">
        <v>8239.4699999999993</v>
      </c>
      <c r="Q2108">
        <v>0</v>
      </c>
    </row>
    <row r="2109" spans="7:17" x14ac:dyDescent="0.25">
      <c r="G2109" t="str">
        <f t="shared" si="32"/>
        <v/>
      </c>
      <c r="H2109" t="s">
        <v>47</v>
      </c>
      <c r="I2109" t="s">
        <v>10</v>
      </c>
      <c r="J2109" t="s">
        <v>5</v>
      </c>
      <c r="K2109" t="s">
        <v>29</v>
      </c>
      <c r="L2109" t="s">
        <v>41</v>
      </c>
      <c r="M2109" t="s">
        <v>20</v>
      </c>
      <c r="N2109">
        <v>14</v>
      </c>
      <c r="O2109">
        <v>6</v>
      </c>
      <c r="P2109">
        <v>11288.65</v>
      </c>
      <c r="Q2109">
        <v>0</v>
      </c>
    </row>
    <row r="2110" spans="7:17" x14ac:dyDescent="0.25">
      <c r="G2110" t="str">
        <f t="shared" si="32"/>
        <v/>
      </c>
      <c r="H2110" t="s">
        <v>47</v>
      </c>
      <c r="I2110" t="s">
        <v>10</v>
      </c>
      <c r="J2110" t="s">
        <v>5</v>
      </c>
      <c r="K2110" t="s">
        <v>29</v>
      </c>
      <c r="L2110" t="s">
        <v>45</v>
      </c>
      <c r="M2110" t="s">
        <v>19</v>
      </c>
      <c r="N2110">
        <v>5</v>
      </c>
      <c r="O2110">
        <v>3</v>
      </c>
      <c r="P2110">
        <v>3304.42</v>
      </c>
      <c r="Q2110">
        <v>3304.42</v>
      </c>
    </row>
    <row r="2111" spans="7:17" x14ac:dyDescent="0.25">
      <c r="G2111" t="str">
        <f t="shared" si="32"/>
        <v/>
      </c>
      <c r="H2111" t="s">
        <v>47</v>
      </c>
      <c r="I2111" t="s">
        <v>10</v>
      </c>
      <c r="J2111" t="s">
        <v>5</v>
      </c>
      <c r="K2111" t="s">
        <v>29</v>
      </c>
      <c r="L2111" t="s">
        <v>45</v>
      </c>
      <c r="M2111" t="s">
        <v>20</v>
      </c>
      <c r="N2111">
        <v>221</v>
      </c>
      <c r="O2111">
        <v>93</v>
      </c>
      <c r="P2111">
        <v>197165.37000000002</v>
      </c>
      <c r="Q2111">
        <v>0</v>
      </c>
    </row>
    <row r="2112" spans="7:17" x14ac:dyDescent="0.25">
      <c r="G2112" t="str">
        <f t="shared" si="32"/>
        <v/>
      </c>
      <c r="H2112" t="s">
        <v>47</v>
      </c>
      <c r="I2112" t="s">
        <v>10</v>
      </c>
      <c r="J2112" t="s">
        <v>5</v>
      </c>
      <c r="K2112" t="s">
        <v>30</v>
      </c>
      <c r="L2112" t="s">
        <v>42</v>
      </c>
      <c r="M2112" t="s">
        <v>19</v>
      </c>
      <c r="N2112">
        <v>21</v>
      </c>
      <c r="O2112">
        <v>8</v>
      </c>
      <c r="P2112">
        <v>12325.76</v>
      </c>
      <c r="Q2112">
        <v>12222.89</v>
      </c>
    </row>
    <row r="2113" spans="7:17" x14ac:dyDescent="0.25">
      <c r="G2113" t="str">
        <f t="shared" si="32"/>
        <v/>
      </c>
      <c r="H2113" t="s">
        <v>47</v>
      </c>
      <c r="I2113" t="s">
        <v>10</v>
      </c>
      <c r="J2113" t="s">
        <v>5</v>
      </c>
      <c r="K2113" t="s">
        <v>30</v>
      </c>
      <c r="L2113" t="s">
        <v>42</v>
      </c>
      <c r="M2113" t="s">
        <v>20</v>
      </c>
      <c r="N2113">
        <v>15</v>
      </c>
      <c r="O2113">
        <v>6</v>
      </c>
      <c r="P2113">
        <v>3441.3900000000008</v>
      </c>
      <c r="Q2113">
        <v>0</v>
      </c>
    </row>
    <row r="2114" spans="7:17" x14ac:dyDescent="0.25">
      <c r="G2114" t="str">
        <f t="shared" ref="G2114:G2177" si="33">IF(G$1="Overall","Overall",IF(G$1=L2114,L2114,""))</f>
        <v/>
      </c>
      <c r="H2114" t="s">
        <v>47</v>
      </c>
      <c r="I2114" t="s">
        <v>10</v>
      </c>
      <c r="J2114" t="s">
        <v>5</v>
      </c>
      <c r="K2114" t="s">
        <v>30</v>
      </c>
      <c r="L2114" t="s">
        <v>43</v>
      </c>
      <c r="M2114" t="s">
        <v>19</v>
      </c>
      <c r="N2114">
        <v>2</v>
      </c>
      <c r="O2114">
        <v>0</v>
      </c>
      <c r="P2114">
        <v>1532.8600000000001</v>
      </c>
      <c r="Q2114">
        <v>1031.8400000000001</v>
      </c>
    </row>
    <row r="2115" spans="7:17" x14ac:dyDescent="0.25">
      <c r="G2115" t="str">
        <f t="shared" si="33"/>
        <v/>
      </c>
      <c r="H2115" t="s">
        <v>47</v>
      </c>
      <c r="I2115" t="s">
        <v>10</v>
      </c>
      <c r="J2115" t="s">
        <v>5</v>
      </c>
      <c r="K2115" t="s">
        <v>30</v>
      </c>
      <c r="L2115" t="s">
        <v>43</v>
      </c>
      <c r="M2115" t="s">
        <v>20</v>
      </c>
      <c r="N2115">
        <v>1</v>
      </c>
      <c r="O2115">
        <v>0</v>
      </c>
      <c r="P2115">
        <v>369.16</v>
      </c>
      <c r="Q2115">
        <v>0</v>
      </c>
    </row>
    <row r="2116" spans="7:17" x14ac:dyDescent="0.25">
      <c r="G2116" t="str">
        <f t="shared" si="33"/>
        <v/>
      </c>
      <c r="H2116" t="s">
        <v>47</v>
      </c>
      <c r="I2116" t="s">
        <v>10</v>
      </c>
      <c r="J2116" t="s">
        <v>5</v>
      </c>
      <c r="K2116" t="s">
        <v>30</v>
      </c>
      <c r="L2116" t="s">
        <v>44</v>
      </c>
      <c r="M2116" t="s">
        <v>19</v>
      </c>
      <c r="N2116">
        <v>3</v>
      </c>
      <c r="O2116">
        <v>1</v>
      </c>
      <c r="P2116">
        <v>4867.17</v>
      </c>
      <c r="Q2116">
        <v>582</v>
      </c>
    </row>
    <row r="2117" spans="7:17" x14ac:dyDescent="0.25">
      <c r="G2117" t="str">
        <f t="shared" si="33"/>
        <v/>
      </c>
      <c r="H2117" t="s">
        <v>47</v>
      </c>
      <c r="I2117" t="s">
        <v>10</v>
      </c>
      <c r="J2117" t="s">
        <v>5</v>
      </c>
      <c r="K2117" t="s">
        <v>30</v>
      </c>
      <c r="L2117" t="s">
        <v>44</v>
      </c>
      <c r="M2117" t="s">
        <v>20</v>
      </c>
      <c r="N2117">
        <v>14</v>
      </c>
      <c r="O2117">
        <v>5</v>
      </c>
      <c r="P2117">
        <v>19001.060000000001</v>
      </c>
      <c r="Q2117">
        <v>0</v>
      </c>
    </row>
    <row r="2118" spans="7:17" x14ac:dyDescent="0.25">
      <c r="G2118" t="str">
        <f t="shared" si="33"/>
        <v/>
      </c>
      <c r="H2118" t="s">
        <v>47</v>
      </c>
      <c r="I2118" t="s">
        <v>10</v>
      </c>
      <c r="J2118" t="s">
        <v>5</v>
      </c>
      <c r="K2118" t="s">
        <v>30</v>
      </c>
      <c r="L2118" t="s">
        <v>39</v>
      </c>
      <c r="M2118" t="s">
        <v>20</v>
      </c>
      <c r="N2118">
        <v>1</v>
      </c>
      <c r="O2118">
        <v>1</v>
      </c>
      <c r="P2118">
        <v>827.3</v>
      </c>
      <c r="Q2118">
        <v>0</v>
      </c>
    </row>
    <row r="2119" spans="7:17" x14ac:dyDescent="0.25">
      <c r="G2119" t="str">
        <f t="shared" si="33"/>
        <v/>
      </c>
      <c r="H2119" t="s">
        <v>47</v>
      </c>
      <c r="I2119" t="s">
        <v>10</v>
      </c>
      <c r="J2119" t="s">
        <v>5</v>
      </c>
      <c r="K2119" t="s">
        <v>30</v>
      </c>
      <c r="L2119" t="s">
        <v>40</v>
      </c>
      <c r="M2119" t="s">
        <v>19</v>
      </c>
      <c r="N2119">
        <v>1</v>
      </c>
      <c r="O2119">
        <v>0</v>
      </c>
      <c r="P2119">
        <v>1968.52</v>
      </c>
      <c r="Q2119">
        <v>1968</v>
      </c>
    </row>
    <row r="2120" spans="7:17" x14ac:dyDescent="0.25">
      <c r="G2120" t="str">
        <f t="shared" si="33"/>
        <v/>
      </c>
      <c r="H2120" t="s">
        <v>47</v>
      </c>
      <c r="I2120" t="s">
        <v>10</v>
      </c>
      <c r="J2120" t="s">
        <v>5</v>
      </c>
      <c r="K2120" t="s">
        <v>30</v>
      </c>
      <c r="L2120" t="s">
        <v>40</v>
      </c>
      <c r="M2120" t="s">
        <v>20</v>
      </c>
      <c r="N2120">
        <v>1</v>
      </c>
      <c r="O2120">
        <v>1</v>
      </c>
      <c r="P2120">
        <v>2075.54</v>
      </c>
      <c r="Q2120">
        <v>0</v>
      </c>
    </row>
    <row r="2121" spans="7:17" x14ac:dyDescent="0.25">
      <c r="G2121" t="str">
        <f t="shared" si="33"/>
        <v/>
      </c>
      <c r="H2121" t="s">
        <v>47</v>
      </c>
      <c r="I2121" t="s">
        <v>10</v>
      </c>
      <c r="J2121" t="s">
        <v>5</v>
      </c>
      <c r="K2121" t="s">
        <v>30</v>
      </c>
      <c r="L2121" t="s">
        <v>45</v>
      </c>
      <c r="M2121" t="s">
        <v>20</v>
      </c>
      <c r="N2121">
        <v>6</v>
      </c>
      <c r="O2121">
        <v>3</v>
      </c>
      <c r="P2121">
        <v>9197.24</v>
      </c>
      <c r="Q2121">
        <v>0</v>
      </c>
    </row>
    <row r="2122" spans="7:17" x14ac:dyDescent="0.25">
      <c r="G2122" t="str">
        <f t="shared" si="33"/>
        <v/>
      </c>
      <c r="H2122" t="s">
        <v>47</v>
      </c>
      <c r="I2122" t="s">
        <v>10</v>
      </c>
      <c r="J2122" t="s">
        <v>5</v>
      </c>
      <c r="K2122" t="s">
        <v>32</v>
      </c>
      <c r="L2122" t="s">
        <v>42</v>
      </c>
      <c r="M2122" t="s">
        <v>19</v>
      </c>
      <c r="N2122">
        <v>71</v>
      </c>
      <c r="O2122">
        <v>6</v>
      </c>
      <c r="P2122">
        <v>35103.29</v>
      </c>
      <c r="Q2122">
        <v>34428.589999999997</v>
      </c>
    </row>
    <row r="2123" spans="7:17" x14ac:dyDescent="0.25">
      <c r="G2123" t="str">
        <f t="shared" si="33"/>
        <v/>
      </c>
      <c r="H2123" t="s">
        <v>47</v>
      </c>
      <c r="I2123" t="s">
        <v>10</v>
      </c>
      <c r="J2123" t="s">
        <v>5</v>
      </c>
      <c r="K2123" t="s">
        <v>32</v>
      </c>
      <c r="L2123" t="s">
        <v>42</v>
      </c>
      <c r="M2123" t="s">
        <v>20</v>
      </c>
      <c r="N2123">
        <v>19</v>
      </c>
      <c r="O2123">
        <v>5</v>
      </c>
      <c r="P2123">
        <v>6027.8499999999995</v>
      </c>
      <c r="Q2123">
        <v>0</v>
      </c>
    </row>
    <row r="2124" spans="7:17" x14ac:dyDescent="0.25">
      <c r="G2124" t="str">
        <f t="shared" si="33"/>
        <v/>
      </c>
      <c r="H2124" t="s">
        <v>47</v>
      </c>
      <c r="I2124" t="s">
        <v>10</v>
      </c>
      <c r="J2124" t="s">
        <v>5</v>
      </c>
      <c r="K2124" t="s">
        <v>32</v>
      </c>
      <c r="L2124" t="s">
        <v>43</v>
      </c>
      <c r="M2124" t="s">
        <v>19</v>
      </c>
      <c r="N2124">
        <v>3</v>
      </c>
      <c r="O2124">
        <v>1</v>
      </c>
      <c r="P2124">
        <v>2762.64</v>
      </c>
      <c r="Q2124">
        <v>2749.3599999999997</v>
      </c>
    </row>
    <row r="2125" spans="7:17" x14ac:dyDescent="0.25">
      <c r="G2125" t="str">
        <f t="shared" si="33"/>
        <v/>
      </c>
      <c r="H2125" t="s">
        <v>47</v>
      </c>
      <c r="I2125" t="s">
        <v>10</v>
      </c>
      <c r="J2125" t="s">
        <v>5</v>
      </c>
      <c r="K2125" t="s">
        <v>32</v>
      </c>
      <c r="L2125" t="s">
        <v>43</v>
      </c>
      <c r="M2125" t="s">
        <v>20</v>
      </c>
      <c r="N2125">
        <v>6</v>
      </c>
      <c r="O2125">
        <v>1</v>
      </c>
      <c r="P2125">
        <v>4947.5300000000007</v>
      </c>
      <c r="Q2125">
        <v>0</v>
      </c>
    </row>
    <row r="2126" spans="7:17" x14ac:dyDescent="0.25">
      <c r="G2126" t="str">
        <f t="shared" si="33"/>
        <v/>
      </c>
      <c r="H2126" t="s">
        <v>47</v>
      </c>
      <c r="I2126" t="s">
        <v>10</v>
      </c>
      <c r="J2126" t="s">
        <v>5</v>
      </c>
      <c r="K2126" t="s">
        <v>32</v>
      </c>
      <c r="L2126" t="s">
        <v>44</v>
      </c>
      <c r="M2126" t="s">
        <v>19</v>
      </c>
      <c r="N2126">
        <v>1</v>
      </c>
      <c r="O2126">
        <v>0</v>
      </c>
      <c r="P2126">
        <v>837.69</v>
      </c>
      <c r="Q2126">
        <v>24.999999999999996</v>
      </c>
    </row>
    <row r="2127" spans="7:17" x14ac:dyDescent="0.25">
      <c r="G2127" t="str">
        <f t="shared" si="33"/>
        <v/>
      </c>
      <c r="H2127" t="s">
        <v>47</v>
      </c>
      <c r="I2127" t="s">
        <v>10</v>
      </c>
      <c r="J2127" t="s">
        <v>5</v>
      </c>
      <c r="K2127" t="s">
        <v>32</v>
      </c>
      <c r="L2127" t="s">
        <v>44</v>
      </c>
      <c r="M2127" t="s">
        <v>20</v>
      </c>
      <c r="N2127">
        <v>1</v>
      </c>
      <c r="O2127">
        <v>1</v>
      </c>
      <c r="P2127">
        <v>744.37</v>
      </c>
      <c r="Q2127">
        <v>0</v>
      </c>
    </row>
    <row r="2128" spans="7:17" x14ac:dyDescent="0.25">
      <c r="G2128" t="str">
        <f t="shared" si="33"/>
        <v/>
      </c>
      <c r="H2128" t="s">
        <v>47</v>
      </c>
      <c r="I2128" t="s">
        <v>10</v>
      </c>
      <c r="J2128" t="s">
        <v>5</v>
      </c>
      <c r="K2128" t="s">
        <v>32</v>
      </c>
      <c r="L2128" t="s">
        <v>40</v>
      </c>
      <c r="M2128" t="s">
        <v>20</v>
      </c>
      <c r="N2128">
        <v>1</v>
      </c>
      <c r="O2128">
        <v>1</v>
      </c>
      <c r="P2128">
        <v>388.91</v>
      </c>
      <c r="Q2128">
        <v>0</v>
      </c>
    </row>
    <row r="2129" spans="7:17" x14ac:dyDescent="0.25">
      <c r="G2129" t="str">
        <f t="shared" si="33"/>
        <v/>
      </c>
      <c r="H2129" t="s">
        <v>47</v>
      </c>
      <c r="I2129" t="s">
        <v>10</v>
      </c>
      <c r="J2129" t="s">
        <v>5</v>
      </c>
      <c r="K2129" t="s">
        <v>32</v>
      </c>
      <c r="L2129" t="s">
        <v>45</v>
      </c>
      <c r="M2129" t="s">
        <v>20</v>
      </c>
      <c r="N2129">
        <v>24</v>
      </c>
      <c r="O2129">
        <v>11</v>
      </c>
      <c r="P2129">
        <v>23440.59</v>
      </c>
      <c r="Q2129">
        <v>0</v>
      </c>
    </row>
    <row r="2130" spans="7:17" x14ac:dyDescent="0.25">
      <c r="G2130" t="str">
        <f t="shared" si="33"/>
        <v/>
      </c>
      <c r="H2130" t="s">
        <v>47</v>
      </c>
      <c r="I2130" t="s">
        <v>10</v>
      </c>
      <c r="J2130" t="s">
        <v>5</v>
      </c>
      <c r="K2130" t="s">
        <v>33</v>
      </c>
      <c r="L2130" t="s">
        <v>42</v>
      </c>
      <c r="M2130" t="s">
        <v>19</v>
      </c>
      <c r="N2130">
        <v>224</v>
      </c>
      <c r="O2130">
        <v>78</v>
      </c>
      <c r="P2130">
        <v>101529.11000000004</v>
      </c>
      <c r="Q2130">
        <v>98515.010000000038</v>
      </c>
    </row>
    <row r="2131" spans="7:17" x14ac:dyDescent="0.25">
      <c r="G2131" t="str">
        <f t="shared" si="33"/>
        <v/>
      </c>
      <c r="H2131" t="s">
        <v>47</v>
      </c>
      <c r="I2131" t="s">
        <v>10</v>
      </c>
      <c r="J2131" t="s">
        <v>5</v>
      </c>
      <c r="K2131" t="s">
        <v>33</v>
      </c>
      <c r="L2131" t="s">
        <v>42</v>
      </c>
      <c r="M2131" t="s">
        <v>20</v>
      </c>
      <c r="N2131">
        <v>151</v>
      </c>
      <c r="O2131">
        <v>50</v>
      </c>
      <c r="P2131">
        <v>39221.679999999978</v>
      </c>
      <c r="Q2131">
        <v>0</v>
      </c>
    </row>
    <row r="2132" spans="7:17" x14ac:dyDescent="0.25">
      <c r="G2132" t="str">
        <f t="shared" si="33"/>
        <v/>
      </c>
      <c r="H2132" t="s">
        <v>47</v>
      </c>
      <c r="I2132" t="s">
        <v>10</v>
      </c>
      <c r="J2132" t="s">
        <v>5</v>
      </c>
      <c r="K2132" t="s">
        <v>33</v>
      </c>
      <c r="L2132" t="s">
        <v>43</v>
      </c>
      <c r="M2132" t="s">
        <v>19</v>
      </c>
      <c r="N2132">
        <v>34</v>
      </c>
      <c r="O2132">
        <v>26</v>
      </c>
      <c r="P2132">
        <v>23937.060000000009</v>
      </c>
      <c r="Q2132">
        <v>21465.810000000005</v>
      </c>
    </row>
    <row r="2133" spans="7:17" x14ac:dyDescent="0.25">
      <c r="G2133" t="str">
        <f t="shared" si="33"/>
        <v/>
      </c>
      <c r="H2133" t="s">
        <v>47</v>
      </c>
      <c r="I2133" t="s">
        <v>10</v>
      </c>
      <c r="J2133" t="s">
        <v>5</v>
      </c>
      <c r="K2133" t="s">
        <v>33</v>
      </c>
      <c r="L2133" t="s">
        <v>43</v>
      </c>
      <c r="M2133" t="s">
        <v>20</v>
      </c>
      <c r="N2133">
        <v>41</v>
      </c>
      <c r="O2133">
        <v>23</v>
      </c>
      <c r="P2133">
        <v>29988.19000000001</v>
      </c>
      <c r="Q2133">
        <v>0</v>
      </c>
    </row>
    <row r="2134" spans="7:17" x14ac:dyDescent="0.25">
      <c r="G2134" t="str">
        <f t="shared" si="33"/>
        <v/>
      </c>
      <c r="H2134" t="s">
        <v>47</v>
      </c>
      <c r="I2134" t="s">
        <v>10</v>
      </c>
      <c r="J2134" t="s">
        <v>5</v>
      </c>
      <c r="K2134" t="s">
        <v>33</v>
      </c>
      <c r="L2134" t="s">
        <v>44</v>
      </c>
      <c r="M2134" t="s">
        <v>19</v>
      </c>
      <c r="N2134">
        <v>6</v>
      </c>
      <c r="O2134">
        <v>6</v>
      </c>
      <c r="P2134">
        <v>7597.61</v>
      </c>
      <c r="Q2134">
        <v>5984.46</v>
      </c>
    </row>
    <row r="2135" spans="7:17" x14ac:dyDescent="0.25">
      <c r="G2135" t="str">
        <f t="shared" si="33"/>
        <v/>
      </c>
      <c r="H2135" t="s">
        <v>47</v>
      </c>
      <c r="I2135" t="s">
        <v>10</v>
      </c>
      <c r="J2135" t="s">
        <v>5</v>
      </c>
      <c r="K2135" t="s">
        <v>33</v>
      </c>
      <c r="L2135" t="s">
        <v>44</v>
      </c>
      <c r="M2135" t="s">
        <v>20</v>
      </c>
      <c r="N2135">
        <v>29</v>
      </c>
      <c r="O2135">
        <v>19</v>
      </c>
      <c r="P2135">
        <v>20345.830000000005</v>
      </c>
      <c r="Q2135">
        <v>0</v>
      </c>
    </row>
    <row r="2136" spans="7:17" x14ac:dyDescent="0.25">
      <c r="G2136" t="str">
        <f t="shared" si="33"/>
        <v/>
      </c>
      <c r="H2136" t="s">
        <v>47</v>
      </c>
      <c r="I2136" t="s">
        <v>10</v>
      </c>
      <c r="J2136" t="s">
        <v>5</v>
      </c>
      <c r="K2136" t="s">
        <v>33</v>
      </c>
      <c r="L2136" t="s">
        <v>39</v>
      </c>
      <c r="M2136" t="s">
        <v>19</v>
      </c>
      <c r="N2136">
        <v>14</v>
      </c>
      <c r="O2136">
        <v>2</v>
      </c>
      <c r="P2136">
        <v>5784.21</v>
      </c>
      <c r="Q2136">
        <v>5782.92</v>
      </c>
    </row>
    <row r="2137" spans="7:17" x14ac:dyDescent="0.25">
      <c r="G2137" t="str">
        <f t="shared" si="33"/>
        <v/>
      </c>
      <c r="H2137" t="s">
        <v>47</v>
      </c>
      <c r="I2137" t="s">
        <v>10</v>
      </c>
      <c r="J2137" t="s">
        <v>5</v>
      </c>
      <c r="K2137" t="s">
        <v>33</v>
      </c>
      <c r="L2137" t="s">
        <v>39</v>
      </c>
      <c r="M2137" t="s">
        <v>20</v>
      </c>
      <c r="N2137">
        <v>37</v>
      </c>
      <c r="O2137">
        <v>10</v>
      </c>
      <c r="P2137">
        <v>32294.239999999998</v>
      </c>
      <c r="Q2137">
        <v>0</v>
      </c>
    </row>
    <row r="2138" spans="7:17" x14ac:dyDescent="0.25">
      <c r="G2138" t="str">
        <f t="shared" si="33"/>
        <v/>
      </c>
      <c r="H2138" t="s">
        <v>47</v>
      </c>
      <c r="I2138" t="s">
        <v>10</v>
      </c>
      <c r="J2138" t="s">
        <v>5</v>
      </c>
      <c r="K2138" t="s">
        <v>33</v>
      </c>
      <c r="L2138" t="s">
        <v>40</v>
      </c>
      <c r="M2138" t="s">
        <v>20</v>
      </c>
      <c r="N2138">
        <v>23</v>
      </c>
      <c r="O2138">
        <v>2</v>
      </c>
      <c r="P2138">
        <v>23826.71</v>
      </c>
      <c r="Q2138">
        <v>0</v>
      </c>
    </row>
    <row r="2139" spans="7:17" x14ac:dyDescent="0.25">
      <c r="G2139" t="str">
        <f t="shared" si="33"/>
        <v/>
      </c>
      <c r="H2139" t="s">
        <v>47</v>
      </c>
      <c r="I2139" t="s">
        <v>10</v>
      </c>
      <c r="J2139" t="s">
        <v>5</v>
      </c>
      <c r="K2139" t="s">
        <v>33</v>
      </c>
      <c r="L2139" t="s">
        <v>41</v>
      </c>
      <c r="M2139" t="s">
        <v>20</v>
      </c>
      <c r="N2139">
        <v>7</v>
      </c>
      <c r="O2139">
        <v>3</v>
      </c>
      <c r="P2139">
        <v>2694.4199999999996</v>
      </c>
      <c r="Q2139">
        <v>0</v>
      </c>
    </row>
    <row r="2140" spans="7:17" x14ac:dyDescent="0.25">
      <c r="G2140" t="str">
        <f t="shared" si="33"/>
        <v/>
      </c>
      <c r="H2140" t="s">
        <v>47</v>
      </c>
      <c r="I2140" t="s">
        <v>10</v>
      </c>
      <c r="J2140" t="s">
        <v>5</v>
      </c>
      <c r="K2140" t="s">
        <v>33</v>
      </c>
      <c r="L2140" t="s">
        <v>45</v>
      </c>
      <c r="M2140" t="s">
        <v>20</v>
      </c>
      <c r="N2140">
        <v>98</v>
      </c>
      <c r="O2140">
        <v>43</v>
      </c>
      <c r="P2140">
        <v>84800.85</v>
      </c>
      <c r="Q2140">
        <v>0</v>
      </c>
    </row>
    <row r="2141" spans="7:17" x14ac:dyDescent="0.25">
      <c r="G2141" t="str">
        <f t="shared" si="33"/>
        <v/>
      </c>
      <c r="H2141" t="s">
        <v>47</v>
      </c>
      <c r="I2141" t="s">
        <v>10</v>
      </c>
      <c r="J2141" t="s">
        <v>5</v>
      </c>
      <c r="K2141" t="s">
        <v>34</v>
      </c>
      <c r="L2141" t="s">
        <v>42</v>
      </c>
      <c r="M2141" t="s">
        <v>19</v>
      </c>
      <c r="N2141">
        <v>125</v>
      </c>
      <c r="O2141">
        <v>46</v>
      </c>
      <c r="P2141">
        <v>60240.419999999991</v>
      </c>
      <c r="Q2141">
        <v>59748.04</v>
      </c>
    </row>
    <row r="2142" spans="7:17" x14ac:dyDescent="0.25">
      <c r="G2142" t="str">
        <f t="shared" si="33"/>
        <v/>
      </c>
      <c r="H2142" t="s">
        <v>47</v>
      </c>
      <c r="I2142" t="s">
        <v>10</v>
      </c>
      <c r="J2142" t="s">
        <v>5</v>
      </c>
      <c r="K2142" t="s">
        <v>34</v>
      </c>
      <c r="L2142" t="s">
        <v>42</v>
      </c>
      <c r="M2142" t="s">
        <v>20</v>
      </c>
      <c r="N2142">
        <v>120</v>
      </c>
      <c r="O2142">
        <v>32</v>
      </c>
      <c r="P2142">
        <v>27166.36</v>
      </c>
      <c r="Q2142">
        <v>0</v>
      </c>
    </row>
    <row r="2143" spans="7:17" x14ac:dyDescent="0.25">
      <c r="G2143" t="str">
        <f t="shared" si="33"/>
        <v/>
      </c>
      <c r="H2143" t="s">
        <v>47</v>
      </c>
      <c r="I2143" t="s">
        <v>10</v>
      </c>
      <c r="J2143" t="s">
        <v>5</v>
      </c>
      <c r="K2143" t="s">
        <v>34</v>
      </c>
      <c r="L2143" t="s">
        <v>43</v>
      </c>
      <c r="M2143" t="s">
        <v>19</v>
      </c>
      <c r="N2143">
        <v>14</v>
      </c>
      <c r="O2143">
        <v>9</v>
      </c>
      <c r="P2143">
        <v>10784.369999999999</v>
      </c>
      <c r="Q2143">
        <v>10450.01</v>
      </c>
    </row>
    <row r="2144" spans="7:17" x14ac:dyDescent="0.25">
      <c r="G2144" t="str">
        <f t="shared" si="33"/>
        <v/>
      </c>
      <c r="H2144" t="s">
        <v>47</v>
      </c>
      <c r="I2144" t="s">
        <v>10</v>
      </c>
      <c r="J2144" t="s">
        <v>5</v>
      </c>
      <c r="K2144" t="s">
        <v>34</v>
      </c>
      <c r="L2144" t="s">
        <v>43</v>
      </c>
      <c r="M2144" t="s">
        <v>20</v>
      </c>
      <c r="N2144">
        <v>25</v>
      </c>
      <c r="O2144">
        <v>14</v>
      </c>
      <c r="P2144">
        <v>15689.96</v>
      </c>
      <c r="Q2144">
        <v>0</v>
      </c>
    </row>
    <row r="2145" spans="7:17" x14ac:dyDescent="0.25">
      <c r="G2145" t="str">
        <f t="shared" si="33"/>
        <v/>
      </c>
      <c r="H2145" t="s">
        <v>47</v>
      </c>
      <c r="I2145" t="s">
        <v>10</v>
      </c>
      <c r="J2145" t="s">
        <v>5</v>
      </c>
      <c r="K2145" t="s">
        <v>34</v>
      </c>
      <c r="L2145" t="s">
        <v>44</v>
      </c>
      <c r="M2145" t="s">
        <v>19</v>
      </c>
      <c r="N2145">
        <v>11</v>
      </c>
      <c r="O2145">
        <v>10</v>
      </c>
      <c r="P2145">
        <v>12822.279999999999</v>
      </c>
      <c r="Q2145">
        <v>6197.45</v>
      </c>
    </row>
    <row r="2146" spans="7:17" x14ac:dyDescent="0.25">
      <c r="G2146" t="str">
        <f t="shared" si="33"/>
        <v/>
      </c>
      <c r="H2146" t="s">
        <v>47</v>
      </c>
      <c r="I2146" t="s">
        <v>10</v>
      </c>
      <c r="J2146" t="s">
        <v>5</v>
      </c>
      <c r="K2146" t="s">
        <v>34</v>
      </c>
      <c r="L2146" t="s">
        <v>44</v>
      </c>
      <c r="M2146" t="s">
        <v>20</v>
      </c>
      <c r="N2146">
        <v>9</v>
      </c>
      <c r="O2146">
        <v>5</v>
      </c>
      <c r="P2146">
        <v>7067.27</v>
      </c>
      <c r="Q2146">
        <v>0</v>
      </c>
    </row>
    <row r="2147" spans="7:17" x14ac:dyDescent="0.25">
      <c r="G2147" t="str">
        <f t="shared" si="33"/>
        <v/>
      </c>
      <c r="H2147" t="s">
        <v>47</v>
      </c>
      <c r="I2147" t="s">
        <v>10</v>
      </c>
      <c r="J2147" t="s">
        <v>5</v>
      </c>
      <c r="K2147" t="s">
        <v>34</v>
      </c>
      <c r="L2147" t="s">
        <v>39</v>
      </c>
      <c r="M2147" t="s">
        <v>19</v>
      </c>
      <c r="N2147">
        <v>1</v>
      </c>
      <c r="O2147">
        <v>0</v>
      </c>
      <c r="P2147">
        <v>1079.1500000000001</v>
      </c>
      <c r="Q2147">
        <v>1079.1500000000001</v>
      </c>
    </row>
    <row r="2148" spans="7:17" x14ac:dyDescent="0.25">
      <c r="G2148" t="str">
        <f t="shared" si="33"/>
        <v/>
      </c>
      <c r="H2148" t="s">
        <v>47</v>
      </c>
      <c r="I2148" t="s">
        <v>10</v>
      </c>
      <c r="J2148" t="s">
        <v>5</v>
      </c>
      <c r="K2148" t="s">
        <v>34</v>
      </c>
      <c r="L2148" t="s">
        <v>39</v>
      </c>
      <c r="M2148" t="s">
        <v>20</v>
      </c>
      <c r="N2148">
        <v>2</v>
      </c>
      <c r="O2148">
        <v>2</v>
      </c>
      <c r="P2148">
        <v>501.87</v>
      </c>
      <c r="Q2148">
        <v>0</v>
      </c>
    </row>
    <row r="2149" spans="7:17" x14ac:dyDescent="0.25">
      <c r="G2149" t="str">
        <f t="shared" si="33"/>
        <v/>
      </c>
      <c r="H2149" t="s">
        <v>47</v>
      </c>
      <c r="I2149" t="s">
        <v>10</v>
      </c>
      <c r="J2149" t="s">
        <v>5</v>
      </c>
      <c r="K2149" t="s">
        <v>34</v>
      </c>
      <c r="L2149" t="s">
        <v>40</v>
      </c>
      <c r="M2149" t="s">
        <v>20</v>
      </c>
      <c r="N2149">
        <v>5</v>
      </c>
      <c r="O2149">
        <v>2</v>
      </c>
      <c r="P2149">
        <v>3901.4700000000003</v>
      </c>
      <c r="Q2149">
        <v>0</v>
      </c>
    </row>
    <row r="2150" spans="7:17" x14ac:dyDescent="0.25">
      <c r="G2150" t="str">
        <f t="shared" si="33"/>
        <v/>
      </c>
      <c r="H2150" t="s">
        <v>47</v>
      </c>
      <c r="I2150" t="s">
        <v>10</v>
      </c>
      <c r="J2150" t="s">
        <v>5</v>
      </c>
      <c r="K2150" t="s">
        <v>34</v>
      </c>
      <c r="L2150" t="s">
        <v>41</v>
      </c>
      <c r="M2150" t="s">
        <v>20</v>
      </c>
      <c r="N2150">
        <v>3</v>
      </c>
      <c r="O2150">
        <v>2</v>
      </c>
      <c r="P2150">
        <v>1747.1599999999999</v>
      </c>
      <c r="Q2150">
        <v>0</v>
      </c>
    </row>
    <row r="2151" spans="7:17" x14ac:dyDescent="0.25">
      <c r="G2151" t="str">
        <f t="shared" si="33"/>
        <v/>
      </c>
      <c r="H2151" t="s">
        <v>47</v>
      </c>
      <c r="I2151" t="s">
        <v>10</v>
      </c>
      <c r="J2151" t="s">
        <v>5</v>
      </c>
      <c r="K2151" t="s">
        <v>34</v>
      </c>
      <c r="L2151" t="s">
        <v>45</v>
      </c>
      <c r="M2151" t="s">
        <v>19</v>
      </c>
      <c r="N2151">
        <v>2</v>
      </c>
      <c r="O2151">
        <v>1</v>
      </c>
      <c r="P2151">
        <v>1295.22</v>
      </c>
      <c r="Q2151">
        <v>1295.22</v>
      </c>
    </row>
    <row r="2152" spans="7:17" x14ac:dyDescent="0.25">
      <c r="G2152" t="str">
        <f t="shared" si="33"/>
        <v/>
      </c>
      <c r="H2152" t="s">
        <v>47</v>
      </c>
      <c r="I2152" t="s">
        <v>10</v>
      </c>
      <c r="J2152" t="s">
        <v>5</v>
      </c>
      <c r="K2152" t="s">
        <v>34</v>
      </c>
      <c r="L2152" t="s">
        <v>45</v>
      </c>
      <c r="M2152" t="s">
        <v>20</v>
      </c>
      <c r="N2152">
        <v>55</v>
      </c>
      <c r="O2152">
        <v>29</v>
      </c>
      <c r="P2152">
        <v>26240.800000000003</v>
      </c>
      <c r="Q2152">
        <v>0</v>
      </c>
    </row>
    <row r="2153" spans="7:17" x14ac:dyDescent="0.25">
      <c r="G2153" t="str">
        <f t="shared" si="33"/>
        <v/>
      </c>
      <c r="H2153" t="s">
        <v>47</v>
      </c>
      <c r="I2153" t="s">
        <v>10</v>
      </c>
      <c r="J2153" t="s">
        <v>5</v>
      </c>
      <c r="K2153" t="s">
        <v>35</v>
      </c>
      <c r="L2153" t="s">
        <v>42</v>
      </c>
      <c r="M2153" t="s">
        <v>19</v>
      </c>
      <c r="N2153">
        <v>455</v>
      </c>
      <c r="O2153">
        <v>137</v>
      </c>
      <c r="P2153">
        <v>205329.14000000019</v>
      </c>
      <c r="Q2153">
        <v>203560.36000000016</v>
      </c>
    </row>
    <row r="2154" spans="7:17" x14ac:dyDescent="0.25">
      <c r="G2154" t="str">
        <f t="shared" si="33"/>
        <v/>
      </c>
      <c r="H2154" t="s">
        <v>47</v>
      </c>
      <c r="I2154" t="s">
        <v>10</v>
      </c>
      <c r="J2154" t="s">
        <v>5</v>
      </c>
      <c r="K2154" t="s">
        <v>35</v>
      </c>
      <c r="L2154" t="s">
        <v>42</v>
      </c>
      <c r="M2154" t="s">
        <v>20</v>
      </c>
      <c r="N2154">
        <v>224</v>
      </c>
      <c r="O2154">
        <v>96</v>
      </c>
      <c r="P2154">
        <v>68270.210000000036</v>
      </c>
      <c r="Q2154">
        <v>0</v>
      </c>
    </row>
    <row r="2155" spans="7:17" x14ac:dyDescent="0.25">
      <c r="G2155" t="str">
        <f t="shared" si="33"/>
        <v/>
      </c>
      <c r="H2155" t="s">
        <v>47</v>
      </c>
      <c r="I2155" t="s">
        <v>10</v>
      </c>
      <c r="J2155" t="s">
        <v>5</v>
      </c>
      <c r="K2155" t="s">
        <v>35</v>
      </c>
      <c r="L2155" t="s">
        <v>43</v>
      </c>
      <c r="M2155" t="s">
        <v>19</v>
      </c>
      <c r="N2155">
        <v>35</v>
      </c>
      <c r="O2155">
        <v>21</v>
      </c>
      <c r="P2155">
        <v>27574.69999999999</v>
      </c>
      <c r="Q2155">
        <v>25643.089999999993</v>
      </c>
    </row>
    <row r="2156" spans="7:17" x14ac:dyDescent="0.25">
      <c r="G2156" t="str">
        <f t="shared" si="33"/>
        <v/>
      </c>
      <c r="H2156" t="s">
        <v>47</v>
      </c>
      <c r="I2156" t="s">
        <v>10</v>
      </c>
      <c r="J2156" t="s">
        <v>5</v>
      </c>
      <c r="K2156" t="s">
        <v>35</v>
      </c>
      <c r="L2156" t="s">
        <v>43</v>
      </c>
      <c r="M2156" t="s">
        <v>20</v>
      </c>
      <c r="N2156">
        <v>80</v>
      </c>
      <c r="O2156">
        <v>41</v>
      </c>
      <c r="P2156">
        <v>57205.130000000041</v>
      </c>
      <c r="Q2156">
        <v>0</v>
      </c>
    </row>
    <row r="2157" spans="7:17" x14ac:dyDescent="0.25">
      <c r="G2157" t="str">
        <f t="shared" si="33"/>
        <v/>
      </c>
      <c r="H2157" t="s">
        <v>47</v>
      </c>
      <c r="I2157" t="s">
        <v>10</v>
      </c>
      <c r="J2157" t="s">
        <v>5</v>
      </c>
      <c r="K2157" t="s">
        <v>35</v>
      </c>
      <c r="L2157" t="s">
        <v>44</v>
      </c>
      <c r="M2157" t="s">
        <v>19</v>
      </c>
      <c r="N2157">
        <v>22</v>
      </c>
      <c r="O2157">
        <v>14</v>
      </c>
      <c r="P2157">
        <v>25521.25</v>
      </c>
      <c r="Q2157">
        <v>9902.0999999999985</v>
      </c>
    </row>
    <row r="2158" spans="7:17" x14ac:dyDescent="0.25">
      <c r="G2158" t="str">
        <f t="shared" si="33"/>
        <v/>
      </c>
      <c r="H2158" t="s">
        <v>47</v>
      </c>
      <c r="I2158" t="s">
        <v>10</v>
      </c>
      <c r="J2158" t="s">
        <v>5</v>
      </c>
      <c r="K2158" t="s">
        <v>35</v>
      </c>
      <c r="L2158" t="s">
        <v>44</v>
      </c>
      <c r="M2158" t="s">
        <v>20</v>
      </c>
      <c r="N2158">
        <v>45</v>
      </c>
      <c r="O2158">
        <v>26</v>
      </c>
      <c r="P2158">
        <v>33284.29</v>
      </c>
      <c r="Q2158">
        <v>0</v>
      </c>
    </row>
    <row r="2159" spans="7:17" x14ac:dyDescent="0.25">
      <c r="G2159" t="str">
        <f t="shared" si="33"/>
        <v/>
      </c>
      <c r="H2159" t="s">
        <v>47</v>
      </c>
      <c r="I2159" t="s">
        <v>10</v>
      </c>
      <c r="J2159" t="s">
        <v>5</v>
      </c>
      <c r="K2159" t="s">
        <v>36</v>
      </c>
      <c r="L2159" t="s">
        <v>42</v>
      </c>
      <c r="M2159" t="s">
        <v>19</v>
      </c>
      <c r="N2159">
        <v>390</v>
      </c>
      <c r="O2159">
        <v>167</v>
      </c>
      <c r="P2159">
        <v>190448.24000000008</v>
      </c>
      <c r="Q2159">
        <v>188983.63000000003</v>
      </c>
    </row>
    <row r="2160" spans="7:17" x14ac:dyDescent="0.25">
      <c r="G2160" t="str">
        <f t="shared" si="33"/>
        <v/>
      </c>
      <c r="H2160" t="s">
        <v>47</v>
      </c>
      <c r="I2160" t="s">
        <v>10</v>
      </c>
      <c r="J2160" t="s">
        <v>5</v>
      </c>
      <c r="K2160" t="s">
        <v>36</v>
      </c>
      <c r="L2160" t="s">
        <v>42</v>
      </c>
      <c r="M2160" t="s">
        <v>20</v>
      </c>
      <c r="N2160">
        <v>243</v>
      </c>
      <c r="O2160">
        <v>80</v>
      </c>
      <c r="P2160">
        <v>64258.360000000008</v>
      </c>
      <c r="Q2160">
        <v>0</v>
      </c>
    </row>
    <row r="2161" spans="7:17" x14ac:dyDescent="0.25">
      <c r="G2161" t="str">
        <f t="shared" si="33"/>
        <v/>
      </c>
      <c r="H2161" t="s">
        <v>47</v>
      </c>
      <c r="I2161" t="s">
        <v>10</v>
      </c>
      <c r="J2161" t="s">
        <v>5</v>
      </c>
      <c r="K2161" t="s">
        <v>36</v>
      </c>
      <c r="L2161" t="s">
        <v>43</v>
      </c>
      <c r="M2161" t="s">
        <v>19</v>
      </c>
      <c r="N2161">
        <v>44</v>
      </c>
      <c r="O2161">
        <v>26</v>
      </c>
      <c r="P2161">
        <v>33316.18</v>
      </c>
      <c r="Q2161">
        <v>29618.199999999993</v>
      </c>
    </row>
    <row r="2162" spans="7:17" x14ac:dyDescent="0.25">
      <c r="G2162" t="str">
        <f t="shared" si="33"/>
        <v/>
      </c>
      <c r="H2162" t="s">
        <v>47</v>
      </c>
      <c r="I2162" t="s">
        <v>10</v>
      </c>
      <c r="J2162" t="s">
        <v>5</v>
      </c>
      <c r="K2162" t="s">
        <v>36</v>
      </c>
      <c r="L2162" t="s">
        <v>43</v>
      </c>
      <c r="M2162" t="s">
        <v>20</v>
      </c>
      <c r="N2162">
        <v>121</v>
      </c>
      <c r="O2162">
        <v>41</v>
      </c>
      <c r="P2162">
        <v>75161.919999999998</v>
      </c>
      <c r="Q2162">
        <v>0</v>
      </c>
    </row>
    <row r="2163" spans="7:17" x14ac:dyDescent="0.25">
      <c r="G2163" t="str">
        <f t="shared" si="33"/>
        <v/>
      </c>
      <c r="H2163" t="s">
        <v>47</v>
      </c>
      <c r="I2163" t="s">
        <v>10</v>
      </c>
      <c r="J2163" t="s">
        <v>5</v>
      </c>
      <c r="K2163" t="s">
        <v>36</v>
      </c>
      <c r="L2163" t="s">
        <v>44</v>
      </c>
      <c r="M2163" t="s">
        <v>19</v>
      </c>
      <c r="N2163">
        <v>28</v>
      </c>
      <c r="O2163">
        <v>14</v>
      </c>
      <c r="P2163">
        <v>32772.82</v>
      </c>
      <c r="Q2163">
        <v>24918.559999999994</v>
      </c>
    </row>
    <row r="2164" spans="7:17" x14ac:dyDescent="0.25">
      <c r="G2164" t="str">
        <f t="shared" si="33"/>
        <v/>
      </c>
      <c r="H2164" t="s">
        <v>47</v>
      </c>
      <c r="I2164" t="s">
        <v>10</v>
      </c>
      <c r="J2164" t="s">
        <v>5</v>
      </c>
      <c r="K2164" t="s">
        <v>36</v>
      </c>
      <c r="L2164" t="s">
        <v>44</v>
      </c>
      <c r="M2164" t="s">
        <v>20</v>
      </c>
      <c r="N2164">
        <v>34</v>
      </c>
      <c r="O2164">
        <v>21</v>
      </c>
      <c r="P2164">
        <v>27835.130000000005</v>
      </c>
      <c r="Q2164">
        <v>0</v>
      </c>
    </row>
    <row r="2165" spans="7:17" x14ac:dyDescent="0.25">
      <c r="G2165" t="str">
        <f t="shared" si="33"/>
        <v/>
      </c>
      <c r="H2165" t="s">
        <v>47</v>
      </c>
      <c r="I2165" t="s">
        <v>10</v>
      </c>
      <c r="J2165" t="s">
        <v>5</v>
      </c>
      <c r="K2165" t="s">
        <v>36</v>
      </c>
      <c r="L2165" t="s">
        <v>39</v>
      </c>
      <c r="M2165" t="s">
        <v>19</v>
      </c>
      <c r="N2165">
        <v>7</v>
      </c>
      <c r="O2165">
        <v>7</v>
      </c>
      <c r="P2165">
        <v>4209.37</v>
      </c>
      <c r="Q2165">
        <v>4209.3700000000008</v>
      </c>
    </row>
    <row r="2166" spans="7:17" x14ac:dyDescent="0.25">
      <c r="G2166" t="str">
        <f t="shared" si="33"/>
        <v/>
      </c>
      <c r="H2166" t="s">
        <v>47</v>
      </c>
      <c r="I2166" t="s">
        <v>10</v>
      </c>
      <c r="J2166" t="s">
        <v>5</v>
      </c>
      <c r="K2166" t="s">
        <v>36</v>
      </c>
      <c r="L2166" t="s">
        <v>39</v>
      </c>
      <c r="M2166" t="s">
        <v>20</v>
      </c>
      <c r="N2166">
        <v>17</v>
      </c>
      <c r="O2166">
        <v>13</v>
      </c>
      <c r="P2166">
        <v>13555.099999999999</v>
      </c>
      <c r="Q2166">
        <v>0</v>
      </c>
    </row>
    <row r="2167" spans="7:17" x14ac:dyDescent="0.25">
      <c r="G2167" t="str">
        <f t="shared" si="33"/>
        <v/>
      </c>
      <c r="H2167" t="s">
        <v>47</v>
      </c>
      <c r="I2167" t="s">
        <v>10</v>
      </c>
      <c r="J2167" t="s">
        <v>5</v>
      </c>
      <c r="K2167" t="s">
        <v>36</v>
      </c>
      <c r="L2167" t="s">
        <v>40</v>
      </c>
      <c r="M2167" t="s">
        <v>19</v>
      </c>
      <c r="N2167">
        <v>1</v>
      </c>
      <c r="O2167">
        <v>0</v>
      </c>
      <c r="P2167">
        <v>544.29</v>
      </c>
      <c r="Q2167">
        <v>450</v>
      </c>
    </row>
    <row r="2168" spans="7:17" x14ac:dyDescent="0.25">
      <c r="G2168" t="str">
        <f t="shared" si="33"/>
        <v/>
      </c>
      <c r="H2168" t="s">
        <v>47</v>
      </c>
      <c r="I2168" t="s">
        <v>10</v>
      </c>
      <c r="J2168" t="s">
        <v>5</v>
      </c>
      <c r="K2168" t="s">
        <v>36</v>
      </c>
      <c r="L2168" t="s">
        <v>40</v>
      </c>
      <c r="M2168" t="s">
        <v>20</v>
      </c>
      <c r="N2168">
        <v>15</v>
      </c>
      <c r="O2168">
        <v>5</v>
      </c>
      <c r="P2168">
        <v>13194.710000000003</v>
      </c>
      <c r="Q2168">
        <v>0</v>
      </c>
    </row>
    <row r="2169" spans="7:17" x14ac:dyDescent="0.25">
      <c r="G2169" t="str">
        <f t="shared" si="33"/>
        <v/>
      </c>
      <c r="H2169" t="s">
        <v>47</v>
      </c>
      <c r="I2169" t="s">
        <v>10</v>
      </c>
      <c r="J2169" t="s">
        <v>5</v>
      </c>
      <c r="K2169" t="s">
        <v>36</v>
      </c>
      <c r="L2169" t="s">
        <v>41</v>
      </c>
      <c r="M2169" t="s">
        <v>20</v>
      </c>
      <c r="N2169">
        <v>7</v>
      </c>
      <c r="O2169">
        <v>3</v>
      </c>
      <c r="P2169">
        <v>4373.119999999999</v>
      </c>
      <c r="Q2169">
        <v>0</v>
      </c>
    </row>
    <row r="2170" spans="7:17" x14ac:dyDescent="0.25">
      <c r="G2170" t="str">
        <f t="shared" si="33"/>
        <v/>
      </c>
      <c r="H2170" t="s">
        <v>47</v>
      </c>
      <c r="I2170" t="s">
        <v>10</v>
      </c>
      <c r="J2170" t="s">
        <v>5</v>
      </c>
      <c r="K2170" t="s">
        <v>36</v>
      </c>
      <c r="L2170" t="s">
        <v>45</v>
      </c>
      <c r="M2170" t="s">
        <v>19</v>
      </c>
      <c r="N2170">
        <v>3</v>
      </c>
      <c r="O2170">
        <v>2</v>
      </c>
      <c r="P2170">
        <v>1939.46</v>
      </c>
      <c r="Q2170">
        <v>1600.56</v>
      </c>
    </row>
    <row r="2171" spans="7:17" x14ac:dyDescent="0.25">
      <c r="G2171" t="str">
        <f t="shared" si="33"/>
        <v/>
      </c>
      <c r="H2171" t="s">
        <v>47</v>
      </c>
      <c r="I2171" t="s">
        <v>10</v>
      </c>
      <c r="J2171" t="s">
        <v>5</v>
      </c>
      <c r="K2171" t="s">
        <v>36</v>
      </c>
      <c r="L2171" t="s">
        <v>45</v>
      </c>
      <c r="M2171" t="s">
        <v>20</v>
      </c>
      <c r="N2171">
        <v>119</v>
      </c>
      <c r="O2171">
        <v>48</v>
      </c>
      <c r="P2171">
        <v>80370.299999999988</v>
      </c>
      <c r="Q2171">
        <v>0</v>
      </c>
    </row>
    <row r="2172" spans="7:17" x14ac:dyDescent="0.25">
      <c r="G2172" t="str">
        <f t="shared" si="33"/>
        <v/>
      </c>
      <c r="H2172" t="s">
        <v>47</v>
      </c>
      <c r="I2172" t="s">
        <v>10</v>
      </c>
      <c r="J2172" t="s">
        <v>5</v>
      </c>
      <c r="K2172" t="s">
        <v>37</v>
      </c>
      <c r="L2172" t="s">
        <v>42</v>
      </c>
      <c r="M2172" t="s">
        <v>19</v>
      </c>
      <c r="N2172">
        <v>284</v>
      </c>
      <c r="O2172">
        <v>120</v>
      </c>
      <c r="P2172">
        <v>146894.19000000006</v>
      </c>
      <c r="Q2172">
        <v>145601.30000000008</v>
      </c>
    </row>
    <row r="2173" spans="7:17" x14ac:dyDescent="0.25">
      <c r="G2173" t="str">
        <f t="shared" si="33"/>
        <v/>
      </c>
      <c r="H2173" t="s">
        <v>47</v>
      </c>
      <c r="I2173" t="s">
        <v>10</v>
      </c>
      <c r="J2173" t="s">
        <v>5</v>
      </c>
      <c r="K2173" t="s">
        <v>37</v>
      </c>
      <c r="L2173" t="s">
        <v>42</v>
      </c>
      <c r="M2173" t="s">
        <v>20</v>
      </c>
      <c r="N2173">
        <v>165</v>
      </c>
      <c r="O2173">
        <v>58</v>
      </c>
      <c r="P2173">
        <v>40974.679999999986</v>
      </c>
      <c r="Q2173">
        <v>0</v>
      </c>
    </row>
    <row r="2174" spans="7:17" x14ac:dyDescent="0.25">
      <c r="G2174" t="str">
        <f t="shared" si="33"/>
        <v/>
      </c>
      <c r="H2174" t="s">
        <v>47</v>
      </c>
      <c r="I2174" t="s">
        <v>10</v>
      </c>
      <c r="J2174" t="s">
        <v>5</v>
      </c>
      <c r="K2174" t="s">
        <v>37</v>
      </c>
      <c r="L2174" t="s">
        <v>43</v>
      </c>
      <c r="M2174" t="s">
        <v>19</v>
      </c>
      <c r="N2174">
        <v>49</v>
      </c>
      <c r="O2174">
        <v>28</v>
      </c>
      <c r="P2174">
        <v>44120.900000000009</v>
      </c>
      <c r="Q2174">
        <v>38728.86</v>
      </c>
    </row>
    <row r="2175" spans="7:17" x14ac:dyDescent="0.25">
      <c r="G2175" t="str">
        <f t="shared" si="33"/>
        <v/>
      </c>
      <c r="H2175" t="s">
        <v>47</v>
      </c>
      <c r="I2175" t="s">
        <v>10</v>
      </c>
      <c r="J2175" t="s">
        <v>5</v>
      </c>
      <c r="K2175" t="s">
        <v>37</v>
      </c>
      <c r="L2175" t="s">
        <v>43</v>
      </c>
      <c r="M2175" t="s">
        <v>20</v>
      </c>
      <c r="N2175">
        <v>26</v>
      </c>
      <c r="O2175">
        <v>20</v>
      </c>
      <c r="P2175">
        <v>15644.419999999998</v>
      </c>
      <c r="Q2175">
        <v>0</v>
      </c>
    </row>
    <row r="2176" spans="7:17" x14ac:dyDescent="0.25">
      <c r="G2176" t="str">
        <f t="shared" si="33"/>
        <v/>
      </c>
      <c r="H2176" t="s">
        <v>47</v>
      </c>
      <c r="I2176" t="s">
        <v>10</v>
      </c>
      <c r="J2176" t="s">
        <v>5</v>
      </c>
      <c r="K2176" t="s">
        <v>37</v>
      </c>
      <c r="L2176" t="s">
        <v>44</v>
      </c>
      <c r="M2176" t="s">
        <v>19</v>
      </c>
      <c r="N2176">
        <v>10</v>
      </c>
      <c r="O2176">
        <v>8</v>
      </c>
      <c r="P2176">
        <v>9694.64</v>
      </c>
      <c r="Q2176">
        <v>6741.63</v>
      </c>
    </row>
    <row r="2177" spans="7:17" x14ac:dyDescent="0.25">
      <c r="G2177" t="str">
        <f t="shared" si="33"/>
        <v/>
      </c>
      <c r="H2177" t="s">
        <v>47</v>
      </c>
      <c r="I2177" t="s">
        <v>10</v>
      </c>
      <c r="J2177" t="s">
        <v>5</v>
      </c>
      <c r="K2177" t="s">
        <v>37</v>
      </c>
      <c r="L2177" t="s">
        <v>44</v>
      </c>
      <c r="M2177" t="s">
        <v>20</v>
      </c>
      <c r="N2177">
        <v>14</v>
      </c>
      <c r="O2177">
        <v>10</v>
      </c>
      <c r="P2177">
        <v>10243.130000000001</v>
      </c>
      <c r="Q2177">
        <v>0</v>
      </c>
    </row>
    <row r="2178" spans="7:17" x14ac:dyDescent="0.25">
      <c r="G2178" t="str">
        <f t="shared" ref="G2178:G2241" si="34">IF(G$1="Overall","Overall",IF(G$1=L2178,L2178,""))</f>
        <v/>
      </c>
      <c r="H2178" t="s">
        <v>47</v>
      </c>
      <c r="I2178" t="s">
        <v>10</v>
      </c>
      <c r="J2178" t="s">
        <v>5</v>
      </c>
      <c r="K2178" t="s">
        <v>37</v>
      </c>
      <c r="L2178" t="s">
        <v>39</v>
      </c>
      <c r="M2178" t="s">
        <v>19</v>
      </c>
      <c r="N2178">
        <v>8</v>
      </c>
      <c r="O2178">
        <v>2</v>
      </c>
      <c r="P2178">
        <v>1765.8400000000001</v>
      </c>
      <c r="Q2178">
        <v>1765.8400000000001</v>
      </c>
    </row>
    <row r="2179" spans="7:17" x14ac:dyDescent="0.25">
      <c r="G2179" t="str">
        <f t="shared" si="34"/>
        <v/>
      </c>
      <c r="H2179" t="s">
        <v>47</v>
      </c>
      <c r="I2179" t="s">
        <v>10</v>
      </c>
      <c r="J2179" t="s">
        <v>5</v>
      </c>
      <c r="K2179" t="s">
        <v>37</v>
      </c>
      <c r="L2179" t="s">
        <v>39</v>
      </c>
      <c r="M2179" t="s">
        <v>20</v>
      </c>
      <c r="N2179">
        <v>3</v>
      </c>
      <c r="O2179">
        <v>1</v>
      </c>
      <c r="P2179">
        <v>847.92000000000007</v>
      </c>
      <c r="Q2179">
        <v>0</v>
      </c>
    </row>
    <row r="2180" spans="7:17" x14ac:dyDescent="0.25">
      <c r="G2180" t="str">
        <f t="shared" si="34"/>
        <v/>
      </c>
      <c r="H2180" t="s">
        <v>47</v>
      </c>
      <c r="I2180" t="s">
        <v>10</v>
      </c>
      <c r="J2180" t="s">
        <v>5</v>
      </c>
      <c r="K2180" t="s">
        <v>37</v>
      </c>
      <c r="L2180" t="s">
        <v>40</v>
      </c>
      <c r="M2180" t="s">
        <v>19</v>
      </c>
      <c r="N2180">
        <v>1</v>
      </c>
      <c r="O2180">
        <v>0</v>
      </c>
      <c r="P2180">
        <v>326.66000000000003</v>
      </c>
      <c r="Q2180">
        <v>326.66000000000003</v>
      </c>
    </row>
    <row r="2181" spans="7:17" x14ac:dyDescent="0.25">
      <c r="G2181" t="str">
        <f t="shared" si="34"/>
        <v/>
      </c>
      <c r="H2181" t="s">
        <v>47</v>
      </c>
      <c r="I2181" t="s">
        <v>10</v>
      </c>
      <c r="J2181" t="s">
        <v>5</v>
      </c>
      <c r="K2181" t="s">
        <v>37</v>
      </c>
      <c r="L2181" t="s">
        <v>40</v>
      </c>
      <c r="M2181" t="s">
        <v>20</v>
      </c>
      <c r="N2181">
        <v>9</v>
      </c>
      <c r="O2181">
        <v>3</v>
      </c>
      <c r="P2181">
        <v>8577.49</v>
      </c>
      <c r="Q2181">
        <v>0</v>
      </c>
    </row>
    <row r="2182" spans="7:17" x14ac:dyDescent="0.25">
      <c r="G2182" t="str">
        <f t="shared" si="34"/>
        <v/>
      </c>
      <c r="H2182" t="s">
        <v>47</v>
      </c>
      <c r="I2182" t="s">
        <v>10</v>
      </c>
      <c r="J2182" t="s">
        <v>5</v>
      </c>
      <c r="K2182" t="s">
        <v>37</v>
      </c>
      <c r="L2182" t="s">
        <v>41</v>
      </c>
      <c r="M2182" t="s">
        <v>19</v>
      </c>
      <c r="N2182">
        <v>1</v>
      </c>
      <c r="O2182">
        <v>0</v>
      </c>
      <c r="P2182">
        <v>815.81</v>
      </c>
      <c r="Q2182">
        <v>50</v>
      </c>
    </row>
    <row r="2183" spans="7:17" x14ac:dyDescent="0.25">
      <c r="G2183" t="str">
        <f t="shared" si="34"/>
        <v/>
      </c>
      <c r="H2183" t="s">
        <v>47</v>
      </c>
      <c r="I2183" t="s">
        <v>10</v>
      </c>
      <c r="J2183" t="s">
        <v>5</v>
      </c>
      <c r="K2183" t="s">
        <v>37</v>
      </c>
      <c r="L2183" t="s">
        <v>41</v>
      </c>
      <c r="M2183" t="s">
        <v>20</v>
      </c>
      <c r="N2183">
        <v>2</v>
      </c>
      <c r="O2183">
        <v>2</v>
      </c>
      <c r="P2183">
        <v>1282.02</v>
      </c>
      <c r="Q2183">
        <v>0</v>
      </c>
    </row>
    <row r="2184" spans="7:17" x14ac:dyDescent="0.25">
      <c r="G2184" t="str">
        <f t="shared" si="34"/>
        <v/>
      </c>
      <c r="H2184" t="s">
        <v>47</v>
      </c>
      <c r="I2184" t="s">
        <v>10</v>
      </c>
      <c r="J2184" t="s">
        <v>5</v>
      </c>
      <c r="K2184" t="s">
        <v>37</v>
      </c>
      <c r="L2184" t="s">
        <v>45</v>
      </c>
      <c r="M2184" t="s">
        <v>19</v>
      </c>
      <c r="N2184">
        <v>1</v>
      </c>
      <c r="O2184">
        <v>0</v>
      </c>
      <c r="P2184">
        <v>984.27</v>
      </c>
      <c r="Q2184">
        <v>984.27</v>
      </c>
    </row>
    <row r="2185" spans="7:17" x14ac:dyDescent="0.25">
      <c r="G2185" t="str">
        <f t="shared" si="34"/>
        <v/>
      </c>
      <c r="H2185" t="s">
        <v>47</v>
      </c>
      <c r="I2185" t="s">
        <v>10</v>
      </c>
      <c r="J2185" t="s">
        <v>5</v>
      </c>
      <c r="K2185" t="s">
        <v>37</v>
      </c>
      <c r="L2185" t="s">
        <v>45</v>
      </c>
      <c r="M2185" t="s">
        <v>20</v>
      </c>
      <c r="N2185">
        <v>119</v>
      </c>
      <c r="O2185">
        <v>62</v>
      </c>
      <c r="P2185">
        <v>105534.13000000008</v>
      </c>
      <c r="Q2185">
        <v>0</v>
      </c>
    </row>
    <row r="2186" spans="7:17" x14ac:dyDescent="0.25">
      <c r="G2186" t="str">
        <f t="shared" si="34"/>
        <v/>
      </c>
      <c r="H2186" t="s">
        <v>47</v>
      </c>
      <c r="I2186" t="s">
        <v>10</v>
      </c>
      <c r="J2186" t="s">
        <v>5</v>
      </c>
      <c r="K2186" t="s">
        <v>38</v>
      </c>
      <c r="L2186" t="s">
        <v>42</v>
      </c>
      <c r="M2186" t="s">
        <v>19</v>
      </c>
      <c r="N2186">
        <v>238</v>
      </c>
      <c r="O2186">
        <v>64</v>
      </c>
      <c r="P2186">
        <v>118767.81999999996</v>
      </c>
      <c r="Q2186">
        <v>114591.31999999996</v>
      </c>
    </row>
    <row r="2187" spans="7:17" x14ac:dyDescent="0.25">
      <c r="G2187" t="str">
        <f t="shared" si="34"/>
        <v/>
      </c>
      <c r="H2187" t="s">
        <v>47</v>
      </c>
      <c r="I2187" t="s">
        <v>10</v>
      </c>
      <c r="J2187" t="s">
        <v>5</v>
      </c>
      <c r="K2187" t="s">
        <v>38</v>
      </c>
      <c r="L2187" t="s">
        <v>42</v>
      </c>
      <c r="M2187" t="s">
        <v>20</v>
      </c>
      <c r="N2187">
        <v>156</v>
      </c>
      <c r="O2187">
        <v>38</v>
      </c>
      <c r="P2187">
        <v>37888.219999999994</v>
      </c>
      <c r="Q2187">
        <v>0</v>
      </c>
    </row>
    <row r="2188" spans="7:17" x14ac:dyDescent="0.25">
      <c r="G2188" t="str">
        <f t="shared" si="34"/>
        <v/>
      </c>
      <c r="H2188" t="s">
        <v>47</v>
      </c>
      <c r="I2188" t="s">
        <v>10</v>
      </c>
      <c r="J2188" t="s">
        <v>5</v>
      </c>
      <c r="K2188" t="s">
        <v>38</v>
      </c>
      <c r="L2188" t="s">
        <v>43</v>
      </c>
      <c r="M2188" t="s">
        <v>19</v>
      </c>
      <c r="N2188">
        <v>26</v>
      </c>
      <c r="O2188">
        <v>9</v>
      </c>
      <c r="P2188">
        <v>34324.980000000003</v>
      </c>
      <c r="Q2188">
        <v>28166.600000000006</v>
      </c>
    </row>
    <row r="2189" spans="7:17" x14ac:dyDescent="0.25">
      <c r="G2189" t="str">
        <f t="shared" si="34"/>
        <v/>
      </c>
      <c r="H2189" t="s">
        <v>47</v>
      </c>
      <c r="I2189" t="s">
        <v>10</v>
      </c>
      <c r="J2189" t="s">
        <v>5</v>
      </c>
      <c r="K2189" t="s">
        <v>38</v>
      </c>
      <c r="L2189" t="s">
        <v>43</v>
      </c>
      <c r="M2189" t="s">
        <v>20</v>
      </c>
      <c r="N2189">
        <v>73</v>
      </c>
      <c r="O2189">
        <v>19</v>
      </c>
      <c r="P2189">
        <v>62436.870000000032</v>
      </c>
      <c r="Q2189">
        <v>0</v>
      </c>
    </row>
    <row r="2190" spans="7:17" x14ac:dyDescent="0.25">
      <c r="G2190" t="str">
        <f t="shared" si="34"/>
        <v/>
      </c>
      <c r="H2190" t="s">
        <v>47</v>
      </c>
      <c r="I2190" t="s">
        <v>10</v>
      </c>
      <c r="J2190" t="s">
        <v>5</v>
      </c>
      <c r="K2190" t="s">
        <v>38</v>
      </c>
      <c r="L2190" t="s">
        <v>44</v>
      </c>
      <c r="M2190" t="s">
        <v>19</v>
      </c>
      <c r="N2190">
        <v>13</v>
      </c>
      <c r="O2190">
        <v>9</v>
      </c>
      <c r="P2190">
        <v>19994.18</v>
      </c>
      <c r="Q2190">
        <v>9221.52</v>
      </c>
    </row>
    <row r="2191" spans="7:17" x14ac:dyDescent="0.25">
      <c r="G2191" t="str">
        <f t="shared" si="34"/>
        <v/>
      </c>
      <c r="H2191" t="s">
        <v>47</v>
      </c>
      <c r="I2191" t="s">
        <v>10</v>
      </c>
      <c r="J2191" t="s">
        <v>5</v>
      </c>
      <c r="K2191" t="s">
        <v>38</v>
      </c>
      <c r="L2191" t="s">
        <v>44</v>
      </c>
      <c r="M2191" t="s">
        <v>20</v>
      </c>
      <c r="N2191">
        <v>42</v>
      </c>
      <c r="O2191">
        <v>16</v>
      </c>
      <c r="P2191">
        <v>24628.42</v>
      </c>
      <c r="Q2191">
        <v>0</v>
      </c>
    </row>
    <row r="2192" spans="7:17" x14ac:dyDescent="0.25">
      <c r="G2192" t="str">
        <f t="shared" si="34"/>
        <v/>
      </c>
      <c r="H2192" t="s">
        <v>47</v>
      </c>
      <c r="I2192" t="s">
        <v>10</v>
      </c>
      <c r="J2192" t="s">
        <v>5</v>
      </c>
      <c r="K2192" t="s">
        <v>38</v>
      </c>
      <c r="L2192" t="s">
        <v>39</v>
      </c>
      <c r="M2192" t="s">
        <v>20</v>
      </c>
      <c r="N2192">
        <v>7</v>
      </c>
      <c r="O2192">
        <v>7</v>
      </c>
      <c r="P2192">
        <v>6348.8899999999994</v>
      </c>
      <c r="Q2192">
        <v>0</v>
      </c>
    </row>
    <row r="2193" spans="7:17" x14ac:dyDescent="0.25">
      <c r="G2193" t="str">
        <f t="shared" si="34"/>
        <v/>
      </c>
      <c r="H2193" t="s">
        <v>47</v>
      </c>
      <c r="I2193" t="s">
        <v>10</v>
      </c>
      <c r="J2193" t="s">
        <v>5</v>
      </c>
      <c r="K2193" t="s">
        <v>38</v>
      </c>
      <c r="L2193" t="s">
        <v>40</v>
      </c>
      <c r="M2193" t="s">
        <v>19</v>
      </c>
      <c r="N2193">
        <v>1</v>
      </c>
      <c r="O2193">
        <v>0</v>
      </c>
      <c r="P2193">
        <v>882.17</v>
      </c>
      <c r="Q2193">
        <v>559.99999999999989</v>
      </c>
    </row>
    <row r="2194" spans="7:17" x14ac:dyDescent="0.25">
      <c r="G2194" t="str">
        <f t="shared" si="34"/>
        <v/>
      </c>
      <c r="H2194" t="s">
        <v>47</v>
      </c>
      <c r="I2194" t="s">
        <v>10</v>
      </c>
      <c r="J2194" t="s">
        <v>5</v>
      </c>
      <c r="K2194" t="s">
        <v>38</v>
      </c>
      <c r="L2194" t="s">
        <v>40</v>
      </c>
      <c r="M2194" t="s">
        <v>20</v>
      </c>
      <c r="N2194">
        <v>13</v>
      </c>
      <c r="O2194">
        <v>5</v>
      </c>
      <c r="P2194">
        <v>9140.08</v>
      </c>
      <c r="Q2194">
        <v>0</v>
      </c>
    </row>
    <row r="2195" spans="7:17" x14ac:dyDescent="0.25">
      <c r="G2195" t="str">
        <f t="shared" si="34"/>
        <v/>
      </c>
      <c r="H2195" t="s">
        <v>47</v>
      </c>
      <c r="I2195" t="s">
        <v>10</v>
      </c>
      <c r="J2195" t="s">
        <v>5</v>
      </c>
      <c r="K2195" t="s">
        <v>38</v>
      </c>
      <c r="L2195" t="s">
        <v>41</v>
      </c>
      <c r="M2195" t="s">
        <v>20</v>
      </c>
      <c r="N2195">
        <v>15</v>
      </c>
      <c r="O2195">
        <v>4</v>
      </c>
      <c r="P2195">
        <v>14132.15</v>
      </c>
      <c r="Q2195">
        <v>0</v>
      </c>
    </row>
    <row r="2196" spans="7:17" x14ac:dyDescent="0.25">
      <c r="G2196" t="str">
        <f t="shared" si="34"/>
        <v/>
      </c>
      <c r="H2196" t="s">
        <v>47</v>
      </c>
      <c r="I2196" t="s">
        <v>10</v>
      </c>
      <c r="J2196" t="s">
        <v>5</v>
      </c>
      <c r="K2196" t="s">
        <v>38</v>
      </c>
      <c r="L2196" t="s">
        <v>45</v>
      </c>
      <c r="M2196" t="s">
        <v>19</v>
      </c>
      <c r="N2196">
        <v>2</v>
      </c>
      <c r="O2196">
        <v>0</v>
      </c>
      <c r="P2196">
        <v>1465.09</v>
      </c>
      <c r="Q2196">
        <v>1271.6699999999998</v>
      </c>
    </row>
    <row r="2197" spans="7:17" x14ac:dyDescent="0.25">
      <c r="G2197" t="str">
        <f t="shared" si="34"/>
        <v/>
      </c>
      <c r="H2197" t="s">
        <v>47</v>
      </c>
      <c r="I2197" t="s">
        <v>10</v>
      </c>
      <c r="J2197" t="s">
        <v>5</v>
      </c>
      <c r="K2197" t="s">
        <v>38</v>
      </c>
      <c r="L2197" t="s">
        <v>45</v>
      </c>
      <c r="M2197" t="s">
        <v>20</v>
      </c>
      <c r="N2197">
        <v>150</v>
      </c>
      <c r="O2197">
        <v>52</v>
      </c>
      <c r="P2197">
        <v>128854.67999999996</v>
      </c>
      <c r="Q2197">
        <v>0</v>
      </c>
    </row>
    <row r="2198" spans="7:17" x14ac:dyDescent="0.25">
      <c r="G2198" t="str">
        <f t="shared" si="34"/>
        <v/>
      </c>
      <c r="H2198" t="s">
        <v>47</v>
      </c>
      <c r="I2198" t="s">
        <v>10</v>
      </c>
      <c r="J2198" t="s">
        <v>7</v>
      </c>
      <c r="K2198" t="s">
        <v>23</v>
      </c>
      <c r="L2198" t="s">
        <v>42</v>
      </c>
      <c r="M2198" t="s">
        <v>19</v>
      </c>
      <c r="N2198">
        <v>85</v>
      </c>
      <c r="O2198">
        <v>36</v>
      </c>
      <c r="P2198">
        <v>50357.539999999986</v>
      </c>
      <c r="Q2198">
        <v>47476.14</v>
      </c>
    </row>
    <row r="2199" spans="7:17" x14ac:dyDescent="0.25">
      <c r="G2199" t="str">
        <f t="shared" si="34"/>
        <v/>
      </c>
      <c r="H2199" t="s">
        <v>47</v>
      </c>
      <c r="I2199" t="s">
        <v>10</v>
      </c>
      <c r="J2199" t="s">
        <v>7</v>
      </c>
      <c r="K2199" t="s">
        <v>23</v>
      </c>
      <c r="L2199" t="s">
        <v>42</v>
      </c>
      <c r="M2199" t="s">
        <v>20</v>
      </c>
      <c r="N2199">
        <v>100</v>
      </c>
      <c r="O2199">
        <v>37</v>
      </c>
      <c r="P2199">
        <v>33984.25</v>
      </c>
      <c r="Q2199">
        <v>0</v>
      </c>
    </row>
    <row r="2200" spans="7:17" x14ac:dyDescent="0.25">
      <c r="G2200" t="str">
        <f t="shared" si="34"/>
        <v/>
      </c>
      <c r="H2200" t="s">
        <v>47</v>
      </c>
      <c r="I2200" t="s">
        <v>10</v>
      </c>
      <c r="J2200" t="s">
        <v>7</v>
      </c>
      <c r="K2200" t="s">
        <v>23</v>
      </c>
      <c r="L2200" t="s">
        <v>43</v>
      </c>
      <c r="M2200" t="s">
        <v>19</v>
      </c>
      <c r="N2200">
        <v>32</v>
      </c>
      <c r="O2200">
        <v>9</v>
      </c>
      <c r="P2200">
        <v>22450.359999999997</v>
      </c>
      <c r="Q2200">
        <v>14255.509999999998</v>
      </c>
    </row>
    <row r="2201" spans="7:17" x14ac:dyDescent="0.25">
      <c r="G2201" t="str">
        <f t="shared" si="34"/>
        <v/>
      </c>
      <c r="H2201" t="s">
        <v>47</v>
      </c>
      <c r="I2201" t="s">
        <v>10</v>
      </c>
      <c r="J2201" t="s">
        <v>7</v>
      </c>
      <c r="K2201" t="s">
        <v>23</v>
      </c>
      <c r="L2201" t="s">
        <v>43</v>
      </c>
      <c r="M2201" t="s">
        <v>20</v>
      </c>
      <c r="N2201">
        <v>37</v>
      </c>
      <c r="O2201">
        <v>16</v>
      </c>
      <c r="P2201">
        <v>30856.529999999988</v>
      </c>
      <c r="Q2201">
        <v>0</v>
      </c>
    </row>
    <row r="2202" spans="7:17" x14ac:dyDescent="0.25">
      <c r="G2202" t="str">
        <f t="shared" si="34"/>
        <v/>
      </c>
      <c r="H2202" t="s">
        <v>47</v>
      </c>
      <c r="I2202" t="s">
        <v>10</v>
      </c>
      <c r="J2202" t="s">
        <v>7</v>
      </c>
      <c r="K2202" t="s">
        <v>23</v>
      </c>
      <c r="L2202" t="s">
        <v>44</v>
      </c>
      <c r="M2202" t="s">
        <v>19</v>
      </c>
      <c r="N2202">
        <v>28</v>
      </c>
      <c r="O2202">
        <v>18</v>
      </c>
      <c r="P2202">
        <v>38073.400000000009</v>
      </c>
      <c r="Q2202">
        <v>20001.159999999996</v>
      </c>
    </row>
    <row r="2203" spans="7:17" x14ac:dyDescent="0.25">
      <c r="G2203" t="str">
        <f t="shared" si="34"/>
        <v/>
      </c>
      <c r="H2203" t="s">
        <v>47</v>
      </c>
      <c r="I2203" t="s">
        <v>10</v>
      </c>
      <c r="J2203" t="s">
        <v>7</v>
      </c>
      <c r="K2203" t="s">
        <v>23</v>
      </c>
      <c r="L2203" t="s">
        <v>44</v>
      </c>
      <c r="M2203" t="s">
        <v>20</v>
      </c>
      <c r="N2203">
        <v>9</v>
      </c>
      <c r="O2203">
        <v>9</v>
      </c>
      <c r="P2203">
        <v>4929.53</v>
      </c>
      <c r="Q2203">
        <v>0</v>
      </c>
    </row>
    <row r="2204" spans="7:17" x14ac:dyDescent="0.25">
      <c r="G2204" t="str">
        <f t="shared" si="34"/>
        <v/>
      </c>
      <c r="H2204" t="s">
        <v>47</v>
      </c>
      <c r="I2204" t="s">
        <v>10</v>
      </c>
      <c r="J2204" t="s">
        <v>7</v>
      </c>
      <c r="K2204" t="s">
        <v>23</v>
      </c>
      <c r="L2204" t="s">
        <v>39</v>
      </c>
      <c r="M2204" t="s">
        <v>19</v>
      </c>
      <c r="N2204">
        <v>4</v>
      </c>
      <c r="O2204">
        <v>4</v>
      </c>
      <c r="P2204">
        <v>5976.9500000000007</v>
      </c>
      <c r="Q2204">
        <v>531</v>
      </c>
    </row>
    <row r="2205" spans="7:17" x14ac:dyDescent="0.25">
      <c r="G2205" t="str">
        <f t="shared" si="34"/>
        <v/>
      </c>
      <c r="H2205" t="s">
        <v>47</v>
      </c>
      <c r="I2205" t="s">
        <v>10</v>
      </c>
      <c r="J2205" t="s">
        <v>7</v>
      </c>
      <c r="K2205" t="s">
        <v>23</v>
      </c>
      <c r="L2205" t="s">
        <v>39</v>
      </c>
      <c r="M2205" t="s">
        <v>20</v>
      </c>
      <c r="N2205">
        <v>11</v>
      </c>
      <c r="O2205">
        <v>8</v>
      </c>
      <c r="P2205">
        <v>5014.74</v>
      </c>
      <c r="Q2205">
        <v>0</v>
      </c>
    </row>
    <row r="2206" spans="7:17" x14ac:dyDescent="0.25">
      <c r="G2206" t="str">
        <f t="shared" si="34"/>
        <v/>
      </c>
      <c r="H2206" t="s">
        <v>47</v>
      </c>
      <c r="I2206" t="s">
        <v>10</v>
      </c>
      <c r="J2206" t="s">
        <v>7</v>
      </c>
      <c r="K2206" t="s">
        <v>23</v>
      </c>
      <c r="L2206" t="s">
        <v>40</v>
      </c>
      <c r="M2206" t="s">
        <v>20</v>
      </c>
      <c r="N2206">
        <v>17</v>
      </c>
      <c r="O2206">
        <v>2</v>
      </c>
      <c r="P2206">
        <v>14011.41</v>
      </c>
      <c r="Q2206">
        <v>0</v>
      </c>
    </row>
    <row r="2207" spans="7:17" x14ac:dyDescent="0.25">
      <c r="G2207" t="str">
        <f t="shared" si="34"/>
        <v/>
      </c>
      <c r="H2207" t="s">
        <v>47</v>
      </c>
      <c r="I2207" t="s">
        <v>10</v>
      </c>
      <c r="J2207" t="s">
        <v>7</v>
      </c>
      <c r="K2207" t="s">
        <v>23</v>
      </c>
      <c r="L2207" t="s">
        <v>41</v>
      </c>
      <c r="M2207" t="s">
        <v>20</v>
      </c>
      <c r="N2207">
        <v>13</v>
      </c>
      <c r="O2207">
        <v>4</v>
      </c>
      <c r="P2207">
        <v>13310.2</v>
      </c>
      <c r="Q2207">
        <v>0</v>
      </c>
    </row>
    <row r="2208" spans="7:17" x14ac:dyDescent="0.25">
      <c r="G2208" t="str">
        <f t="shared" si="34"/>
        <v/>
      </c>
      <c r="H2208" t="s">
        <v>47</v>
      </c>
      <c r="I2208" t="s">
        <v>10</v>
      </c>
      <c r="J2208" t="s">
        <v>7</v>
      </c>
      <c r="K2208" t="s">
        <v>23</v>
      </c>
      <c r="L2208" t="s">
        <v>45</v>
      </c>
      <c r="M2208" t="s">
        <v>20</v>
      </c>
      <c r="N2208">
        <v>88</v>
      </c>
      <c r="O2208">
        <v>45</v>
      </c>
      <c r="P2208">
        <v>141629.77999999994</v>
      </c>
      <c r="Q2208">
        <v>0</v>
      </c>
    </row>
    <row r="2209" spans="7:17" x14ac:dyDescent="0.25">
      <c r="G2209" t="str">
        <f t="shared" si="34"/>
        <v/>
      </c>
      <c r="H2209" t="s">
        <v>47</v>
      </c>
      <c r="I2209" t="s">
        <v>10</v>
      </c>
      <c r="J2209" t="s">
        <v>7</v>
      </c>
      <c r="K2209" t="s">
        <v>24</v>
      </c>
      <c r="L2209" t="s">
        <v>42</v>
      </c>
      <c r="M2209" t="s">
        <v>19</v>
      </c>
      <c r="N2209">
        <v>22</v>
      </c>
      <c r="O2209">
        <v>6</v>
      </c>
      <c r="P2209">
        <v>10747.21</v>
      </c>
      <c r="Q2209">
        <v>10332.439999999999</v>
      </c>
    </row>
    <row r="2210" spans="7:17" x14ac:dyDescent="0.25">
      <c r="G2210" t="str">
        <f t="shared" si="34"/>
        <v/>
      </c>
      <c r="H2210" t="s">
        <v>47</v>
      </c>
      <c r="I2210" t="s">
        <v>10</v>
      </c>
      <c r="J2210" t="s">
        <v>7</v>
      </c>
      <c r="K2210" t="s">
        <v>24</v>
      </c>
      <c r="L2210" t="s">
        <v>42</v>
      </c>
      <c r="M2210" t="s">
        <v>20</v>
      </c>
      <c r="N2210">
        <v>27</v>
      </c>
      <c r="O2210">
        <v>5</v>
      </c>
      <c r="P2210">
        <v>11617.680000000002</v>
      </c>
      <c r="Q2210">
        <v>0</v>
      </c>
    </row>
    <row r="2211" spans="7:17" x14ac:dyDescent="0.25">
      <c r="G2211" t="str">
        <f t="shared" si="34"/>
        <v/>
      </c>
      <c r="H2211" t="s">
        <v>47</v>
      </c>
      <c r="I2211" t="s">
        <v>10</v>
      </c>
      <c r="J2211" t="s">
        <v>7</v>
      </c>
      <c r="K2211" t="s">
        <v>24</v>
      </c>
      <c r="L2211" t="s">
        <v>43</v>
      </c>
      <c r="M2211" t="s">
        <v>19</v>
      </c>
      <c r="N2211">
        <v>2</v>
      </c>
      <c r="O2211">
        <v>2</v>
      </c>
      <c r="P2211">
        <v>1134.56</v>
      </c>
      <c r="Q2211">
        <v>789.34</v>
      </c>
    </row>
    <row r="2212" spans="7:17" x14ac:dyDescent="0.25">
      <c r="G2212" t="str">
        <f t="shared" si="34"/>
        <v/>
      </c>
      <c r="H2212" t="s">
        <v>47</v>
      </c>
      <c r="I2212" t="s">
        <v>10</v>
      </c>
      <c r="J2212" t="s">
        <v>7</v>
      </c>
      <c r="K2212" t="s">
        <v>24</v>
      </c>
      <c r="L2212" t="s">
        <v>43</v>
      </c>
      <c r="M2212" t="s">
        <v>20</v>
      </c>
      <c r="N2212">
        <v>7</v>
      </c>
      <c r="O2212">
        <v>2</v>
      </c>
      <c r="P2212">
        <v>3197.97</v>
      </c>
      <c r="Q2212">
        <v>0</v>
      </c>
    </row>
    <row r="2213" spans="7:17" x14ac:dyDescent="0.25">
      <c r="G2213" t="str">
        <f t="shared" si="34"/>
        <v/>
      </c>
      <c r="H2213" t="s">
        <v>47</v>
      </c>
      <c r="I2213" t="s">
        <v>10</v>
      </c>
      <c r="J2213" t="s">
        <v>7</v>
      </c>
      <c r="K2213" t="s">
        <v>24</v>
      </c>
      <c r="L2213" t="s">
        <v>44</v>
      </c>
      <c r="M2213" t="s">
        <v>19</v>
      </c>
      <c r="N2213">
        <v>9</v>
      </c>
      <c r="O2213">
        <v>5</v>
      </c>
      <c r="P2213">
        <v>10682.789999999999</v>
      </c>
      <c r="Q2213">
        <v>3192.13</v>
      </c>
    </row>
    <row r="2214" spans="7:17" x14ac:dyDescent="0.25">
      <c r="G2214" t="str">
        <f t="shared" si="34"/>
        <v/>
      </c>
      <c r="H2214" t="s">
        <v>47</v>
      </c>
      <c r="I2214" t="s">
        <v>10</v>
      </c>
      <c r="J2214" t="s">
        <v>7</v>
      </c>
      <c r="K2214" t="s">
        <v>24</v>
      </c>
      <c r="L2214" t="s">
        <v>44</v>
      </c>
      <c r="M2214" t="s">
        <v>20</v>
      </c>
      <c r="N2214">
        <v>1</v>
      </c>
      <c r="O2214">
        <v>1</v>
      </c>
      <c r="P2214">
        <v>219.57</v>
      </c>
      <c r="Q2214">
        <v>0</v>
      </c>
    </row>
    <row r="2215" spans="7:17" x14ac:dyDescent="0.25">
      <c r="G2215" t="str">
        <f t="shared" si="34"/>
        <v/>
      </c>
      <c r="H2215" t="s">
        <v>47</v>
      </c>
      <c r="I2215" t="s">
        <v>10</v>
      </c>
      <c r="J2215" t="s">
        <v>7</v>
      </c>
      <c r="K2215" t="s">
        <v>24</v>
      </c>
      <c r="L2215" t="s">
        <v>39</v>
      </c>
      <c r="M2215" t="s">
        <v>19</v>
      </c>
      <c r="N2215">
        <v>2</v>
      </c>
      <c r="O2215">
        <v>1</v>
      </c>
      <c r="P2215">
        <v>1538.37</v>
      </c>
      <c r="Q2215">
        <v>931.09</v>
      </c>
    </row>
    <row r="2216" spans="7:17" x14ac:dyDescent="0.25">
      <c r="G2216" t="str">
        <f t="shared" si="34"/>
        <v/>
      </c>
      <c r="H2216" t="s">
        <v>47</v>
      </c>
      <c r="I2216" t="s">
        <v>10</v>
      </c>
      <c r="J2216" t="s">
        <v>7</v>
      </c>
      <c r="K2216" t="s">
        <v>24</v>
      </c>
      <c r="L2216" t="s">
        <v>39</v>
      </c>
      <c r="M2216" t="s">
        <v>20</v>
      </c>
      <c r="N2216">
        <v>6</v>
      </c>
      <c r="O2216">
        <v>2</v>
      </c>
      <c r="P2216">
        <v>6261.75</v>
      </c>
      <c r="Q2216">
        <v>0</v>
      </c>
    </row>
    <row r="2217" spans="7:17" x14ac:dyDescent="0.25">
      <c r="G2217" t="str">
        <f t="shared" si="34"/>
        <v/>
      </c>
      <c r="H2217" t="s">
        <v>47</v>
      </c>
      <c r="I2217" t="s">
        <v>10</v>
      </c>
      <c r="J2217" t="s">
        <v>7</v>
      </c>
      <c r="K2217" t="s">
        <v>24</v>
      </c>
      <c r="L2217" t="s">
        <v>40</v>
      </c>
      <c r="M2217" t="s">
        <v>19</v>
      </c>
      <c r="N2217">
        <v>1</v>
      </c>
      <c r="O2217">
        <v>0</v>
      </c>
      <c r="P2217">
        <v>1715.53</v>
      </c>
      <c r="Q2217">
        <v>177</v>
      </c>
    </row>
    <row r="2218" spans="7:17" x14ac:dyDescent="0.25">
      <c r="G2218" t="str">
        <f t="shared" si="34"/>
        <v/>
      </c>
      <c r="H2218" t="s">
        <v>47</v>
      </c>
      <c r="I2218" t="s">
        <v>10</v>
      </c>
      <c r="J2218" t="s">
        <v>7</v>
      </c>
      <c r="K2218" t="s">
        <v>24</v>
      </c>
      <c r="L2218" t="s">
        <v>41</v>
      </c>
      <c r="M2218" t="s">
        <v>20</v>
      </c>
      <c r="N2218">
        <v>4</v>
      </c>
      <c r="O2218">
        <v>1</v>
      </c>
      <c r="P2218">
        <v>3433.62</v>
      </c>
      <c r="Q2218">
        <v>0</v>
      </c>
    </row>
    <row r="2219" spans="7:17" x14ac:dyDescent="0.25">
      <c r="G2219" t="str">
        <f t="shared" si="34"/>
        <v/>
      </c>
      <c r="H2219" t="s">
        <v>47</v>
      </c>
      <c r="I2219" t="s">
        <v>10</v>
      </c>
      <c r="J2219" t="s">
        <v>7</v>
      </c>
      <c r="K2219" t="s">
        <v>24</v>
      </c>
      <c r="L2219" t="s">
        <v>45</v>
      </c>
      <c r="M2219" t="s">
        <v>20</v>
      </c>
      <c r="N2219">
        <v>36</v>
      </c>
      <c r="O2219">
        <v>11</v>
      </c>
      <c r="P2219">
        <v>26158.31</v>
      </c>
      <c r="Q2219">
        <v>0</v>
      </c>
    </row>
    <row r="2220" spans="7:17" x14ac:dyDescent="0.25">
      <c r="G2220" t="str">
        <f t="shared" si="34"/>
        <v/>
      </c>
      <c r="H2220" t="s">
        <v>47</v>
      </c>
      <c r="I2220" t="s">
        <v>10</v>
      </c>
      <c r="J2220" t="s">
        <v>7</v>
      </c>
      <c r="K2220" t="s">
        <v>25</v>
      </c>
      <c r="L2220" t="s">
        <v>42</v>
      </c>
      <c r="M2220" t="s">
        <v>19</v>
      </c>
      <c r="N2220">
        <v>117</v>
      </c>
      <c r="O2220">
        <v>36</v>
      </c>
      <c r="P2220">
        <v>66951.459999999977</v>
      </c>
      <c r="Q2220">
        <v>59746.579999999987</v>
      </c>
    </row>
    <row r="2221" spans="7:17" x14ac:dyDescent="0.25">
      <c r="G2221" t="str">
        <f t="shared" si="34"/>
        <v/>
      </c>
      <c r="H2221" t="s">
        <v>47</v>
      </c>
      <c r="I2221" t="s">
        <v>10</v>
      </c>
      <c r="J2221" t="s">
        <v>7</v>
      </c>
      <c r="K2221" t="s">
        <v>25</v>
      </c>
      <c r="L2221" t="s">
        <v>42</v>
      </c>
      <c r="M2221" t="s">
        <v>20</v>
      </c>
      <c r="N2221">
        <v>145</v>
      </c>
      <c r="O2221">
        <v>45</v>
      </c>
      <c r="P2221">
        <v>49354.750000000015</v>
      </c>
      <c r="Q2221">
        <v>0</v>
      </c>
    </row>
    <row r="2222" spans="7:17" x14ac:dyDescent="0.25">
      <c r="G2222" t="str">
        <f t="shared" si="34"/>
        <v/>
      </c>
      <c r="H2222" t="s">
        <v>47</v>
      </c>
      <c r="I2222" t="s">
        <v>10</v>
      </c>
      <c r="J2222" t="s">
        <v>7</v>
      </c>
      <c r="K2222" t="s">
        <v>25</v>
      </c>
      <c r="L2222" t="s">
        <v>43</v>
      </c>
      <c r="M2222" t="s">
        <v>19</v>
      </c>
      <c r="N2222">
        <v>18</v>
      </c>
      <c r="O2222">
        <v>8</v>
      </c>
      <c r="P2222">
        <v>8502.15</v>
      </c>
      <c r="Q2222">
        <v>6695.47</v>
      </c>
    </row>
    <row r="2223" spans="7:17" x14ac:dyDescent="0.25">
      <c r="G2223" t="str">
        <f t="shared" si="34"/>
        <v/>
      </c>
      <c r="H2223" t="s">
        <v>47</v>
      </c>
      <c r="I2223" t="s">
        <v>10</v>
      </c>
      <c r="J2223" t="s">
        <v>7</v>
      </c>
      <c r="K2223" t="s">
        <v>25</v>
      </c>
      <c r="L2223" t="s">
        <v>43</v>
      </c>
      <c r="M2223" t="s">
        <v>20</v>
      </c>
      <c r="N2223">
        <v>42</v>
      </c>
      <c r="O2223">
        <v>24</v>
      </c>
      <c r="P2223">
        <v>37057.360000000001</v>
      </c>
      <c r="Q2223">
        <v>0</v>
      </c>
    </row>
    <row r="2224" spans="7:17" x14ac:dyDescent="0.25">
      <c r="G2224" t="str">
        <f t="shared" si="34"/>
        <v/>
      </c>
      <c r="H2224" t="s">
        <v>47</v>
      </c>
      <c r="I2224" t="s">
        <v>10</v>
      </c>
      <c r="J2224" t="s">
        <v>7</v>
      </c>
      <c r="K2224" t="s">
        <v>25</v>
      </c>
      <c r="L2224" t="s">
        <v>44</v>
      </c>
      <c r="M2224" t="s">
        <v>19</v>
      </c>
      <c r="N2224">
        <v>26</v>
      </c>
      <c r="O2224">
        <v>12</v>
      </c>
      <c r="P2224">
        <v>19978.819999999996</v>
      </c>
      <c r="Q2224">
        <v>9918.529999999997</v>
      </c>
    </row>
    <row r="2225" spans="7:17" x14ac:dyDescent="0.25">
      <c r="G2225" t="str">
        <f t="shared" si="34"/>
        <v/>
      </c>
      <c r="H2225" t="s">
        <v>47</v>
      </c>
      <c r="I2225" t="s">
        <v>10</v>
      </c>
      <c r="J2225" t="s">
        <v>7</v>
      </c>
      <c r="K2225" t="s">
        <v>25</v>
      </c>
      <c r="L2225" t="s">
        <v>44</v>
      </c>
      <c r="M2225" t="s">
        <v>20</v>
      </c>
      <c r="N2225">
        <v>21</v>
      </c>
      <c r="O2225">
        <v>8</v>
      </c>
      <c r="P2225">
        <v>7417.0899999999974</v>
      </c>
      <c r="Q2225">
        <v>0</v>
      </c>
    </row>
    <row r="2226" spans="7:17" x14ac:dyDescent="0.25">
      <c r="G2226" t="str">
        <f t="shared" si="34"/>
        <v/>
      </c>
      <c r="H2226" t="s">
        <v>47</v>
      </c>
      <c r="I2226" t="s">
        <v>10</v>
      </c>
      <c r="J2226" t="s">
        <v>7</v>
      </c>
      <c r="K2226" t="s">
        <v>25</v>
      </c>
      <c r="L2226" t="s">
        <v>39</v>
      </c>
      <c r="M2226" t="s">
        <v>19</v>
      </c>
      <c r="N2226">
        <v>1</v>
      </c>
      <c r="O2226">
        <v>1</v>
      </c>
      <c r="P2226">
        <v>1457.83</v>
      </c>
      <c r="Q2226">
        <v>1300</v>
      </c>
    </row>
    <row r="2227" spans="7:17" x14ac:dyDescent="0.25">
      <c r="G2227" t="str">
        <f t="shared" si="34"/>
        <v/>
      </c>
      <c r="H2227" t="s">
        <v>47</v>
      </c>
      <c r="I2227" t="s">
        <v>10</v>
      </c>
      <c r="J2227" t="s">
        <v>7</v>
      </c>
      <c r="K2227" t="s">
        <v>25</v>
      </c>
      <c r="L2227" t="s">
        <v>39</v>
      </c>
      <c r="M2227" t="s">
        <v>20</v>
      </c>
      <c r="N2227">
        <v>21</v>
      </c>
      <c r="O2227">
        <v>16</v>
      </c>
      <c r="P2227">
        <v>19386.140000000003</v>
      </c>
      <c r="Q2227">
        <v>0</v>
      </c>
    </row>
    <row r="2228" spans="7:17" x14ac:dyDescent="0.25">
      <c r="G2228" t="str">
        <f t="shared" si="34"/>
        <v/>
      </c>
      <c r="H2228" t="s">
        <v>47</v>
      </c>
      <c r="I2228" t="s">
        <v>10</v>
      </c>
      <c r="J2228" t="s">
        <v>7</v>
      </c>
      <c r="K2228" t="s">
        <v>25</v>
      </c>
      <c r="L2228" t="s">
        <v>40</v>
      </c>
      <c r="M2228" t="s">
        <v>19</v>
      </c>
      <c r="N2228">
        <v>4</v>
      </c>
      <c r="O2228">
        <v>1</v>
      </c>
      <c r="P2228">
        <v>3802.23</v>
      </c>
      <c r="Q2228">
        <v>1657.49</v>
      </c>
    </row>
    <row r="2229" spans="7:17" x14ac:dyDescent="0.25">
      <c r="G2229" t="str">
        <f t="shared" si="34"/>
        <v/>
      </c>
      <c r="H2229" t="s">
        <v>47</v>
      </c>
      <c r="I2229" t="s">
        <v>10</v>
      </c>
      <c r="J2229" t="s">
        <v>7</v>
      </c>
      <c r="K2229" t="s">
        <v>25</v>
      </c>
      <c r="L2229" t="s">
        <v>40</v>
      </c>
      <c r="M2229" t="s">
        <v>20</v>
      </c>
      <c r="N2229">
        <v>14</v>
      </c>
      <c r="O2229">
        <v>5</v>
      </c>
      <c r="P2229">
        <v>16129.529999999999</v>
      </c>
      <c r="Q2229">
        <v>0</v>
      </c>
    </row>
    <row r="2230" spans="7:17" x14ac:dyDescent="0.25">
      <c r="G2230" t="str">
        <f t="shared" si="34"/>
        <v/>
      </c>
      <c r="H2230" t="s">
        <v>47</v>
      </c>
      <c r="I2230" t="s">
        <v>10</v>
      </c>
      <c r="J2230" t="s">
        <v>7</v>
      </c>
      <c r="K2230" t="s">
        <v>25</v>
      </c>
      <c r="L2230" t="s">
        <v>41</v>
      </c>
      <c r="M2230" t="s">
        <v>20</v>
      </c>
      <c r="N2230">
        <v>16</v>
      </c>
      <c r="O2230">
        <v>6</v>
      </c>
      <c r="P2230">
        <v>9721.2999999999993</v>
      </c>
      <c r="Q2230">
        <v>0</v>
      </c>
    </row>
    <row r="2231" spans="7:17" x14ac:dyDescent="0.25">
      <c r="G2231" t="str">
        <f t="shared" si="34"/>
        <v/>
      </c>
      <c r="H2231" t="s">
        <v>47</v>
      </c>
      <c r="I2231" t="s">
        <v>10</v>
      </c>
      <c r="J2231" t="s">
        <v>7</v>
      </c>
      <c r="K2231" t="s">
        <v>25</v>
      </c>
      <c r="L2231" t="s">
        <v>45</v>
      </c>
      <c r="M2231" t="s">
        <v>19</v>
      </c>
      <c r="N2231">
        <v>4</v>
      </c>
      <c r="O2231">
        <v>3</v>
      </c>
      <c r="P2231">
        <v>2186.29</v>
      </c>
      <c r="Q2231">
        <v>2186.14</v>
      </c>
    </row>
    <row r="2232" spans="7:17" x14ac:dyDescent="0.25">
      <c r="G2232" t="str">
        <f t="shared" si="34"/>
        <v/>
      </c>
      <c r="H2232" t="s">
        <v>47</v>
      </c>
      <c r="I2232" t="s">
        <v>10</v>
      </c>
      <c r="J2232" t="s">
        <v>7</v>
      </c>
      <c r="K2232" t="s">
        <v>25</v>
      </c>
      <c r="L2232" t="s">
        <v>45</v>
      </c>
      <c r="M2232" t="s">
        <v>20</v>
      </c>
      <c r="N2232">
        <v>128</v>
      </c>
      <c r="O2232">
        <v>59</v>
      </c>
      <c r="P2232">
        <v>144714.24000000002</v>
      </c>
      <c r="Q2232">
        <v>0</v>
      </c>
    </row>
    <row r="2233" spans="7:17" x14ac:dyDescent="0.25">
      <c r="G2233" t="str">
        <f t="shared" si="34"/>
        <v/>
      </c>
      <c r="H2233" t="s">
        <v>47</v>
      </c>
      <c r="I2233" t="s">
        <v>10</v>
      </c>
      <c r="J2233" t="s">
        <v>7</v>
      </c>
      <c r="K2233" t="s">
        <v>26</v>
      </c>
      <c r="L2233" t="s">
        <v>42</v>
      </c>
      <c r="M2233" t="s">
        <v>19</v>
      </c>
      <c r="N2233">
        <v>390</v>
      </c>
      <c r="O2233">
        <v>121</v>
      </c>
      <c r="P2233">
        <v>149900.49000000017</v>
      </c>
      <c r="Q2233">
        <v>143799.83000000005</v>
      </c>
    </row>
    <row r="2234" spans="7:17" x14ac:dyDescent="0.25">
      <c r="G2234" t="str">
        <f t="shared" si="34"/>
        <v/>
      </c>
      <c r="H2234" t="s">
        <v>47</v>
      </c>
      <c r="I2234" t="s">
        <v>10</v>
      </c>
      <c r="J2234" t="s">
        <v>7</v>
      </c>
      <c r="K2234" t="s">
        <v>26</v>
      </c>
      <c r="L2234" t="s">
        <v>42</v>
      </c>
      <c r="M2234" t="s">
        <v>20</v>
      </c>
      <c r="N2234">
        <v>405</v>
      </c>
      <c r="O2234">
        <v>138</v>
      </c>
      <c r="P2234">
        <v>110146.45000000014</v>
      </c>
      <c r="Q2234">
        <v>0</v>
      </c>
    </row>
    <row r="2235" spans="7:17" x14ac:dyDescent="0.25">
      <c r="G2235" t="str">
        <f t="shared" si="34"/>
        <v/>
      </c>
      <c r="H2235" t="s">
        <v>47</v>
      </c>
      <c r="I2235" t="s">
        <v>10</v>
      </c>
      <c r="J2235" t="s">
        <v>7</v>
      </c>
      <c r="K2235" t="s">
        <v>26</v>
      </c>
      <c r="L2235" t="s">
        <v>43</v>
      </c>
      <c r="M2235" t="s">
        <v>19</v>
      </c>
      <c r="N2235">
        <v>41</v>
      </c>
      <c r="O2235">
        <v>17</v>
      </c>
      <c r="P2235">
        <v>27360.519999999993</v>
      </c>
      <c r="Q2235">
        <v>19736.93</v>
      </c>
    </row>
    <row r="2236" spans="7:17" x14ac:dyDescent="0.25">
      <c r="G2236" t="str">
        <f t="shared" si="34"/>
        <v/>
      </c>
      <c r="H2236" t="s">
        <v>47</v>
      </c>
      <c r="I2236" t="s">
        <v>10</v>
      </c>
      <c r="J2236" t="s">
        <v>7</v>
      </c>
      <c r="K2236" t="s">
        <v>26</v>
      </c>
      <c r="L2236" t="s">
        <v>43</v>
      </c>
      <c r="M2236" t="s">
        <v>20</v>
      </c>
      <c r="N2236">
        <v>134</v>
      </c>
      <c r="O2236">
        <v>61</v>
      </c>
      <c r="P2236">
        <v>115415.59000000001</v>
      </c>
      <c r="Q2236">
        <v>0</v>
      </c>
    </row>
    <row r="2237" spans="7:17" x14ac:dyDescent="0.25">
      <c r="G2237" t="str">
        <f t="shared" si="34"/>
        <v/>
      </c>
      <c r="H2237" t="s">
        <v>47</v>
      </c>
      <c r="I2237" t="s">
        <v>10</v>
      </c>
      <c r="J2237" t="s">
        <v>7</v>
      </c>
      <c r="K2237" t="s">
        <v>26</v>
      </c>
      <c r="L2237" t="s">
        <v>44</v>
      </c>
      <c r="M2237" t="s">
        <v>19</v>
      </c>
      <c r="N2237">
        <v>12</v>
      </c>
      <c r="O2237">
        <v>6</v>
      </c>
      <c r="P2237">
        <v>12212.040000000003</v>
      </c>
      <c r="Q2237">
        <v>3521.8</v>
      </c>
    </row>
    <row r="2238" spans="7:17" x14ac:dyDescent="0.25">
      <c r="G2238" t="str">
        <f t="shared" si="34"/>
        <v/>
      </c>
      <c r="H2238" t="s">
        <v>47</v>
      </c>
      <c r="I2238" t="s">
        <v>10</v>
      </c>
      <c r="J2238" t="s">
        <v>7</v>
      </c>
      <c r="K2238" t="s">
        <v>26</v>
      </c>
      <c r="L2238" t="s">
        <v>44</v>
      </c>
      <c r="M2238" t="s">
        <v>20</v>
      </c>
      <c r="N2238">
        <v>113</v>
      </c>
      <c r="O2238">
        <v>42</v>
      </c>
      <c r="P2238">
        <v>122658.48999999996</v>
      </c>
      <c r="Q2238">
        <v>0</v>
      </c>
    </row>
    <row r="2239" spans="7:17" x14ac:dyDescent="0.25">
      <c r="G2239" t="str">
        <f t="shared" si="34"/>
        <v/>
      </c>
      <c r="H2239" t="s">
        <v>47</v>
      </c>
      <c r="I2239" t="s">
        <v>10</v>
      </c>
      <c r="J2239" t="s">
        <v>7</v>
      </c>
      <c r="K2239" t="s">
        <v>26</v>
      </c>
      <c r="L2239" t="s">
        <v>39</v>
      </c>
      <c r="M2239" t="s">
        <v>19</v>
      </c>
      <c r="N2239">
        <v>2</v>
      </c>
      <c r="O2239">
        <v>1</v>
      </c>
      <c r="P2239">
        <v>1742.94</v>
      </c>
      <c r="Q2239">
        <v>447.22</v>
      </c>
    </row>
    <row r="2240" spans="7:17" x14ac:dyDescent="0.25">
      <c r="G2240" t="str">
        <f t="shared" si="34"/>
        <v/>
      </c>
      <c r="H2240" t="s">
        <v>47</v>
      </c>
      <c r="I2240" t="s">
        <v>10</v>
      </c>
      <c r="J2240" t="s">
        <v>7</v>
      </c>
      <c r="K2240" t="s">
        <v>26</v>
      </c>
      <c r="L2240" t="s">
        <v>39</v>
      </c>
      <c r="M2240" t="s">
        <v>20</v>
      </c>
      <c r="N2240">
        <v>59</v>
      </c>
      <c r="O2240">
        <v>26</v>
      </c>
      <c r="P2240">
        <v>30780.150000000005</v>
      </c>
      <c r="Q2240">
        <v>0</v>
      </c>
    </row>
    <row r="2241" spans="7:17" x14ac:dyDescent="0.25">
      <c r="G2241" t="str">
        <f t="shared" si="34"/>
        <v/>
      </c>
      <c r="H2241" t="s">
        <v>47</v>
      </c>
      <c r="I2241" t="s">
        <v>10</v>
      </c>
      <c r="J2241" t="s">
        <v>7</v>
      </c>
      <c r="K2241" t="s">
        <v>26</v>
      </c>
      <c r="L2241" t="s">
        <v>40</v>
      </c>
      <c r="M2241" t="s">
        <v>19</v>
      </c>
      <c r="N2241">
        <v>1</v>
      </c>
      <c r="O2241">
        <v>1</v>
      </c>
      <c r="P2241">
        <v>890.25</v>
      </c>
      <c r="Q2241">
        <v>100</v>
      </c>
    </row>
    <row r="2242" spans="7:17" x14ac:dyDescent="0.25">
      <c r="G2242" t="str">
        <f t="shared" ref="G2242:G2305" si="35">IF(G$1="Overall","Overall",IF(G$1=L2242,L2242,""))</f>
        <v/>
      </c>
      <c r="H2242" t="s">
        <v>47</v>
      </c>
      <c r="I2242" t="s">
        <v>10</v>
      </c>
      <c r="J2242" t="s">
        <v>7</v>
      </c>
      <c r="K2242" t="s">
        <v>26</v>
      </c>
      <c r="L2242" t="s">
        <v>40</v>
      </c>
      <c r="M2242" t="s">
        <v>20</v>
      </c>
      <c r="N2242">
        <v>60</v>
      </c>
      <c r="O2242">
        <v>20</v>
      </c>
      <c r="P2242">
        <v>48018.319999999992</v>
      </c>
      <c r="Q2242">
        <v>0</v>
      </c>
    </row>
    <row r="2243" spans="7:17" x14ac:dyDescent="0.25">
      <c r="G2243" t="str">
        <f t="shared" si="35"/>
        <v/>
      </c>
      <c r="H2243" t="s">
        <v>47</v>
      </c>
      <c r="I2243" t="s">
        <v>10</v>
      </c>
      <c r="J2243" t="s">
        <v>7</v>
      </c>
      <c r="K2243" t="s">
        <v>26</v>
      </c>
      <c r="L2243" t="s">
        <v>41</v>
      </c>
      <c r="M2243" t="s">
        <v>19</v>
      </c>
      <c r="N2243">
        <v>1</v>
      </c>
      <c r="O2243">
        <v>1</v>
      </c>
      <c r="P2243">
        <v>253.99</v>
      </c>
      <c r="Q2243">
        <v>123.26</v>
      </c>
    </row>
    <row r="2244" spans="7:17" x14ac:dyDescent="0.25">
      <c r="G2244" t="str">
        <f t="shared" si="35"/>
        <v/>
      </c>
      <c r="H2244" t="s">
        <v>47</v>
      </c>
      <c r="I2244" t="s">
        <v>10</v>
      </c>
      <c r="J2244" t="s">
        <v>7</v>
      </c>
      <c r="K2244" t="s">
        <v>26</v>
      </c>
      <c r="L2244" t="s">
        <v>41</v>
      </c>
      <c r="M2244" t="s">
        <v>20</v>
      </c>
      <c r="N2244">
        <v>35</v>
      </c>
      <c r="O2244">
        <v>16</v>
      </c>
      <c r="P2244">
        <v>30710.519999999997</v>
      </c>
      <c r="Q2244">
        <v>0</v>
      </c>
    </row>
    <row r="2245" spans="7:17" x14ac:dyDescent="0.25">
      <c r="G2245" t="str">
        <f t="shared" si="35"/>
        <v/>
      </c>
      <c r="H2245" t="s">
        <v>47</v>
      </c>
      <c r="I2245" t="s">
        <v>10</v>
      </c>
      <c r="J2245" t="s">
        <v>7</v>
      </c>
      <c r="K2245" t="s">
        <v>27</v>
      </c>
      <c r="L2245" t="s">
        <v>42</v>
      </c>
      <c r="M2245" t="s">
        <v>19</v>
      </c>
      <c r="N2245">
        <v>56</v>
      </c>
      <c r="O2245">
        <v>9</v>
      </c>
      <c r="P2245">
        <v>23761.459999999995</v>
      </c>
      <c r="Q2245">
        <v>22729</v>
      </c>
    </row>
    <row r="2246" spans="7:17" x14ac:dyDescent="0.25">
      <c r="G2246" t="str">
        <f t="shared" si="35"/>
        <v/>
      </c>
      <c r="H2246" t="s">
        <v>47</v>
      </c>
      <c r="I2246" t="s">
        <v>10</v>
      </c>
      <c r="J2246" t="s">
        <v>7</v>
      </c>
      <c r="K2246" t="s">
        <v>27</v>
      </c>
      <c r="L2246" t="s">
        <v>42</v>
      </c>
      <c r="M2246" t="s">
        <v>20</v>
      </c>
      <c r="N2246">
        <v>60</v>
      </c>
      <c r="O2246">
        <v>26</v>
      </c>
      <c r="P2246">
        <v>15891.899999999992</v>
      </c>
      <c r="Q2246">
        <v>0</v>
      </c>
    </row>
    <row r="2247" spans="7:17" x14ac:dyDescent="0.25">
      <c r="G2247" t="str">
        <f t="shared" si="35"/>
        <v/>
      </c>
      <c r="H2247" t="s">
        <v>47</v>
      </c>
      <c r="I2247" t="s">
        <v>10</v>
      </c>
      <c r="J2247" t="s">
        <v>7</v>
      </c>
      <c r="K2247" t="s">
        <v>27</v>
      </c>
      <c r="L2247" t="s">
        <v>43</v>
      </c>
      <c r="M2247" t="s">
        <v>19</v>
      </c>
      <c r="N2247">
        <v>25</v>
      </c>
      <c r="O2247">
        <v>4</v>
      </c>
      <c r="P2247">
        <v>7561.8400000000047</v>
      </c>
      <c r="Q2247">
        <v>7258.2200000000048</v>
      </c>
    </row>
    <row r="2248" spans="7:17" x14ac:dyDescent="0.25">
      <c r="G2248" t="str">
        <f t="shared" si="35"/>
        <v/>
      </c>
      <c r="H2248" t="s">
        <v>47</v>
      </c>
      <c r="I2248" t="s">
        <v>10</v>
      </c>
      <c r="J2248" t="s">
        <v>7</v>
      </c>
      <c r="K2248" t="s">
        <v>27</v>
      </c>
      <c r="L2248" t="s">
        <v>43</v>
      </c>
      <c r="M2248" t="s">
        <v>20</v>
      </c>
      <c r="N2248">
        <v>5</v>
      </c>
      <c r="O2248">
        <v>3</v>
      </c>
      <c r="P2248">
        <v>3448.6499999999996</v>
      </c>
      <c r="Q2248">
        <v>0</v>
      </c>
    </row>
    <row r="2249" spans="7:17" x14ac:dyDescent="0.25">
      <c r="G2249" t="str">
        <f t="shared" si="35"/>
        <v/>
      </c>
      <c r="H2249" t="s">
        <v>47</v>
      </c>
      <c r="I2249" t="s">
        <v>10</v>
      </c>
      <c r="J2249" t="s">
        <v>7</v>
      </c>
      <c r="K2249" t="s">
        <v>27</v>
      </c>
      <c r="L2249" t="s">
        <v>44</v>
      </c>
      <c r="M2249" t="s">
        <v>19</v>
      </c>
      <c r="N2249">
        <v>2</v>
      </c>
      <c r="O2249">
        <v>0</v>
      </c>
      <c r="P2249">
        <v>1893.56</v>
      </c>
      <c r="Q2249">
        <v>236.18</v>
      </c>
    </row>
    <row r="2250" spans="7:17" x14ac:dyDescent="0.25">
      <c r="G2250" t="str">
        <f t="shared" si="35"/>
        <v/>
      </c>
      <c r="H2250" t="s">
        <v>47</v>
      </c>
      <c r="I2250" t="s">
        <v>10</v>
      </c>
      <c r="J2250" t="s">
        <v>7</v>
      </c>
      <c r="K2250" t="s">
        <v>27</v>
      </c>
      <c r="L2250" t="s">
        <v>44</v>
      </c>
      <c r="M2250" t="s">
        <v>20</v>
      </c>
      <c r="N2250">
        <v>13</v>
      </c>
      <c r="O2250">
        <v>3</v>
      </c>
      <c r="P2250">
        <v>15254.06</v>
      </c>
      <c r="Q2250">
        <v>0</v>
      </c>
    </row>
    <row r="2251" spans="7:17" x14ac:dyDescent="0.25">
      <c r="G2251" t="str">
        <f t="shared" si="35"/>
        <v/>
      </c>
      <c r="H2251" t="s">
        <v>47</v>
      </c>
      <c r="I2251" t="s">
        <v>10</v>
      </c>
      <c r="J2251" t="s">
        <v>7</v>
      </c>
      <c r="K2251" t="s">
        <v>27</v>
      </c>
      <c r="L2251" t="s">
        <v>39</v>
      </c>
      <c r="M2251" t="s">
        <v>20</v>
      </c>
      <c r="N2251">
        <v>9</v>
      </c>
      <c r="O2251">
        <v>6</v>
      </c>
      <c r="P2251">
        <v>8709.760000000002</v>
      </c>
      <c r="Q2251">
        <v>0</v>
      </c>
    </row>
    <row r="2252" spans="7:17" x14ac:dyDescent="0.25">
      <c r="G2252" t="str">
        <f t="shared" si="35"/>
        <v/>
      </c>
      <c r="H2252" t="s">
        <v>47</v>
      </c>
      <c r="I2252" t="s">
        <v>10</v>
      </c>
      <c r="J2252" t="s">
        <v>7</v>
      </c>
      <c r="K2252" t="s">
        <v>27</v>
      </c>
      <c r="L2252" t="s">
        <v>40</v>
      </c>
      <c r="M2252" t="s">
        <v>19</v>
      </c>
      <c r="N2252">
        <v>1</v>
      </c>
      <c r="O2252">
        <v>1</v>
      </c>
      <c r="P2252">
        <v>457.65</v>
      </c>
      <c r="Q2252">
        <v>411.76</v>
      </c>
    </row>
    <row r="2253" spans="7:17" x14ac:dyDescent="0.25">
      <c r="G2253" t="str">
        <f t="shared" si="35"/>
        <v/>
      </c>
      <c r="H2253" t="s">
        <v>47</v>
      </c>
      <c r="I2253" t="s">
        <v>10</v>
      </c>
      <c r="J2253" t="s">
        <v>7</v>
      </c>
      <c r="K2253" t="s">
        <v>27</v>
      </c>
      <c r="L2253" t="s">
        <v>40</v>
      </c>
      <c r="M2253" t="s">
        <v>20</v>
      </c>
      <c r="N2253">
        <v>2</v>
      </c>
      <c r="O2253">
        <v>1</v>
      </c>
      <c r="P2253">
        <v>861.38</v>
      </c>
      <c r="Q2253">
        <v>0</v>
      </c>
    </row>
    <row r="2254" spans="7:17" x14ac:dyDescent="0.25">
      <c r="G2254" t="str">
        <f t="shared" si="35"/>
        <v/>
      </c>
      <c r="H2254" t="s">
        <v>47</v>
      </c>
      <c r="I2254" t="s">
        <v>10</v>
      </c>
      <c r="J2254" t="s">
        <v>7</v>
      </c>
      <c r="K2254" t="s">
        <v>27</v>
      </c>
      <c r="L2254" t="s">
        <v>41</v>
      </c>
      <c r="M2254" t="s">
        <v>20</v>
      </c>
      <c r="N2254">
        <v>1</v>
      </c>
      <c r="O2254">
        <v>1</v>
      </c>
      <c r="P2254">
        <v>1944.12</v>
      </c>
      <c r="Q2254">
        <v>0</v>
      </c>
    </row>
    <row r="2255" spans="7:17" x14ac:dyDescent="0.25">
      <c r="G2255" t="str">
        <f t="shared" si="35"/>
        <v/>
      </c>
      <c r="H2255" t="s">
        <v>47</v>
      </c>
      <c r="I2255" t="s">
        <v>10</v>
      </c>
      <c r="J2255" t="s">
        <v>7</v>
      </c>
      <c r="K2255" t="s">
        <v>27</v>
      </c>
      <c r="L2255" t="s">
        <v>45</v>
      </c>
      <c r="M2255" t="s">
        <v>20</v>
      </c>
      <c r="N2255">
        <v>22</v>
      </c>
      <c r="O2255">
        <v>10</v>
      </c>
      <c r="P2255">
        <v>15424.629999999997</v>
      </c>
      <c r="Q2255">
        <v>0</v>
      </c>
    </row>
    <row r="2256" spans="7:17" x14ac:dyDescent="0.25">
      <c r="G2256" t="str">
        <f t="shared" si="35"/>
        <v/>
      </c>
      <c r="H2256" t="s">
        <v>47</v>
      </c>
      <c r="I2256" t="s">
        <v>10</v>
      </c>
      <c r="J2256" t="s">
        <v>7</v>
      </c>
      <c r="K2256" t="s">
        <v>28</v>
      </c>
      <c r="L2256" t="s">
        <v>42</v>
      </c>
      <c r="M2256" t="s">
        <v>19</v>
      </c>
      <c r="N2256">
        <v>155</v>
      </c>
      <c r="O2256">
        <v>68</v>
      </c>
      <c r="P2256">
        <v>80076.610000000117</v>
      </c>
      <c r="Q2256">
        <v>78170.620000000039</v>
      </c>
    </row>
    <row r="2257" spans="7:17" x14ac:dyDescent="0.25">
      <c r="G2257" t="str">
        <f t="shared" si="35"/>
        <v/>
      </c>
      <c r="H2257" t="s">
        <v>47</v>
      </c>
      <c r="I2257" t="s">
        <v>10</v>
      </c>
      <c r="J2257" t="s">
        <v>7</v>
      </c>
      <c r="K2257" t="s">
        <v>28</v>
      </c>
      <c r="L2257" t="s">
        <v>42</v>
      </c>
      <c r="M2257" t="s">
        <v>20</v>
      </c>
      <c r="N2257">
        <v>190</v>
      </c>
      <c r="O2257">
        <v>104</v>
      </c>
      <c r="P2257">
        <v>57911.569999999978</v>
      </c>
      <c r="Q2257">
        <v>0</v>
      </c>
    </row>
    <row r="2258" spans="7:17" x14ac:dyDescent="0.25">
      <c r="G2258" t="str">
        <f t="shared" si="35"/>
        <v/>
      </c>
      <c r="H2258" t="s">
        <v>47</v>
      </c>
      <c r="I2258" t="s">
        <v>10</v>
      </c>
      <c r="J2258" t="s">
        <v>7</v>
      </c>
      <c r="K2258" t="s">
        <v>28</v>
      </c>
      <c r="L2258" t="s">
        <v>43</v>
      </c>
      <c r="M2258" t="s">
        <v>19</v>
      </c>
      <c r="N2258">
        <v>15</v>
      </c>
      <c r="O2258">
        <v>11</v>
      </c>
      <c r="P2258">
        <v>11035.970000000001</v>
      </c>
      <c r="Q2258">
        <v>7897.3900000000012</v>
      </c>
    </row>
    <row r="2259" spans="7:17" x14ac:dyDescent="0.25">
      <c r="G2259" t="str">
        <f t="shared" si="35"/>
        <v/>
      </c>
      <c r="H2259" t="s">
        <v>47</v>
      </c>
      <c r="I2259" t="s">
        <v>10</v>
      </c>
      <c r="J2259" t="s">
        <v>7</v>
      </c>
      <c r="K2259" t="s">
        <v>28</v>
      </c>
      <c r="L2259" t="s">
        <v>43</v>
      </c>
      <c r="M2259" t="s">
        <v>20</v>
      </c>
      <c r="N2259">
        <v>65</v>
      </c>
      <c r="O2259">
        <v>38</v>
      </c>
      <c r="P2259">
        <v>50364.710000000006</v>
      </c>
      <c r="Q2259">
        <v>0</v>
      </c>
    </row>
    <row r="2260" spans="7:17" x14ac:dyDescent="0.25">
      <c r="G2260" t="str">
        <f t="shared" si="35"/>
        <v/>
      </c>
      <c r="H2260" t="s">
        <v>47</v>
      </c>
      <c r="I2260" t="s">
        <v>10</v>
      </c>
      <c r="J2260" t="s">
        <v>7</v>
      </c>
      <c r="K2260" t="s">
        <v>28</v>
      </c>
      <c r="L2260" t="s">
        <v>44</v>
      </c>
      <c r="M2260" t="s">
        <v>19</v>
      </c>
      <c r="N2260">
        <v>5</v>
      </c>
      <c r="O2260">
        <v>4</v>
      </c>
      <c r="P2260">
        <v>5942.85</v>
      </c>
      <c r="Q2260">
        <v>3967.41</v>
      </c>
    </row>
    <row r="2261" spans="7:17" x14ac:dyDescent="0.25">
      <c r="G2261" t="str">
        <f t="shared" si="35"/>
        <v/>
      </c>
      <c r="H2261" t="s">
        <v>47</v>
      </c>
      <c r="I2261" t="s">
        <v>10</v>
      </c>
      <c r="J2261" t="s">
        <v>7</v>
      </c>
      <c r="K2261" t="s">
        <v>28</v>
      </c>
      <c r="L2261" t="s">
        <v>44</v>
      </c>
      <c r="M2261" t="s">
        <v>20</v>
      </c>
      <c r="N2261">
        <v>26</v>
      </c>
      <c r="O2261">
        <v>22</v>
      </c>
      <c r="P2261">
        <v>21539.259999999995</v>
      </c>
      <c r="Q2261">
        <v>0</v>
      </c>
    </row>
    <row r="2262" spans="7:17" x14ac:dyDescent="0.25">
      <c r="G2262" t="str">
        <f t="shared" si="35"/>
        <v/>
      </c>
      <c r="H2262" t="s">
        <v>47</v>
      </c>
      <c r="I2262" t="s">
        <v>10</v>
      </c>
      <c r="J2262" t="s">
        <v>7</v>
      </c>
      <c r="K2262" t="s">
        <v>29</v>
      </c>
      <c r="L2262" t="s">
        <v>42</v>
      </c>
      <c r="M2262" t="s">
        <v>19</v>
      </c>
      <c r="N2262">
        <v>80</v>
      </c>
      <c r="O2262">
        <v>28</v>
      </c>
      <c r="P2262">
        <v>37671.979999999996</v>
      </c>
      <c r="Q2262">
        <v>36474.839999999997</v>
      </c>
    </row>
    <row r="2263" spans="7:17" x14ac:dyDescent="0.25">
      <c r="G2263" t="str">
        <f t="shared" si="35"/>
        <v/>
      </c>
      <c r="H2263" t="s">
        <v>47</v>
      </c>
      <c r="I2263" t="s">
        <v>10</v>
      </c>
      <c r="J2263" t="s">
        <v>7</v>
      </c>
      <c r="K2263" t="s">
        <v>29</v>
      </c>
      <c r="L2263" t="s">
        <v>42</v>
      </c>
      <c r="M2263" t="s">
        <v>20</v>
      </c>
      <c r="N2263">
        <v>134</v>
      </c>
      <c r="O2263">
        <v>58</v>
      </c>
      <c r="P2263">
        <v>37119.560000000034</v>
      </c>
      <c r="Q2263">
        <v>0</v>
      </c>
    </row>
    <row r="2264" spans="7:17" x14ac:dyDescent="0.25">
      <c r="G2264" t="str">
        <f t="shared" si="35"/>
        <v/>
      </c>
      <c r="H2264" t="s">
        <v>47</v>
      </c>
      <c r="I2264" t="s">
        <v>10</v>
      </c>
      <c r="J2264" t="s">
        <v>7</v>
      </c>
      <c r="K2264" t="s">
        <v>29</v>
      </c>
      <c r="L2264" t="s">
        <v>43</v>
      </c>
      <c r="M2264" t="s">
        <v>19</v>
      </c>
      <c r="N2264">
        <v>15</v>
      </c>
      <c r="O2264">
        <v>11</v>
      </c>
      <c r="P2264">
        <v>12094.77</v>
      </c>
      <c r="Q2264">
        <v>8210.5600000000013</v>
      </c>
    </row>
    <row r="2265" spans="7:17" x14ac:dyDescent="0.25">
      <c r="G2265" t="str">
        <f t="shared" si="35"/>
        <v/>
      </c>
      <c r="H2265" t="s">
        <v>47</v>
      </c>
      <c r="I2265" t="s">
        <v>10</v>
      </c>
      <c r="J2265" t="s">
        <v>7</v>
      </c>
      <c r="K2265" t="s">
        <v>29</v>
      </c>
      <c r="L2265" t="s">
        <v>43</v>
      </c>
      <c r="M2265" t="s">
        <v>20</v>
      </c>
      <c r="N2265">
        <v>23</v>
      </c>
      <c r="O2265">
        <v>14</v>
      </c>
      <c r="P2265">
        <v>19082.600000000009</v>
      </c>
      <c r="Q2265">
        <v>0</v>
      </c>
    </row>
    <row r="2266" spans="7:17" x14ac:dyDescent="0.25">
      <c r="G2266" t="str">
        <f t="shared" si="35"/>
        <v/>
      </c>
      <c r="H2266" t="s">
        <v>47</v>
      </c>
      <c r="I2266" t="s">
        <v>10</v>
      </c>
      <c r="J2266" t="s">
        <v>7</v>
      </c>
      <c r="K2266" t="s">
        <v>29</v>
      </c>
      <c r="L2266" t="s">
        <v>44</v>
      </c>
      <c r="M2266" t="s">
        <v>19</v>
      </c>
      <c r="N2266">
        <v>9</v>
      </c>
      <c r="O2266">
        <v>4</v>
      </c>
      <c r="P2266">
        <v>7535.0800000000008</v>
      </c>
      <c r="Q2266">
        <v>4139.29</v>
      </c>
    </row>
    <row r="2267" spans="7:17" x14ac:dyDescent="0.25">
      <c r="G2267" t="str">
        <f t="shared" si="35"/>
        <v/>
      </c>
      <c r="H2267" t="s">
        <v>47</v>
      </c>
      <c r="I2267" t="s">
        <v>10</v>
      </c>
      <c r="J2267" t="s">
        <v>7</v>
      </c>
      <c r="K2267" t="s">
        <v>29</v>
      </c>
      <c r="L2267" t="s">
        <v>44</v>
      </c>
      <c r="M2267" t="s">
        <v>20</v>
      </c>
      <c r="N2267">
        <v>16</v>
      </c>
      <c r="O2267">
        <v>11</v>
      </c>
      <c r="P2267">
        <v>13601.72</v>
      </c>
      <c r="Q2267">
        <v>0</v>
      </c>
    </row>
    <row r="2268" spans="7:17" x14ac:dyDescent="0.25">
      <c r="G2268" t="str">
        <f t="shared" si="35"/>
        <v/>
      </c>
      <c r="H2268" t="s">
        <v>47</v>
      </c>
      <c r="I2268" t="s">
        <v>10</v>
      </c>
      <c r="J2268" t="s">
        <v>7</v>
      </c>
      <c r="K2268" t="s">
        <v>29</v>
      </c>
      <c r="L2268" t="s">
        <v>39</v>
      </c>
      <c r="M2268" t="s">
        <v>20</v>
      </c>
      <c r="N2268">
        <v>10</v>
      </c>
      <c r="O2268">
        <v>9</v>
      </c>
      <c r="P2268">
        <v>8001.9799999999987</v>
      </c>
      <c r="Q2268">
        <v>0</v>
      </c>
    </row>
    <row r="2269" spans="7:17" x14ac:dyDescent="0.25">
      <c r="G2269" t="str">
        <f t="shared" si="35"/>
        <v/>
      </c>
      <c r="H2269" t="s">
        <v>47</v>
      </c>
      <c r="I2269" t="s">
        <v>10</v>
      </c>
      <c r="J2269" t="s">
        <v>7</v>
      </c>
      <c r="K2269" t="s">
        <v>29</v>
      </c>
      <c r="L2269" t="s">
        <v>40</v>
      </c>
      <c r="M2269" t="s">
        <v>19</v>
      </c>
      <c r="N2269">
        <v>1</v>
      </c>
      <c r="O2269">
        <v>0</v>
      </c>
      <c r="P2269">
        <v>555.29</v>
      </c>
      <c r="Q2269">
        <v>555</v>
      </c>
    </row>
    <row r="2270" spans="7:17" x14ac:dyDescent="0.25">
      <c r="G2270" t="str">
        <f t="shared" si="35"/>
        <v/>
      </c>
      <c r="H2270" t="s">
        <v>47</v>
      </c>
      <c r="I2270" t="s">
        <v>10</v>
      </c>
      <c r="J2270" t="s">
        <v>7</v>
      </c>
      <c r="K2270" t="s">
        <v>29</v>
      </c>
      <c r="L2270" t="s">
        <v>40</v>
      </c>
      <c r="M2270" t="s">
        <v>20</v>
      </c>
      <c r="N2270">
        <v>5</v>
      </c>
      <c r="O2270">
        <v>2</v>
      </c>
      <c r="P2270">
        <v>3913.1400000000003</v>
      </c>
      <c r="Q2270">
        <v>0</v>
      </c>
    </row>
    <row r="2271" spans="7:17" x14ac:dyDescent="0.25">
      <c r="G2271" t="str">
        <f t="shared" si="35"/>
        <v/>
      </c>
      <c r="H2271" t="s">
        <v>47</v>
      </c>
      <c r="I2271" t="s">
        <v>10</v>
      </c>
      <c r="J2271" t="s">
        <v>7</v>
      </c>
      <c r="K2271" t="s">
        <v>29</v>
      </c>
      <c r="L2271" t="s">
        <v>41</v>
      </c>
      <c r="M2271" t="s">
        <v>20</v>
      </c>
      <c r="N2271">
        <v>8</v>
      </c>
      <c r="O2271">
        <v>3</v>
      </c>
      <c r="P2271">
        <v>6106.25</v>
      </c>
      <c r="Q2271">
        <v>0</v>
      </c>
    </row>
    <row r="2272" spans="7:17" x14ac:dyDescent="0.25">
      <c r="G2272" t="str">
        <f t="shared" si="35"/>
        <v/>
      </c>
      <c r="H2272" t="s">
        <v>47</v>
      </c>
      <c r="I2272" t="s">
        <v>10</v>
      </c>
      <c r="J2272" t="s">
        <v>7</v>
      </c>
      <c r="K2272" t="s">
        <v>29</v>
      </c>
      <c r="L2272" t="s">
        <v>45</v>
      </c>
      <c r="M2272" t="s">
        <v>19</v>
      </c>
      <c r="N2272">
        <v>1</v>
      </c>
      <c r="O2272">
        <v>0</v>
      </c>
      <c r="P2272">
        <v>204.6</v>
      </c>
      <c r="Q2272">
        <v>204</v>
      </c>
    </row>
    <row r="2273" spans="7:17" x14ac:dyDescent="0.25">
      <c r="G2273" t="str">
        <f t="shared" si="35"/>
        <v/>
      </c>
      <c r="H2273" t="s">
        <v>47</v>
      </c>
      <c r="I2273" t="s">
        <v>10</v>
      </c>
      <c r="J2273" t="s">
        <v>7</v>
      </c>
      <c r="K2273" t="s">
        <v>29</v>
      </c>
      <c r="L2273" t="s">
        <v>45</v>
      </c>
      <c r="M2273" t="s">
        <v>20</v>
      </c>
      <c r="N2273">
        <v>101</v>
      </c>
      <c r="O2273">
        <v>47</v>
      </c>
      <c r="P2273">
        <v>85188.63</v>
      </c>
      <c r="Q2273">
        <v>0</v>
      </c>
    </row>
    <row r="2274" spans="7:17" x14ac:dyDescent="0.25">
      <c r="G2274" t="str">
        <f t="shared" si="35"/>
        <v/>
      </c>
      <c r="H2274" t="s">
        <v>47</v>
      </c>
      <c r="I2274" t="s">
        <v>10</v>
      </c>
      <c r="J2274" t="s">
        <v>7</v>
      </c>
      <c r="K2274" t="s">
        <v>30</v>
      </c>
      <c r="L2274" t="s">
        <v>42</v>
      </c>
      <c r="M2274" t="s">
        <v>19</v>
      </c>
      <c r="N2274">
        <v>31</v>
      </c>
      <c r="O2274">
        <v>10</v>
      </c>
      <c r="P2274">
        <v>23424.820000000007</v>
      </c>
      <c r="Q2274">
        <v>23343.790000000005</v>
      </c>
    </row>
    <row r="2275" spans="7:17" x14ac:dyDescent="0.25">
      <c r="G2275" t="str">
        <f t="shared" si="35"/>
        <v/>
      </c>
      <c r="H2275" t="s">
        <v>47</v>
      </c>
      <c r="I2275" t="s">
        <v>10</v>
      </c>
      <c r="J2275" t="s">
        <v>7</v>
      </c>
      <c r="K2275" t="s">
        <v>30</v>
      </c>
      <c r="L2275" t="s">
        <v>42</v>
      </c>
      <c r="M2275" t="s">
        <v>20</v>
      </c>
      <c r="N2275">
        <v>15</v>
      </c>
      <c r="O2275">
        <v>2</v>
      </c>
      <c r="P2275">
        <v>3090.33</v>
      </c>
      <c r="Q2275">
        <v>0</v>
      </c>
    </row>
    <row r="2276" spans="7:17" x14ac:dyDescent="0.25">
      <c r="G2276" t="str">
        <f t="shared" si="35"/>
        <v/>
      </c>
      <c r="H2276" t="s">
        <v>47</v>
      </c>
      <c r="I2276" t="s">
        <v>10</v>
      </c>
      <c r="J2276" t="s">
        <v>7</v>
      </c>
      <c r="K2276" t="s">
        <v>30</v>
      </c>
      <c r="L2276" t="s">
        <v>43</v>
      </c>
      <c r="M2276" t="s">
        <v>19</v>
      </c>
      <c r="N2276">
        <v>3</v>
      </c>
      <c r="O2276">
        <v>0</v>
      </c>
      <c r="P2276">
        <v>1713.13</v>
      </c>
      <c r="Q2276">
        <v>-88.5</v>
      </c>
    </row>
    <row r="2277" spans="7:17" x14ac:dyDescent="0.25">
      <c r="G2277" t="str">
        <f t="shared" si="35"/>
        <v/>
      </c>
      <c r="H2277" t="s">
        <v>47</v>
      </c>
      <c r="I2277" t="s">
        <v>10</v>
      </c>
      <c r="J2277" t="s">
        <v>7</v>
      </c>
      <c r="K2277" t="s">
        <v>30</v>
      </c>
      <c r="L2277" t="s">
        <v>43</v>
      </c>
      <c r="M2277" t="s">
        <v>20</v>
      </c>
      <c r="N2277">
        <v>4</v>
      </c>
      <c r="O2277">
        <v>2</v>
      </c>
      <c r="P2277">
        <v>3541.2999999999997</v>
      </c>
      <c r="Q2277">
        <v>0</v>
      </c>
    </row>
    <row r="2278" spans="7:17" x14ac:dyDescent="0.25">
      <c r="G2278" t="str">
        <f t="shared" si="35"/>
        <v/>
      </c>
      <c r="H2278" t="s">
        <v>47</v>
      </c>
      <c r="I2278" t="s">
        <v>10</v>
      </c>
      <c r="J2278" t="s">
        <v>7</v>
      </c>
      <c r="K2278" t="s">
        <v>30</v>
      </c>
      <c r="L2278" t="s">
        <v>44</v>
      </c>
      <c r="M2278" t="s">
        <v>19</v>
      </c>
      <c r="N2278">
        <v>1</v>
      </c>
      <c r="O2278">
        <v>1</v>
      </c>
      <c r="P2278">
        <v>1436.59</v>
      </c>
      <c r="Q2278">
        <v>163.5</v>
      </c>
    </row>
    <row r="2279" spans="7:17" x14ac:dyDescent="0.25">
      <c r="G2279" t="str">
        <f t="shared" si="35"/>
        <v/>
      </c>
      <c r="H2279" t="s">
        <v>47</v>
      </c>
      <c r="I2279" t="s">
        <v>10</v>
      </c>
      <c r="J2279" t="s">
        <v>7</v>
      </c>
      <c r="K2279" t="s">
        <v>30</v>
      </c>
      <c r="L2279" t="s">
        <v>44</v>
      </c>
      <c r="M2279" t="s">
        <v>20</v>
      </c>
      <c r="N2279">
        <v>6</v>
      </c>
      <c r="O2279">
        <v>4</v>
      </c>
      <c r="P2279">
        <v>3536.47</v>
      </c>
      <c r="Q2279">
        <v>0</v>
      </c>
    </row>
    <row r="2280" spans="7:17" x14ac:dyDescent="0.25">
      <c r="G2280" t="str">
        <f t="shared" si="35"/>
        <v/>
      </c>
      <c r="H2280" t="s">
        <v>47</v>
      </c>
      <c r="I2280" t="s">
        <v>10</v>
      </c>
      <c r="J2280" t="s">
        <v>7</v>
      </c>
      <c r="K2280" t="s">
        <v>30</v>
      </c>
      <c r="L2280" t="s">
        <v>40</v>
      </c>
      <c r="M2280" t="s">
        <v>20</v>
      </c>
      <c r="N2280">
        <v>2</v>
      </c>
      <c r="O2280">
        <v>0</v>
      </c>
      <c r="P2280">
        <v>1196.46</v>
      </c>
      <c r="Q2280">
        <v>0</v>
      </c>
    </row>
    <row r="2281" spans="7:17" x14ac:dyDescent="0.25">
      <c r="G2281" t="str">
        <f t="shared" si="35"/>
        <v/>
      </c>
      <c r="H2281" t="s">
        <v>47</v>
      </c>
      <c r="I2281" t="s">
        <v>10</v>
      </c>
      <c r="J2281" t="s">
        <v>7</v>
      </c>
      <c r="K2281" t="s">
        <v>30</v>
      </c>
      <c r="L2281" t="s">
        <v>45</v>
      </c>
      <c r="M2281" t="s">
        <v>20</v>
      </c>
      <c r="N2281">
        <v>23</v>
      </c>
      <c r="O2281">
        <v>9</v>
      </c>
      <c r="P2281">
        <v>12294.319999999998</v>
      </c>
      <c r="Q2281">
        <v>0</v>
      </c>
    </row>
    <row r="2282" spans="7:17" x14ac:dyDescent="0.25">
      <c r="G2282" t="str">
        <f t="shared" si="35"/>
        <v/>
      </c>
      <c r="H2282" t="s">
        <v>47</v>
      </c>
      <c r="I2282" t="s">
        <v>10</v>
      </c>
      <c r="J2282" t="s">
        <v>7</v>
      </c>
      <c r="K2282" t="s">
        <v>31</v>
      </c>
      <c r="L2282" t="s">
        <v>42</v>
      </c>
      <c r="M2282" t="s">
        <v>19</v>
      </c>
      <c r="N2282">
        <v>4</v>
      </c>
      <c r="O2282">
        <v>1</v>
      </c>
      <c r="P2282">
        <v>1860.3999999999999</v>
      </c>
      <c r="Q2282">
        <v>1659.9999999999998</v>
      </c>
    </row>
    <row r="2283" spans="7:17" x14ac:dyDescent="0.25">
      <c r="G2283" t="str">
        <f t="shared" si="35"/>
        <v/>
      </c>
      <c r="H2283" t="s">
        <v>47</v>
      </c>
      <c r="I2283" t="s">
        <v>10</v>
      </c>
      <c r="J2283" t="s">
        <v>7</v>
      </c>
      <c r="K2283" t="s">
        <v>32</v>
      </c>
      <c r="L2283" t="s">
        <v>42</v>
      </c>
      <c r="M2283" t="s">
        <v>19</v>
      </c>
      <c r="N2283">
        <v>12</v>
      </c>
      <c r="O2283">
        <v>6</v>
      </c>
      <c r="P2283">
        <v>6618.36</v>
      </c>
      <c r="Q2283">
        <v>6586.8300000000008</v>
      </c>
    </row>
    <row r="2284" spans="7:17" x14ac:dyDescent="0.25">
      <c r="G2284" t="str">
        <f t="shared" si="35"/>
        <v/>
      </c>
      <c r="H2284" t="s">
        <v>47</v>
      </c>
      <c r="I2284" t="s">
        <v>10</v>
      </c>
      <c r="J2284" t="s">
        <v>7</v>
      </c>
      <c r="K2284" t="s">
        <v>32</v>
      </c>
      <c r="L2284" t="s">
        <v>42</v>
      </c>
      <c r="M2284" t="s">
        <v>20</v>
      </c>
      <c r="N2284">
        <v>44</v>
      </c>
      <c r="O2284">
        <v>5</v>
      </c>
      <c r="P2284">
        <v>11648.449999999999</v>
      </c>
      <c r="Q2284">
        <v>0</v>
      </c>
    </row>
    <row r="2285" spans="7:17" x14ac:dyDescent="0.25">
      <c r="G2285" t="str">
        <f t="shared" si="35"/>
        <v/>
      </c>
      <c r="H2285" t="s">
        <v>47</v>
      </c>
      <c r="I2285" t="s">
        <v>10</v>
      </c>
      <c r="J2285" t="s">
        <v>7</v>
      </c>
      <c r="K2285" t="s">
        <v>32</v>
      </c>
      <c r="L2285" t="s">
        <v>43</v>
      </c>
      <c r="M2285" t="s">
        <v>20</v>
      </c>
      <c r="N2285">
        <v>6</v>
      </c>
      <c r="O2285">
        <v>1</v>
      </c>
      <c r="P2285">
        <v>3914.29</v>
      </c>
      <c r="Q2285">
        <v>0</v>
      </c>
    </row>
    <row r="2286" spans="7:17" x14ac:dyDescent="0.25">
      <c r="G2286" t="str">
        <f t="shared" si="35"/>
        <v/>
      </c>
      <c r="H2286" t="s">
        <v>47</v>
      </c>
      <c r="I2286" t="s">
        <v>10</v>
      </c>
      <c r="J2286" t="s">
        <v>7</v>
      </c>
      <c r="K2286" t="s">
        <v>32</v>
      </c>
      <c r="L2286" t="s">
        <v>44</v>
      </c>
      <c r="M2286" t="s">
        <v>20</v>
      </c>
      <c r="N2286">
        <v>5</v>
      </c>
      <c r="O2286">
        <v>2</v>
      </c>
      <c r="P2286">
        <v>5392.4400000000005</v>
      </c>
      <c r="Q2286">
        <v>0</v>
      </c>
    </row>
    <row r="2287" spans="7:17" x14ac:dyDescent="0.25">
      <c r="G2287" t="str">
        <f t="shared" si="35"/>
        <v/>
      </c>
      <c r="H2287" t="s">
        <v>47</v>
      </c>
      <c r="I2287" t="s">
        <v>10</v>
      </c>
      <c r="J2287" t="s">
        <v>7</v>
      </c>
      <c r="K2287" t="s">
        <v>32</v>
      </c>
      <c r="L2287" t="s">
        <v>39</v>
      </c>
      <c r="M2287" t="s">
        <v>20</v>
      </c>
      <c r="N2287">
        <v>2</v>
      </c>
      <c r="O2287">
        <v>2</v>
      </c>
      <c r="P2287">
        <v>846.81</v>
      </c>
      <c r="Q2287">
        <v>0</v>
      </c>
    </row>
    <row r="2288" spans="7:17" x14ac:dyDescent="0.25">
      <c r="G2288" t="str">
        <f t="shared" si="35"/>
        <v/>
      </c>
      <c r="H2288" t="s">
        <v>47</v>
      </c>
      <c r="I2288" t="s">
        <v>10</v>
      </c>
      <c r="J2288" t="s">
        <v>7</v>
      </c>
      <c r="K2288" t="s">
        <v>32</v>
      </c>
      <c r="L2288" t="s">
        <v>40</v>
      </c>
      <c r="M2288" t="s">
        <v>20</v>
      </c>
      <c r="N2288">
        <v>1</v>
      </c>
      <c r="O2288">
        <v>0</v>
      </c>
      <c r="P2288">
        <v>1158.94</v>
      </c>
      <c r="Q2288">
        <v>0</v>
      </c>
    </row>
    <row r="2289" spans="7:17" x14ac:dyDescent="0.25">
      <c r="G2289" t="str">
        <f t="shared" si="35"/>
        <v/>
      </c>
      <c r="H2289" t="s">
        <v>47</v>
      </c>
      <c r="I2289" t="s">
        <v>10</v>
      </c>
      <c r="J2289" t="s">
        <v>7</v>
      </c>
      <c r="K2289" t="s">
        <v>32</v>
      </c>
      <c r="L2289" t="s">
        <v>41</v>
      </c>
      <c r="M2289" t="s">
        <v>20</v>
      </c>
      <c r="N2289">
        <v>2</v>
      </c>
      <c r="O2289">
        <v>0</v>
      </c>
      <c r="P2289">
        <v>3816.13</v>
      </c>
      <c r="Q2289">
        <v>0</v>
      </c>
    </row>
    <row r="2290" spans="7:17" x14ac:dyDescent="0.25">
      <c r="G2290" t="str">
        <f t="shared" si="35"/>
        <v/>
      </c>
      <c r="H2290" t="s">
        <v>47</v>
      </c>
      <c r="I2290" t="s">
        <v>10</v>
      </c>
      <c r="J2290" t="s">
        <v>7</v>
      </c>
      <c r="K2290" t="s">
        <v>32</v>
      </c>
      <c r="L2290" t="s">
        <v>45</v>
      </c>
      <c r="M2290" t="s">
        <v>20</v>
      </c>
      <c r="N2290">
        <v>21</v>
      </c>
      <c r="O2290">
        <v>5</v>
      </c>
      <c r="P2290">
        <v>13822.509999999998</v>
      </c>
      <c r="Q2290">
        <v>0</v>
      </c>
    </row>
    <row r="2291" spans="7:17" x14ac:dyDescent="0.25">
      <c r="G2291" t="str">
        <f t="shared" si="35"/>
        <v/>
      </c>
      <c r="H2291" t="s">
        <v>47</v>
      </c>
      <c r="I2291" t="s">
        <v>10</v>
      </c>
      <c r="J2291" t="s">
        <v>7</v>
      </c>
      <c r="K2291" t="s">
        <v>33</v>
      </c>
      <c r="L2291" t="s">
        <v>42</v>
      </c>
      <c r="M2291" t="s">
        <v>19</v>
      </c>
      <c r="N2291">
        <v>58</v>
      </c>
      <c r="O2291">
        <v>18</v>
      </c>
      <c r="P2291">
        <v>26486.320000000003</v>
      </c>
      <c r="Q2291">
        <v>25482.5</v>
      </c>
    </row>
    <row r="2292" spans="7:17" x14ac:dyDescent="0.25">
      <c r="G2292" t="str">
        <f t="shared" si="35"/>
        <v/>
      </c>
      <c r="H2292" t="s">
        <v>47</v>
      </c>
      <c r="I2292" t="s">
        <v>10</v>
      </c>
      <c r="J2292" t="s">
        <v>7</v>
      </c>
      <c r="K2292" t="s">
        <v>33</v>
      </c>
      <c r="L2292" t="s">
        <v>42</v>
      </c>
      <c r="M2292" t="s">
        <v>20</v>
      </c>
      <c r="N2292">
        <v>94</v>
      </c>
      <c r="O2292">
        <v>29</v>
      </c>
      <c r="P2292">
        <v>21129.680000000004</v>
      </c>
      <c r="Q2292">
        <v>0</v>
      </c>
    </row>
    <row r="2293" spans="7:17" x14ac:dyDescent="0.25">
      <c r="G2293" t="str">
        <f t="shared" si="35"/>
        <v/>
      </c>
      <c r="H2293" t="s">
        <v>47</v>
      </c>
      <c r="I2293" t="s">
        <v>10</v>
      </c>
      <c r="J2293" t="s">
        <v>7</v>
      </c>
      <c r="K2293" t="s">
        <v>33</v>
      </c>
      <c r="L2293" t="s">
        <v>43</v>
      </c>
      <c r="M2293" t="s">
        <v>19</v>
      </c>
      <c r="N2293">
        <v>6</v>
      </c>
      <c r="O2293">
        <v>4</v>
      </c>
      <c r="P2293">
        <v>3288.1400000000003</v>
      </c>
      <c r="Q2293">
        <v>2366.85</v>
      </c>
    </row>
    <row r="2294" spans="7:17" x14ac:dyDescent="0.25">
      <c r="G2294" t="str">
        <f t="shared" si="35"/>
        <v/>
      </c>
      <c r="H2294" t="s">
        <v>47</v>
      </c>
      <c r="I2294" t="s">
        <v>10</v>
      </c>
      <c r="J2294" t="s">
        <v>7</v>
      </c>
      <c r="K2294" t="s">
        <v>33</v>
      </c>
      <c r="L2294" t="s">
        <v>43</v>
      </c>
      <c r="M2294" t="s">
        <v>20</v>
      </c>
      <c r="N2294">
        <v>13</v>
      </c>
      <c r="O2294">
        <v>11</v>
      </c>
      <c r="P2294">
        <v>9604.42</v>
      </c>
      <c r="Q2294">
        <v>0</v>
      </c>
    </row>
    <row r="2295" spans="7:17" x14ac:dyDescent="0.25">
      <c r="G2295" t="str">
        <f t="shared" si="35"/>
        <v/>
      </c>
      <c r="H2295" t="s">
        <v>47</v>
      </c>
      <c r="I2295" t="s">
        <v>10</v>
      </c>
      <c r="J2295" t="s">
        <v>7</v>
      </c>
      <c r="K2295" t="s">
        <v>33</v>
      </c>
      <c r="L2295" t="s">
        <v>44</v>
      </c>
      <c r="M2295" t="s">
        <v>19</v>
      </c>
      <c r="N2295">
        <v>22</v>
      </c>
      <c r="O2295">
        <v>2</v>
      </c>
      <c r="P2295">
        <v>13240.04</v>
      </c>
      <c r="Q2295">
        <v>13239.84</v>
      </c>
    </row>
    <row r="2296" spans="7:17" x14ac:dyDescent="0.25">
      <c r="G2296" t="str">
        <f t="shared" si="35"/>
        <v/>
      </c>
      <c r="H2296" t="s">
        <v>47</v>
      </c>
      <c r="I2296" t="s">
        <v>10</v>
      </c>
      <c r="J2296" t="s">
        <v>7</v>
      </c>
      <c r="K2296" t="s">
        <v>33</v>
      </c>
      <c r="L2296" t="s">
        <v>44</v>
      </c>
      <c r="M2296" t="s">
        <v>20</v>
      </c>
      <c r="N2296">
        <v>11</v>
      </c>
      <c r="O2296">
        <v>2</v>
      </c>
      <c r="P2296">
        <v>4687.26</v>
      </c>
      <c r="Q2296">
        <v>0</v>
      </c>
    </row>
    <row r="2297" spans="7:17" x14ac:dyDescent="0.25">
      <c r="G2297" t="str">
        <f t="shared" si="35"/>
        <v/>
      </c>
      <c r="H2297" t="s">
        <v>47</v>
      </c>
      <c r="I2297" t="s">
        <v>10</v>
      </c>
      <c r="J2297" t="s">
        <v>7</v>
      </c>
      <c r="K2297" t="s">
        <v>33</v>
      </c>
      <c r="L2297" t="s">
        <v>39</v>
      </c>
      <c r="M2297" t="s">
        <v>19</v>
      </c>
      <c r="N2297">
        <v>1</v>
      </c>
      <c r="O2297">
        <v>1</v>
      </c>
      <c r="P2297">
        <v>444.9</v>
      </c>
      <c r="Q2297">
        <v>107.22</v>
      </c>
    </row>
    <row r="2298" spans="7:17" x14ac:dyDescent="0.25">
      <c r="G2298" t="str">
        <f t="shared" si="35"/>
        <v/>
      </c>
      <c r="H2298" t="s">
        <v>47</v>
      </c>
      <c r="I2298" t="s">
        <v>10</v>
      </c>
      <c r="J2298" t="s">
        <v>7</v>
      </c>
      <c r="K2298" t="s">
        <v>33</v>
      </c>
      <c r="L2298" t="s">
        <v>39</v>
      </c>
      <c r="M2298" t="s">
        <v>20</v>
      </c>
      <c r="N2298">
        <v>10</v>
      </c>
      <c r="O2298">
        <v>7</v>
      </c>
      <c r="P2298">
        <v>5548.32</v>
      </c>
      <c r="Q2298">
        <v>0</v>
      </c>
    </row>
    <row r="2299" spans="7:17" x14ac:dyDescent="0.25">
      <c r="G2299" t="str">
        <f t="shared" si="35"/>
        <v/>
      </c>
      <c r="H2299" t="s">
        <v>47</v>
      </c>
      <c r="I2299" t="s">
        <v>10</v>
      </c>
      <c r="J2299" t="s">
        <v>7</v>
      </c>
      <c r="K2299" t="s">
        <v>33</v>
      </c>
      <c r="L2299" t="s">
        <v>40</v>
      </c>
      <c r="M2299" t="s">
        <v>20</v>
      </c>
      <c r="N2299">
        <v>17</v>
      </c>
      <c r="O2299">
        <v>4</v>
      </c>
      <c r="P2299">
        <v>10130.879999999999</v>
      </c>
      <c r="Q2299">
        <v>0</v>
      </c>
    </row>
    <row r="2300" spans="7:17" x14ac:dyDescent="0.25">
      <c r="G2300" t="str">
        <f t="shared" si="35"/>
        <v/>
      </c>
      <c r="H2300" t="s">
        <v>47</v>
      </c>
      <c r="I2300" t="s">
        <v>10</v>
      </c>
      <c r="J2300" t="s">
        <v>7</v>
      </c>
      <c r="K2300" t="s">
        <v>33</v>
      </c>
      <c r="L2300" t="s">
        <v>41</v>
      </c>
      <c r="M2300" t="s">
        <v>20</v>
      </c>
      <c r="N2300">
        <v>11</v>
      </c>
      <c r="O2300">
        <v>5</v>
      </c>
      <c r="P2300">
        <v>9711.5200000000023</v>
      </c>
      <c r="Q2300">
        <v>0</v>
      </c>
    </row>
    <row r="2301" spans="7:17" x14ac:dyDescent="0.25">
      <c r="G2301" t="str">
        <f t="shared" si="35"/>
        <v/>
      </c>
      <c r="H2301" t="s">
        <v>47</v>
      </c>
      <c r="I2301" t="s">
        <v>10</v>
      </c>
      <c r="J2301" t="s">
        <v>7</v>
      </c>
      <c r="K2301" t="s">
        <v>33</v>
      </c>
      <c r="L2301" t="s">
        <v>45</v>
      </c>
      <c r="M2301" t="s">
        <v>19</v>
      </c>
      <c r="N2301">
        <v>1</v>
      </c>
      <c r="O2301">
        <v>1</v>
      </c>
      <c r="P2301">
        <v>222.87</v>
      </c>
      <c r="Q2301">
        <v>222.87</v>
      </c>
    </row>
    <row r="2302" spans="7:17" x14ac:dyDescent="0.25">
      <c r="G2302" t="str">
        <f t="shared" si="35"/>
        <v/>
      </c>
      <c r="H2302" t="s">
        <v>47</v>
      </c>
      <c r="I2302" t="s">
        <v>10</v>
      </c>
      <c r="J2302" t="s">
        <v>7</v>
      </c>
      <c r="K2302" t="s">
        <v>33</v>
      </c>
      <c r="L2302" t="s">
        <v>45</v>
      </c>
      <c r="M2302" t="s">
        <v>20</v>
      </c>
      <c r="N2302">
        <v>100</v>
      </c>
      <c r="O2302">
        <v>49</v>
      </c>
      <c r="P2302">
        <v>81232.160000000003</v>
      </c>
      <c r="Q2302">
        <v>0</v>
      </c>
    </row>
    <row r="2303" spans="7:17" x14ac:dyDescent="0.25">
      <c r="G2303" t="str">
        <f t="shared" si="35"/>
        <v/>
      </c>
      <c r="H2303" t="s">
        <v>47</v>
      </c>
      <c r="I2303" t="s">
        <v>10</v>
      </c>
      <c r="J2303" t="s">
        <v>7</v>
      </c>
      <c r="K2303" t="s">
        <v>34</v>
      </c>
      <c r="L2303" t="s">
        <v>42</v>
      </c>
      <c r="M2303" t="s">
        <v>19</v>
      </c>
      <c r="N2303">
        <v>48</v>
      </c>
      <c r="O2303">
        <v>23</v>
      </c>
      <c r="P2303">
        <v>26103.669999999995</v>
      </c>
      <c r="Q2303">
        <v>25035.939999999995</v>
      </c>
    </row>
    <row r="2304" spans="7:17" x14ac:dyDescent="0.25">
      <c r="G2304" t="str">
        <f t="shared" si="35"/>
        <v/>
      </c>
      <c r="H2304" t="s">
        <v>47</v>
      </c>
      <c r="I2304" t="s">
        <v>10</v>
      </c>
      <c r="J2304" t="s">
        <v>7</v>
      </c>
      <c r="K2304" t="s">
        <v>34</v>
      </c>
      <c r="L2304" t="s">
        <v>42</v>
      </c>
      <c r="M2304" t="s">
        <v>20</v>
      </c>
      <c r="N2304">
        <v>78</v>
      </c>
      <c r="O2304">
        <v>31</v>
      </c>
      <c r="P2304">
        <v>20083.380000000005</v>
      </c>
      <c r="Q2304">
        <v>0</v>
      </c>
    </row>
    <row r="2305" spans="7:17" x14ac:dyDescent="0.25">
      <c r="G2305" t="str">
        <f t="shared" si="35"/>
        <v/>
      </c>
      <c r="H2305" t="s">
        <v>47</v>
      </c>
      <c r="I2305" t="s">
        <v>10</v>
      </c>
      <c r="J2305" t="s">
        <v>7</v>
      </c>
      <c r="K2305" t="s">
        <v>34</v>
      </c>
      <c r="L2305" t="s">
        <v>43</v>
      </c>
      <c r="M2305" t="s">
        <v>19</v>
      </c>
      <c r="N2305">
        <v>10</v>
      </c>
      <c r="O2305">
        <v>6</v>
      </c>
      <c r="P2305">
        <v>9106.08</v>
      </c>
      <c r="Q2305">
        <v>7396.0899999999992</v>
      </c>
    </row>
    <row r="2306" spans="7:17" x14ac:dyDescent="0.25">
      <c r="G2306" t="str">
        <f t="shared" ref="G2306:G2369" si="36">IF(G$1="Overall","Overall",IF(G$1=L2306,L2306,""))</f>
        <v/>
      </c>
      <c r="H2306" t="s">
        <v>47</v>
      </c>
      <c r="I2306" t="s">
        <v>10</v>
      </c>
      <c r="J2306" t="s">
        <v>7</v>
      </c>
      <c r="K2306" t="s">
        <v>34</v>
      </c>
      <c r="L2306" t="s">
        <v>43</v>
      </c>
      <c r="M2306" t="s">
        <v>20</v>
      </c>
      <c r="N2306">
        <v>17</v>
      </c>
      <c r="O2306">
        <v>8</v>
      </c>
      <c r="P2306">
        <v>11877.169999999998</v>
      </c>
      <c r="Q2306">
        <v>0</v>
      </c>
    </row>
    <row r="2307" spans="7:17" x14ac:dyDescent="0.25">
      <c r="G2307" t="str">
        <f t="shared" si="36"/>
        <v/>
      </c>
      <c r="H2307" t="s">
        <v>47</v>
      </c>
      <c r="I2307" t="s">
        <v>10</v>
      </c>
      <c r="J2307" t="s">
        <v>7</v>
      </c>
      <c r="K2307" t="s">
        <v>34</v>
      </c>
      <c r="L2307" t="s">
        <v>44</v>
      </c>
      <c r="M2307" t="s">
        <v>19</v>
      </c>
      <c r="N2307">
        <v>9</v>
      </c>
      <c r="O2307">
        <v>5</v>
      </c>
      <c r="P2307">
        <v>9708.8499999999985</v>
      </c>
      <c r="Q2307">
        <v>1724.1899999999998</v>
      </c>
    </row>
    <row r="2308" spans="7:17" x14ac:dyDescent="0.25">
      <c r="G2308" t="str">
        <f t="shared" si="36"/>
        <v/>
      </c>
      <c r="H2308" t="s">
        <v>47</v>
      </c>
      <c r="I2308" t="s">
        <v>10</v>
      </c>
      <c r="J2308" t="s">
        <v>7</v>
      </c>
      <c r="K2308" t="s">
        <v>34</v>
      </c>
      <c r="L2308" t="s">
        <v>44</v>
      </c>
      <c r="M2308" t="s">
        <v>20</v>
      </c>
      <c r="N2308">
        <v>12</v>
      </c>
      <c r="O2308">
        <v>6</v>
      </c>
      <c r="P2308">
        <v>9360.630000000001</v>
      </c>
      <c r="Q2308">
        <v>0</v>
      </c>
    </row>
    <row r="2309" spans="7:17" x14ac:dyDescent="0.25">
      <c r="G2309" t="str">
        <f t="shared" si="36"/>
        <v/>
      </c>
      <c r="H2309" t="s">
        <v>47</v>
      </c>
      <c r="I2309" t="s">
        <v>10</v>
      </c>
      <c r="J2309" t="s">
        <v>7</v>
      </c>
      <c r="K2309" t="s">
        <v>34</v>
      </c>
      <c r="L2309" t="s">
        <v>39</v>
      </c>
      <c r="M2309" t="s">
        <v>19</v>
      </c>
      <c r="N2309">
        <v>1</v>
      </c>
      <c r="O2309">
        <v>1</v>
      </c>
      <c r="P2309">
        <v>584.89</v>
      </c>
      <c r="Q2309">
        <v>173.07</v>
      </c>
    </row>
    <row r="2310" spans="7:17" x14ac:dyDescent="0.25">
      <c r="G2310" t="str">
        <f t="shared" si="36"/>
        <v/>
      </c>
      <c r="H2310" t="s">
        <v>47</v>
      </c>
      <c r="I2310" t="s">
        <v>10</v>
      </c>
      <c r="J2310" t="s">
        <v>7</v>
      </c>
      <c r="K2310" t="s">
        <v>34</v>
      </c>
      <c r="L2310" t="s">
        <v>39</v>
      </c>
      <c r="M2310" t="s">
        <v>20</v>
      </c>
      <c r="N2310">
        <v>7</v>
      </c>
      <c r="O2310">
        <v>6</v>
      </c>
      <c r="P2310">
        <v>4653.6099999999997</v>
      </c>
      <c r="Q2310">
        <v>0</v>
      </c>
    </row>
    <row r="2311" spans="7:17" x14ac:dyDescent="0.25">
      <c r="G2311" t="str">
        <f t="shared" si="36"/>
        <v/>
      </c>
      <c r="H2311" t="s">
        <v>47</v>
      </c>
      <c r="I2311" t="s">
        <v>10</v>
      </c>
      <c r="J2311" t="s">
        <v>7</v>
      </c>
      <c r="K2311" t="s">
        <v>34</v>
      </c>
      <c r="L2311" t="s">
        <v>40</v>
      </c>
      <c r="M2311" t="s">
        <v>20</v>
      </c>
      <c r="N2311">
        <v>3</v>
      </c>
      <c r="O2311">
        <v>1</v>
      </c>
      <c r="P2311">
        <v>3251.55</v>
      </c>
      <c r="Q2311">
        <v>0</v>
      </c>
    </row>
    <row r="2312" spans="7:17" x14ac:dyDescent="0.25">
      <c r="G2312" t="str">
        <f t="shared" si="36"/>
        <v/>
      </c>
      <c r="H2312" t="s">
        <v>47</v>
      </c>
      <c r="I2312" t="s">
        <v>10</v>
      </c>
      <c r="J2312" t="s">
        <v>7</v>
      </c>
      <c r="K2312" t="s">
        <v>34</v>
      </c>
      <c r="L2312" t="s">
        <v>41</v>
      </c>
      <c r="M2312" t="s">
        <v>19</v>
      </c>
      <c r="N2312">
        <v>1</v>
      </c>
      <c r="O2312">
        <v>0</v>
      </c>
      <c r="P2312">
        <v>1393.23</v>
      </c>
      <c r="Q2312">
        <v>599.66</v>
      </c>
    </row>
    <row r="2313" spans="7:17" x14ac:dyDescent="0.25">
      <c r="G2313" t="str">
        <f t="shared" si="36"/>
        <v/>
      </c>
      <c r="H2313" t="s">
        <v>47</v>
      </c>
      <c r="I2313" t="s">
        <v>10</v>
      </c>
      <c r="J2313" t="s">
        <v>7</v>
      </c>
      <c r="K2313" t="s">
        <v>34</v>
      </c>
      <c r="L2313" t="s">
        <v>41</v>
      </c>
      <c r="M2313" t="s">
        <v>20</v>
      </c>
      <c r="N2313">
        <v>2</v>
      </c>
      <c r="O2313">
        <v>1</v>
      </c>
      <c r="P2313">
        <v>1215.82</v>
      </c>
      <c r="Q2313">
        <v>0</v>
      </c>
    </row>
    <row r="2314" spans="7:17" x14ac:dyDescent="0.25">
      <c r="G2314" t="str">
        <f t="shared" si="36"/>
        <v/>
      </c>
      <c r="H2314" t="s">
        <v>47</v>
      </c>
      <c r="I2314" t="s">
        <v>10</v>
      </c>
      <c r="J2314" t="s">
        <v>7</v>
      </c>
      <c r="K2314" t="s">
        <v>34</v>
      </c>
      <c r="L2314" t="s">
        <v>45</v>
      </c>
      <c r="M2314" t="s">
        <v>20</v>
      </c>
      <c r="N2314">
        <v>41</v>
      </c>
      <c r="O2314">
        <v>26</v>
      </c>
      <c r="P2314">
        <v>23101.639999999996</v>
      </c>
      <c r="Q2314">
        <v>0</v>
      </c>
    </row>
    <row r="2315" spans="7:17" x14ac:dyDescent="0.25">
      <c r="G2315" t="str">
        <f t="shared" si="36"/>
        <v/>
      </c>
      <c r="H2315" t="s">
        <v>47</v>
      </c>
      <c r="I2315" t="s">
        <v>10</v>
      </c>
      <c r="J2315" t="s">
        <v>7</v>
      </c>
      <c r="K2315" t="s">
        <v>35</v>
      </c>
      <c r="L2315" t="s">
        <v>42</v>
      </c>
      <c r="M2315" t="s">
        <v>19</v>
      </c>
      <c r="N2315">
        <v>97</v>
      </c>
      <c r="O2315">
        <v>51</v>
      </c>
      <c r="P2315">
        <v>51193.289999999979</v>
      </c>
      <c r="Q2315">
        <v>50352.21</v>
      </c>
    </row>
    <row r="2316" spans="7:17" x14ac:dyDescent="0.25">
      <c r="G2316" t="str">
        <f t="shared" si="36"/>
        <v/>
      </c>
      <c r="H2316" t="s">
        <v>47</v>
      </c>
      <c r="I2316" t="s">
        <v>10</v>
      </c>
      <c r="J2316" t="s">
        <v>7</v>
      </c>
      <c r="K2316" t="s">
        <v>35</v>
      </c>
      <c r="L2316" t="s">
        <v>42</v>
      </c>
      <c r="M2316" t="s">
        <v>20</v>
      </c>
      <c r="N2316">
        <v>169</v>
      </c>
      <c r="O2316">
        <v>66</v>
      </c>
      <c r="P2316">
        <v>45426.87999999999</v>
      </c>
      <c r="Q2316">
        <v>0</v>
      </c>
    </row>
    <row r="2317" spans="7:17" x14ac:dyDescent="0.25">
      <c r="G2317" t="str">
        <f t="shared" si="36"/>
        <v/>
      </c>
      <c r="H2317" t="s">
        <v>47</v>
      </c>
      <c r="I2317" t="s">
        <v>10</v>
      </c>
      <c r="J2317" t="s">
        <v>7</v>
      </c>
      <c r="K2317" t="s">
        <v>35</v>
      </c>
      <c r="L2317" t="s">
        <v>43</v>
      </c>
      <c r="M2317" t="s">
        <v>19</v>
      </c>
      <c r="N2317">
        <v>11</v>
      </c>
      <c r="O2317">
        <v>7</v>
      </c>
      <c r="P2317">
        <v>7665.29</v>
      </c>
      <c r="Q2317">
        <v>6716.12</v>
      </c>
    </row>
    <row r="2318" spans="7:17" x14ac:dyDescent="0.25">
      <c r="G2318" t="str">
        <f t="shared" si="36"/>
        <v/>
      </c>
      <c r="H2318" t="s">
        <v>47</v>
      </c>
      <c r="I2318" t="s">
        <v>10</v>
      </c>
      <c r="J2318" t="s">
        <v>7</v>
      </c>
      <c r="K2318" t="s">
        <v>35</v>
      </c>
      <c r="L2318" t="s">
        <v>43</v>
      </c>
      <c r="M2318" t="s">
        <v>20</v>
      </c>
      <c r="N2318">
        <v>38</v>
      </c>
      <c r="O2318">
        <v>21</v>
      </c>
      <c r="P2318">
        <v>23004.410000000003</v>
      </c>
      <c r="Q2318">
        <v>0</v>
      </c>
    </row>
    <row r="2319" spans="7:17" x14ac:dyDescent="0.25">
      <c r="G2319" t="str">
        <f t="shared" si="36"/>
        <v/>
      </c>
      <c r="H2319" t="s">
        <v>47</v>
      </c>
      <c r="I2319" t="s">
        <v>10</v>
      </c>
      <c r="J2319" t="s">
        <v>7</v>
      </c>
      <c r="K2319" t="s">
        <v>35</v>
      </c>
      <c r="L2319" t="s">
        <v>44</v>
      </c>
      <c r="M2319" t="s">
        <v>19</v>
      </c>
      <c r="N2319">
        <v>6</v>
      </c>
      <c r="O2319">
        <v>3</v>
      </c>
      <c r="P2319">
        <v>7590.7699999999995</v>
      </c>
      <c r="Q2319">
        <v>2997.87</v>
      </c>
    </row>
    <row r="2320" spans="7:17" x14ac:dyDescent="0.25">
      <c r="G2320" t="str">
        <f t="shared" si="36"/>
        <v/>
      </c>
      <c r="H2320" t="s">
        <v>47</v>
      </c>
      <c r="I2320" t="s">
        <v>10</v>
      </c>
      <c r="J2320" t="s">
        <v>7</v>
      </c>
      <c r="K2320" t="s">
        <v>35</v>
      </c>
      <c r="L2320" t="s">
        <v>44</v>
      </c>
      <c r="M2320" t="s">
        <v>20</v>
      </c>
      <c r="N2320">
        <v>17</v>
      </c>
      <c r="O2320">
        <v>11</v>
      </c>
      <c r="P2320">
        <v>10994.669999999998</v>
      </c>
      <c r="Q2320">
        <v>0</v>
      </c>
    </row>
    <row r="2321" spans="7:17" x14ac:dyDescent="0.25">
      <c r="G2321" t="str">
        <f t="shared" si="36"/>
        <v/>
      </c>
      <c r="H2321" t="s">
        <v>47</v>
      </c>
      <c r="I2321" t="s">
        <v>10</v>
      </c>
      <c r="J2321" t="s">
        <v>7</v>
      </c>
      <c r="K2321" t="s">
        <v>36</v>
      </c>
      <c r="L2321" t="s">
        <v>42</v>
      </c>
      <c r="M2321" t="s">
        <v>19</v>
      </c>
      <c r="N2321">
        <v>95</v>
      </c>
      <c r="O2321">
        <v>36</v>
      </c>
      <c r="P2321">
        <v>43490.950000000012</v>
      </c>
      <c r="Q2321">
        <v>42259.570000000007</v>
      </c>
    </row>
    <row r="2322" spans="7:17" x14ac:dyDescent="0.25">
      <c r="G2322" t="str">
        <f t="shared" si="36"/>
        <v/>
      </c>
      <c r="H2322" t="s">
        <v>47</v>
      </c>
      <c r="I2322" t="s">
        <v>10</v>
      </c>
      <c r="J2322" t="s">
        <v>7</v>
      </c>
      <c r="K2322" t="s">
        <v>36</v>
      </c>
      <c r="L2322" t="s">
        <v>42</v>
      </c>
      <c r="M2322" t="s">
        <v>20</v>
      </c>
      <c r="N2322">
        <v>154</v>
      </c>
      <c r="O2322">
        <v>52</v>
      </c>
      <c r="P2322">
        <v>48716.42</v>
      </c>
      <c r="Q2322">
        <v>0</v>
      </c>
    </row>
    <row r="2323" spans="7:17" x14ac:dyDescent="0.25">
      <c r="G2323" t="str">
        <f t="shared" si="36"/>
        <v/>
      </c>
      <c r="H2323" t="s">
        <v>47</v>
      </c>
      <c r="I2323" t="s">
        <v>10</v>
      </c>
      <c r="J2323" t="s">
        <v>7</v>
      </c>
      <c r="K2323" t="s">
        <v>36</v>
      </c>
      <c r="L2323" t="s">
        <v>43</v>
      </c>
      <c r="M2323" t="s">
        <v>19</v>
      </c>
      <c r="N2323">
        <v>5</v>
      </c>
      <c r="O2323">
        <v>2</v>
      </c>
      <c r="P2323">
        <v>2840.77</v>
      </c>
      <c r="Q2323">
        <v>738.98</v>
      </c>
    </row>
    <row r="2324" spans="7:17" x14ac:dyDescent="0.25">
      <c r="G2324" t="str">
        <f t="shared" si="36"/>
        <v/>
      </c>
      <c r="H2324" t="s">
        <v>47</v>
      </c>
      <c r="I2324" t="s">
        <v>10</v>
      </c>
      <c r="J2324" t="s">
        <v>7</v>
      </c>
      <c r="K2324" t="s">
        <v>36</v>
      </c>
      <c r="L2324" t="s">
        <v>43</v>
      </c>
      <c r="M2324" t="s">
        <v>20</v>
      </c>
      <c r="N2324">
        <v>34</v>
      </c>
      <c r="O2324">
        <v>17</v>
      </c>
      <c r="P2324">
        <v>19976.450000000004</v>
      </c>
      <c r="Q2324">
        <v>0</v>
      </c>
    </row>
    <row r="2325" spans="7:17" x14ac:dyDescent="0.25">
      <c r="G2325" t="str">
        <f t="shared" si="36"/>
        <v/>
      </c>
      <c r="H2325" t="s">
        <v>47</v>
      </c>
      <c r="I2325" t="s">
        <v>10</v>
      </c>
      <c r="J2325" t="s">
        <v>7</v>
      </c>
      <c r="K2325" t="s">
        <v>36</v>
      </c>
      <c r="L2325" t="s">
        <v>44</v>
      </c>
      <c r="M2325" t="s">
        <v>19</v>
      </c>
      <c r="N2325">
        <v>7</v>
      </c>
      <c r="O2325">
        <v>6</v>
      </c>
      <c r="P2325">
        <v>5413.6500000000005</v>
      </c>
      <c r="Q2325">
        <v>2084.14</v>
      </c>
    </row>
    <row r="2326" spans="7:17" x14ac:dyDescent="0.25">
      <c r="G2326" t="str">
        <f t="shared" si="36"/>
        <v/>
      </c>
      <c r="H2326" t="s">
        <v>47</v>
      </c>
      <c r="I2326" t="s">
        <v>10</v>
      </c>
      <c r="J2326" t="s">
        <v>7</v>
      </c>
      <c r="K2326" t="s">
        <v>36</v>
      </c>
      <c r="L2326" t="s">
        <v>44</v>
      </c>
      <c r="M2326" t="s">
        <v>20</v>
      </c>
      <c r="N2326">
        <v>28</v>
      </c>
      <c r="O2326">
        <v>14</v>
      </c>
      <c r="P2326">
        <v>19329.46</v>
      </c>
      <c r="Q2326">
        <v>0</v>
      </c>
    </row>
    <row r="2327" spans="7:17" x14ac:dyDescent="0.25">
      <c r="G2327" t="str">
        <f t="shared" si="36"/>
        <v/>
      </c>
      <c r="H2327" t="s">
        <v>47</v>
      </c>
      <c r="I2327" t="s">
        <v>10</v>
      </c>
      <c r="J2327" t="s">
        <v>7</v>
      </c>
      <c r="K2327" t="s">
        <v>36</v>
      </c>
      <c r="L2327" t="s">
        <v>39</v>
      </c>
      <c r="M2327" t="s">
        <v>19</v>
      </c>
      <c r="N2327">
        <v>1</v>
      </c>
      <c r="O2327">
        <v>1</v>
      </c>
      <c r="P2327">
        <v>1004.15</v>
      </c>
      <c r="Q2327">
        <v>1000</v>
      </c>
    </row>
    <row r="2328" spans="7:17" x14ac:dyDescent="0.25">
      <c r="G2328" t="str">
        <f t="shared" si="36"/>
        <v/>
      </c>
      <c r="H2328" t="s">
        <v>47</v>
      </c>
      <c r="I2328" t="s">
        <v>10</v>
      </c>
      <c r="J2328" t="s">
        <v>7</v>
      </c>
      <c r="K2328" t="s">
        <v>36</v>
      </c>
      <c r="L2328" t="s">
        <v>39</v>
      </c>
      <c r="M2328" t="s">
        <v>20</v>
      </c>
      <c r="N2328">
        <v>12</v>
      </c>
      <c r="O2328">
        <v>11</v>
      </c>
      <c r="P2328">
        <v>7326.3600000000006</v>
      </c>
      <c r="Q2328">
        <v>0</v>
      </c>
    </row>
    <row r="2329" spans="7:17" x14ac:dyDescent="0.25">
      <c r="G2329" t="str">
        <f t="shared" si="36"/>
        <v/>
      </c>
      <c r="H2329" t="s">
        <v>47</v>
      </c>
      <c r="I2329" t="s">
        <v>10</v>
      </c>
      <c r="J2329" t="s">
        <v>7</v>
      </c>
      <c r="K2329" t="s">
        <v>36</v>
      </c>
      <c r="L2329" t="s">
        <v>40</v>
      </c>
      <c r="M2329" t="s">
        <v>19</v>
      </c>
      <c r="N2329">
        <v>1</v>
      </c>
      <c r="O2329">
        <v>0</v>
      </c>
      <c r="P2329">
        <v>911.39</v>
      </c>
      <c r="Q2329">
        <v>402.9</v>
      </c>
    </row>
    <row r="2330" spans="7:17" x14ac:dyDescent="0.25">
      <c r="G2330" t="str">
        <f t="shared" si="36"/>
        <v/>
      </c>
      <c r="H2330" t="s">
        <v>47</v>
      </c>
      <c r="I2330" t="s">
        <v>10</v>
      </c>
      <c r="J2330" t="s">
        <v>7</v>
      </c>
      <c r="K2330" t="s">
        <v>36</v>
      </c>
      <c r="L2330" t="s">
        <v>40</v>
      </c>
      <c r="M2330" t="s">
        <v>20</v>
      </c>
      <c r="N2330">
        <v>10</v>
      </c>
      <c r="O2330">
        <v>1</v>
      </c>
      <c r="P2330">
        <v>5411.64</v>
      </c>
      <c r="Q2330">
        <v>0</v>
      </c>
    </row>
    <row r="2331" spans="7:17" x14ac:dyDescent="0.25">
      <c r="G2331" t="str">
        <f t="shared" si="36"/>
        <v/>
      </c>
      <c r="H2331" t="s">
        <v>47</v>
      </c>
      <c r="I2331" t="s">
        <v>10</v>
      </c>
      <c r="J2331" t="s">
        <v>7</v>
      </c>
      <c r="K2331" t="s">
        <v>36</v>
      </c>
      <c r="L2331" t="s">
        <v>41</v>
      </c>
      <c r="M2331" t="s">
        <v>20</v>
      </c>
      <c r="N2331">
        <v>7</v>
      </c>
      <c r="O2331">
        <v>4</v>
      </c>
      <c r="P2331">
        <v>3347.7400000000002</v>
      </c>
      <c r="Q2331">
        <v>0</v>
      </c>
    </row>
    <row r="2332" spans="7:17" x14ac:dyDescent="0.25">
      <c r="G2332" t="str">
        <f t="shared" si="36"/>
        <v/>
      </c>
      <c r="H2332" t="s">
        <v>47</v>
      </c>
      <c r="I2332" t="s">
        <v>10</v>
      </c>
      <c r="J2332" t="s">
        <v>7</v>
      </c>
      <c r="K2332" t="s">
        <v>36</v>
      </c>
      <c r="L2332" t="s">
        <v>45</v>
      </c>
      <c r="M2332" t="s">
        <v>19</v>
      </c>
      <c r="N2332">
        <v>1</v>
      </c>
      <c r="O2332">
        <v>1</v>
      </c>
      <c r="P2332">
        <v>2009.74</v>
      </c>
      <c r="Q2332">
        <v>2009.7400000000002</v>
      </c>
    </row>
    <row r="2333" spans="7:17" x14ac:dyDescent="0.25">
      <c r="G2333" t="str">
        <f t="shared" si="36"/>
        <v/>
      </c>
      <c r="H2333" t="s">
        <v>47</v>
      </c>
      <c r="I2333" t="s">
        <v>10</v>
      </c>
      <c r="J2333" t="s">
        <v>7</v>
      </c>
      <c r="K2333" t="s">
        <v>36</v>
      </c>
      <c r="L2333" t="s">
        <v>45</v>
      </c>
      <c r="M2333" t="s">
        <v>20</v>
      </c>
      <c r="N2333">
        <v>51</v>
      </c>
      <c r="O2333">
        <v>25</v>
      </c>
      <c r="P2333">
        <v>31811.89</v>
      </c>
      <c r="Q2333">
        <v>0</v>
      </c>
    </row>
    <row r="2334" spans="7:17" x14ac:dyDescent="0.25">
      <c r="G2334" t="str">
        <f t="shared" si="36"/>
        <v/>
      </c>
      <c r="H2334" t="s">
        <v>47</v>
      </c>
      <c r="I2334" t="s">
        <v>10</v>
      </c>
      <c r="J2334" t="s">
        <v>7</v>
      </c>
      <c r="K2334" t="s">
        <v>37</v>
      </c>
      <c r="L2334" t="s">
        <v>42</v>
      </c>
      <c r="M2334" t="s">
        <v>19</v>
      </c>
      <c r="N2334">
        <v>154</v>
      </c>
      <c r="O2334">
        <v>73</v>
      </c>
      <c r="P2334">
        <v>69341.640000000029</v>
      </c>
      <c r="Q2334">
        <v>67943.040000000037</v>
      </c>
    </row>
    <row r="2335" spans="7:17" x14ac:dyDescent="0.25">
      <c r="G2335" t="str">
        <f t="shared" si="36"/>
        <v/>
      </c>
      <c r="H2335" t="s">
        <v>47</v>
      </c>
      <c r="I2335" t="s">
        <v>10</v>
      </c>
      <c r="J2335" t="s">
        <v>7</v>
      </c>
      <c r="K2335" t="s">
        <v>37</v>
      </c>
      <c r="L2335" t="s">
        <v>42</v>
      </c>
      <c r="M2335" t="s">
        <v>20</v>
      </c>
      <c r="N2335">
        <v>195</v>
      </c>
      <c r="O2335">
        <v>66</v>
      </c>
      <c r="P2335">
        <v>44908.060000000012</v>
      </c>
      <c r="Q2335">
        <v>0</v>
      </c>
    </row>
    <row r="2336" spans="7:17" x14ac:dyDescent="0.25">
      <c r="G2336" t="str">
        <f t="shared" si="36"/>
        <v/>
      </c>
      <c r="H2336" t="s">
        <v>47</v>
      </c>
      <c r="I2336" t="s">
        <v>10</v>
      </c>
      <c r="J2336" t="s">
        <v>7</v>
      </c>
      <c r="K2336" t="s">
        <v>37</v>
      </c>
      <c r="L2336" t="s">
        <v>43</v>
      </c>
      <c r="M2336" t="s">
        <v>19</v>
      </c>
      <c r="N2336">
        <v>34</v>
      </c>
      <c r="O2336">
        <v>17</v>
      </c>
      <c r="P2336">
        <v>32519.219999999987</v>
      </c>
      <c r="Q2336">
        <v>27853.76999999999</v>
      </c>
    </row>
    <row r="2337" spans="7:17" x14ac:dyDescent="0.25">
      <c r="G2337" t="str">
        <f t="shared" si="36"/>
        <v/>
      </c>
      <c r="H2337" t="s">
        <v>47</v>
      </c>
      <c r="I2337" t="s">
        <v>10</v>
      </c>
      <c r="J2337" t="s">
        <v>7</v>
      </c>
      <c r="K2337" t="s">
        <v>37</v>
      </c>
      <c r="L2337" t="s">
        <v>43</v>
      </c>
      <c r="M2337" t="s">
        <v>20</v>
      </c>
      <c r="N2337">
        <v>27</v>
      </c>
      <c r="O2337">
        <v>17</v>
      </c>
      <c r="P2337">
        <v>19812.29</v>
      </c>
      <c r="Q2337">
        <v>0</v>
      </c>
    </row>
    <row r="2338" spans="7:17" x14ac:dyDescent="0.25">
      <c r="G2338" t="str">
        <f t="shared" si="36"/>
        <v/>
      </c>
      <c r="H2338" t="s">
        <v>47</v>
      </c>
      <c r="I2338" t="s">
        <v>10</v>
      </c>
      <c r="J2338" t="s">
        <v>7</v>
      </c>
      <c r="K2338" t="s">
        <v>37</v>
      </c>
      <c r="L2338" t="s">
        <v>44</v>
      </c>
      <c r="M2338" t="s">
        <v>19</v>
      </c>
      <c r="N2338">
        <v>3</v>
      </c>
      <c r="O2338">
        <v>2</v>
      </c>
      <c r="P2338">
        <v>3435.4700000000003</v>
      </c>
      <c r="Q2338">
        <v>1455.42</v>
      </c>
    </row>
    <row r="2339" spans="7:17" x14ac:dyDescent="0.25">
      <c r="G2339" t="str">
        <f t="shared" si="36"/>
        <v/>
      </c>
      <c r="H2339" t="s">
        <v>47</v>
      </c>
      <c r="I2339" t="s">
        <v>10</v>
      </c>
      <c r="J2339" t="s">
        <v>7</v>
      </c>
      <c r="K2339" t="s">
        <v>37</v>
      </c>
      <c r="L2339" t="s">
        <v>44</v>
      </c>
      <c r="M2339" t="s">
        <v>20</v>
      </c>
      <c r="N2339">
        <v>22</v>
      </c>
      <c r="O2339">
        <v>13</v>
      </c>
      <c r="P2339">
        <v>17918.86</v>
      </c>
      <c r="Q2339">
        <v>0</v>
      </c>
    </row>
    <row r="2340" spans="7:17" x14ac:dyDescent="0.25">
      <c r="G2340" t="str">
        <f t="shared" si="36"/>
        <v/>
      </c>
      <c r="H2340" t="s">
        <v>47</v>
      </c>
      <c r="I2340" t="s">
        <v>10</v>
      </c>
      <c r="J2340" t="s">
        <v>7</v>
      </c>
      <c r="K2340" t="s">
        <v>37</v>
      </c>
      <c r="L2340" t="s">
        <v>39</v>
      </c>
      <c r="M2340" t="s">
        <v>20</v>
      </c>
      <c r="N2340">
        <v>12</v>
      </c>
      <c r="O2340">
        <v>10</v>
      </c>
      <c r="P2340">
        <v>11564.970000000003</v>
      </c>
      <c r="Q2340">
        <v>0</v>
      </c>
    </row>
    <row r="2341" spans="7:17" x14ac:dyDescent="0.25">
      <c r="G2341" t="str">
        <f t="shared" si="36"/>
        <v/>
      </c>
      <c r="H2341" t="s">
        <v>47</v>
      </c>
      <c r="I2341" t="s">
        <v>10</v>
      </c>
      <c r="J2341" t="s">
        <v>7</v>
      </c>
      <c r="K2341" t="s">
        <v>37</v>
      </c>
      <c r="L2341" t="s">
        <v>40</v>
      </c>
      <c r="M2341" t="s">
        <v>20</v>
      </c>
      <c r="N2341">
        <v>10</v>
      </c>
      <c r="O2341">
        <v>6</v>
      </c>
      <c r="P2341">
        <v>6777.5899999999992</v>
      </c>
      <c r="Q2341">
        <v>0</v>
      </c>
    </row>
    <row r="2342" spans="7:17" x14ac:dyDescent="0.25">
      <c r="G2342" t="str">
        <f t="shared" si="36"/>
        <v/>
      </c>
      <c r="H2342" t="s">
        <v>47</v>
      </c>
      <c r="I2342" t="s">
        <v>10</v>
      </c>
      <c r="J2342" t="s">
        <v>7</v>
      </c>
      <c r="K2342" t="s">
        <v>37</v>
      </c>
      <c r="L2342" t="s">
        <v>41</v>
      </c>
      <c r="M2342" t="s">
        <v>20</v>
      </c>
      <c r="N2342">
        <v>3</v>
      </c>
      <c r="O2342">
        <v>2</v>
      </c>
      <c r="P2342">
        <v>2144.02</v>
      </c>
      <c r="Q2342">
        <v>0</v>
      </c>
    </row>
    <row r="2343" spans="7:17" x14ac:dyDescent="0.25">
      <c r="G2343" t="str">
        <f t="shared" si="36"/>
        <v/>
      </c>
      <c r="H2343" t="s">
        <v>47</v>
      </c>
      <c r="I2343" t="s">
        <v>10</v>
      </c>
      <c r="J2343" t="s">
        <v>7</v>
      </c>
      <c r="K2343" t="s">
        <v>37</v>
      </c>
      <c r="L2343" t="s">
        <v>45</v>
      </c>
      <c r="M2343" t="s">
        <v>20</v>
      </c>
      <c r="N2343">
        <v>138</v>
      </c>
      <c r="O2343">
        <v>50</v>
      </c>
      <c r="P2343">
        <v>87681.059999999983</v>
      </c>
      <c r="Q2343">
        <v>0</v>
      </c>
    </row>
    <row r="2344" spans="7:17" x14ac:dyDescent="0.25">
      <c r="G2344" t="str">
        <f t="shared" si="36"/>
        <v/>
      </c>
      <c r="H2344" t="s">
        <v>47</v>
      </c>
      <c r="I2344" t="s">
        <v>10</v>
      </c>
      <c r="J2344" t="s">
        <v>7</v>
      </c>
      <c r="K2344" t="s">
        <v>38</v>
      </c>
      <c r="L2344" t="s">
        <v>42</v>
      </c>
      <c r="M2344" t="s">
        <v>19</v>
      </c>
      <c r="N2344">
        <v>71</v>
      </c>
      <c r="O2344">
        <v>22</v>
      </c>
      <c r="P2344">
        <v>33354.299999999996</v>
      </c>
      <c r="Q2344">
        <v>32197.429999999997</v>
      </c>
    </row>
    <row r="2345" spans="7:17" x14ac:dyDescent="0.25">
      <c r="G2345" t="str">
        <f t="shared" si="36"/>
        <v/>
      </c>
      <c r="H2345" t="s">
        <v>47</v>
      </c>
      <c r="I2345" t="s">
        <v>10</v>
      </c>
      <c r="J2345" t="s">
        <v>7</v>
      </c>
      <c r="K2345" t="s">
        <v>38</v>
      </c>
      <c r="L2345" t="s">
        <v>42</v>
      </c>
      <c r="M2345" t="s">
        <v>20</v>
      </c>
      <c r="N2345">
        <v>92</v>
      </c>
      <c r="O2345">
        <v>28</v>
      </c>
      <c r="P2345">
        <v>29645.900000000009</v>
      </c>
      <c r="Q2345">
        <v>0</v>
      </c>
    </row>
    <row r="2346" spans="7:17" x14ac:dyDescent="0.25">
      <c r="G2346" t="str">
        <f t="shared" si="36"/>
        <v/>
      </c>
      <c r="H2346" t="s">
        <v>47</v>
      </c>
      <c r="I2346" t="s">
        <v>10</v>
      </c>
      <c r="J2346" t="s">
        <v>7</v>
      </c>
      <c r="K2346" t="s">
        <v>38</v>
      </c>
      <c r="L2346" t="s">
        <v>43</v>
      </c>
      <c r="M2346" t="s">
        <v>19</v>
      </c>
      <c r="N2346">
        <v>5</v>
      </c>
      <c r="O2346">
        <v>5</v>
      </c>
      <c r="P2346">
        <v>4413.18</v>
      </c>
      <c r="Q2346">
        <v>3070.6800000000003</v>
      </c>
    </row>
    <row r="2347" spans="7:17" x14ac:dyDescent="0.25">
      <c r="G2347" t="str">
        <f t="shared" si="36"/>
        <v/>
      </c>
      <c r="H2347" t="s">
        <v>47</v>
      </c>
      <c r="I2347" t="s">
        <v>10</v>
      </c>
      <c r="J2347" t="s">
        <v>7</v>
      </c>
      <c r="K2347" t="s">
        <v>38</v>
      </c>
      <c r="L2347" t="s">
        <v>43</v>
      </c>
      <c r="M2347" t="s">
        <v>20</v>
      </c>
      <c r="N2347">
        <v>36</v>
      </c>
      <c r="O2347">
        <v>16</v>
      </c>
      <c r="P2347">
        <v>23883.360000000001</v>
      </c>
      <c r="Q2347">
        <v>0</v>
      </c>
    </row>
    <row r="2348" spans="7:17" x14ac:dyDescent="0.25">
      <c r="G2348" t="str">
        <f t="shared" si="36"/>
        <v/>
      </c>
      <c r="H2348" t="s">
        <v>47</v>
      </c>
      <c r="I2348" t="s">
        <v>10</v>
      </c>
      <c r="J2348" t="s">
        <v>7</v>
      </c>
      <c r="K2348" t="s">
        <v>38</v>
      </c>
      <c r="L2348" t="s">
        <v>44</v>
      </c>
      <c r="M2348" t="s">
        <v>19</v>
      </c>
      <c r="N2348">
        <v>15</v>
      </c>
      <c r="O2348">
        <v>2</v>
      </c>
      <c r="P2348">
        <v>19215.860000000004</v>
      </c>
      <c r="Q2348">
        <v>16626.11</v>
      </c>
    </row>
    <row r="2349" spans="7:17" x14ac:dyDescent="0.25">
      <c r="G2349" t="str">
        <f t="shared" si="36"/>
        <v/>
      </c>
      <c r="H2349" t="s">
        <v>47</v>
      </c>
      <c r="I2349" t="s">
        <v>10</v>
      </c>
      <c r="J2349" t="s">
        <v>7</v>
      </c>
      <c r="K2349" t="s">
        <v>38</v>
      </c>
      <c r="L2349" t="s">
        <v>44</v>
      </c>
      <c r="M2349" t="s">
        <v>20</v>
      </c>
      <c r="N2349">
        <v>11</v>
      </c>
      <c r="O2349">
        <v>7</v>
      </c>
      <c r="P2349">
        <v>9190.9599999999991</v>
      </c>
      <c r="Q2349">
        <v>0</v>
      </c>
    </row>
    <row r="2350" spans="7:17" x14ac:dyDescent="0.25">
      <c r="G2350" t="str">
        <f t="shared" si="36"/>
        <v/>
      </c>
      <c r="H2350" t="s">
        <v>47</v>
      </c>
      <c r="I2350" t="s">
        <v>10</v>
      </c>
      <c r="J2350" t="s">
        <v>7</v>
      </c>
      <c r="K2350" t="s">
        <v>38</v>
      </c>
      <c r="L2350" t="s">
        <v>39</v>
      </c>
      <c r="M2350" t="s">
        <v>19</v>
      </c>
      <c r="N2350">
        <v>1</v>
      </c>
      <c r="O2350">
        <v>1</v>
      </c>
      <c r="P2350">
        <v>1070.3699999999999</v>
      </c>
      <c r="Q2350">
        <v>720</v>
      </c>
    </row>
    <row r="2351" spans="7:17" x14ac:dyDescent="0.25">
      <c r="G2351" t="str">
        <f t="shared" si="36"/>
        <v/>
      </c>
      <c r="H2351" t="s">
        <v>47</v>
      </c>
      <c r="I2351" t="s">
        <v>10</v>
      </c>
      <c r="J2351" t="s">
        <v>7</v>
      </c>
      <c r="K2351" t="s">
        <v>38</v>
      </c>
      <c r="L2351" t="s">
        <v>39</v>
      </c>
      <c r="M2351" t="s">
        <v>20</v>
      </c>
      <c r="N2351">
        <v>20</v>
      </c>
      <c r="O2351">
        <v>17</v>
      </c>
      <c r="P2351">
        <v>14325.51</v>
      </c>
      <c r="Q2351">
        <v>0</v>
      </c>
    </row>
    <row r="2352" spans="7:17" x14ac:dyDescent="0.25">
      <c r="G2352" t="str">
        <f t="shared" si="36"/>
        <v/>
      </c>
      <c r="H2352" t="s">
        <v>47</v>
      </c>
      <c r="I2352" t="s">
        <v>10</v>
      </c>
      <c r="J2352" t="s">
        <v>7</v>
      </c>
      <c r="K2352" t="s">
        <v>38</v>
      </c>
      <c r="L2352" t="s">
        <v>40</v>
      </c>
      <c r="M2352" t="s">
        <v>19</v>
      </c>
      <c r="N2352">
        <v>1</v>
      </c>
      <c r="O2352">
        <v>0</v>
      </c>
      <c r="P2352">
        <v>1111.67</v>
      </c>
      <c r="Q2352">
        <v>1111</v>
      </c>
    </row>
    <row r="2353" spans="7:17" x14ac:dyDescent="0.25">
      <c r="G2353" t="str">
        <f t="shared" si="36"/>
        <v/>
      </c>
      <c r="H2353" t="s">
        <v>47</v>
      </c>
      <c r="I2353" t="s">
        <v>10</v>
      </c>
      <c r="J2353" t="s">
        <v>7</v>
      </c>
      <c r="K2353" t="s">
        <v>38</v>
      </c>
      <c r="L2353" t="s">
        <v>40</v>
      </c>
      <c r="M2353" t="s">
        <v>20</v>
      </c>
      <c r="N2353">
        <v>12</v>
      </c>
      <c r="O2353">
        <v>3</v>
      </c>
      <c r="P2353">
        <v>10254.34</v>
      </c>
      <c r="Q2353">
        <v>0</v>
      </c>
    </row>
    <row r="2354" spans="7:17" x14ac:dyDescent="0.25">
      <c r="G2354" t="str">
        <f t="shared" si="36"/>
        <v/>
      </c>
      <c r="H2354" t="s">
        <v>47</v>
      </c>
      <c r="I2354" t="s">
        <v>10</v>
      </c>
      <c r="J2354" t="s">
        <v>7</v>
      </c>
      <c r="K2354" t="s">
        <v>38</v>
      </c>
      <c r="L2354" t="s">
        <v>41</v>
      </c>
      <c r="M2354" t="s">
        <v>20</v>
      </c>
      <c r="N2354">
        <v>7</v>
      </c>
      <c r="O2354">
        <v>2</v>
      </c>
      <c r="P2354">
        <v>6755.72</v>
      </c>
      <c r="Q2354">
        <v>0</v>
      </c>
    </row>
    <row r="2355" spans="7:17" x14ac:dyDescent="0.25">
      <c r="G2355" t="str">
        <f t="shared" si="36"/>
        <v/>
      </c>
      <c r="H2355" t="s">
        <v>47</v>
      </c>
      <c r="I2355" t="s">
        <v>10</v>
      </c>
      <c r="J2355" t="s">
        <v>7</v>
      </c>
      <c r="K2355" t="s">
        <v>38</v>
      </c>
      <c r="L2355" t="s">
        <v>45</v>
      </c>
      <c r="M2355" t="s">
        <v>20</v>
      </c>
      <c r="N2355">
        <v>101</v>
      </c>
      <c r="O2355">
        <v>30</v>
      </c>
      <c r="P2355">
        <v>92848.22000000003</v>
      </c>
      <c r="Q2355">
        <v>0</v>
      </c>
    </row>
    <row r="2356" spans="7:17" x14ac:dyDescent="0.25">
      <c r="G2356" t="str">
        <f t="shared" si="36"/>
        <v/>
      </c>
      <c r="H2356" t="s">
        <v>47</v>
      </c>
      <c r="I2356" t="s">
        <v>10</v>
      </c>
      <c r="J2356" t="s">
        <v>4</v>
      </c>
      <c r="K2356" t="s">
        <v>23</v>
      </c>
      <c r="L2356" t="s">
        <v>42</v>
      </c>
      <c r="M2356" t="s">
        <v>19</v>
      </c>
      <c r="N2356">
        <v>423</v>
      </c>
      <c r="O2356">
        <v>118</v>
      </c>
      <c r="P2356">
        <v>239497.18000000011</v>
      </c>
      <c r="Q2356">
        <v>237954.65000000011</v>
      </c>
    </row>
    <row r="2357" spans="7:17" x14ac:dyDescent="0.25">
      <c r="G2357" t="str">
        <f t="shared" si="36"/>
        <v/>
      </c>
      <c r="H2357" t="s">
        <v>47</v>
      </c>
      <c r="I2357" t="s">
        <v>10</v>
      </c>
      <c r="J2357" t="s">
        <v>4</v>
      </c>
      <c r="K2357" t="s">
        <v>23</v>
      </c>
      <c r="L2357" t="s">
        <v>42</v>
      </c>
      <c r="M2357" t="s">
        <v>20</v>
      </c>
      <c r="N2357">
        <v>179</v>
      </c>
      <c r="O2357">
        <v>66</v>
      </c>
      <c r="P2357">
        <v>56706.559999999998</v>
      </c>
      <c r="Q2357">
        <v>0</v>
      </c>
    </row>
    <row r="2358" spans="7:17" x14ac:dyDescent="0.25">
      <c r="G2358" t="str">
        <f t="shared" si="36"/>
        <v/>
      </c>
      <c r="H2358" t="s">
        <v>47</v>
      </c>
      <c r="I2358" t="s">
        <v>10</v>
      </c>
      <c r="J2358" t="s">
        <v>4</v>
      </c>
      <c r="K2358" t="s">
        <v>23</v>
      </c>
      <c r="L2358" t="s">
        <v>43</v>
      </c>
      <c r="M2358" t="s">
        <v>19</v>
      </c>
      <c r="N2358">
        <v>36</v>
      </c>
      <c r="O2358">
        <v>20</v>
      </c>
      <c r="P2358">
        <v>31758.990000000013</v>
      </c>
      <c r="Q2358">
        <v>20280.38</v>
      </c>
    </row>
    <row r="2359" spans="7:17" x14ac:dyDescent="0.25">
      <c r="G2359" t="str">
        <f t="shared" si="36"/>
        <v/>
      </c>
      <c r="H2359" t="s">
        <v>47</v>
      </c>
      <c r="I2359" t="s">
        <v>10</v>
      </c>
      <c r="J2359" t="s">
        <v>4</v>
      </c>
      <c r="K2359" t="s">
        <v>23</v>
      </c>
      <c r="L2359" t="s">
        <v>43</v>
      </c>
      <c r="M2359" t="s">
        <v>20</v>
      </c>
      <c r="N2359">
        <v>57</v>
      </c>
      <c r="O2359">
        <v>27</v>
      </c>
      <c r="P2359">
        <v>140571.13999999998</v>
      </c>
      <c r="Q2359">
        <v>0</v>
      </c>
    </row>
    <row r="2360" spans="7:17" x14ac:dyDescent="0.25">
      <c r="G2360" t="str">
        <f t="shared" si="36"/>
        <v/>
      </c>
      <c r="H2360" t="s">
        <v>47</v>
      </c>
      <c r="I2360" t="s">
        <v>10</v>
      </c>
      <c r="J2360" t="s">
        <v>4</v>
      </c>
      <c r="K2360" t="s">
        <v>23</v>
      </c>
      <c r="L2360" t="s">
        <v>44</v>
      </c>
      <c r="M2360" t="s">
        <v>19</v>
      </c>
      <c r="N2360">
        <v>57</v>
      </c>
      <c r="O2360">
        <v>32</v>
      </c>
      <c r="P2360">
        <v>63526.009999999995</v>
      </c>
      <c r="Q2360">
        <v>22931.88</v>
      </c>
    </row>
    <row r="2361" spans="7:17" x14ac:dyDescent="0.25">
      <c r="G2361" t="str">
        <f t="shared" si="36"/>
        <v/>
      </c>
      <c r="H2361" t="s">
        <v>47</v>
      </c>
      <c r="I2361" t="s">
        <v>10</v>
      </c>
      <c r="J2361" t="s">
        <v>4</v>
      </c>
      <c r="K2361" t="s">
        <v>23</v>
      </c>
      <c r="L2361" t="s">
        <v>44</v>
      </c>
      <c r="M2361" t="s">
        <v>20</v>
      </c>
      <c r="N2361">
        <v>26</v>
      </c>
      <c r="O2361">
        <v>18</v>
      </c>
      <c r="P2361">
        <v>19962.59</v>
      </c>
      <c r="Q2361">
        <v>0</v>
      </c>
    </row>
    <row r="2362" spans="7:17" x14ac:dyDescent="0.25">
      <c r="G2362" t="str">
        <f t="shared" si="36"/>
        <v/>
      </c>
      <c r="H2362" t="s">
        <v>47</v>
      </c>
      <c r="I2362" t="s">
        <v>10</v>
      </c>
      <c r="J2362" t="s">
        <v>4</v>
      </c>
      <c r="K2362" t="s">
        <v>23</v>
      </c>
      <c r="L2362" t="s">
        <v>39</v>
      </c>
      <c r="M2362" t="s">
        <v>19</v>
      </c>
      <c r="N2362">
        <v>9</v>
      </c>
      <c r="O2362">
        <v>3</v>
      </c>
      <c r="P2362">
        <v>9274.01</v>
      </c>
      <c r="Q2362">
        <v>5696.16</v>
      </c>
    </row>
    <row r="2363" spans="7:17" x14ac:dyDescent="0.25">
      <c r="G2363" t="str">
        <f t="shared" si="36"/>
        <v/>
      </c>
      <c r="H2363" t="s">
        <v>47</v>
      </c>
      <c r="I2363" t="s">
        <v>10</v>
      </c>
      <c r="J2363" t="s">
        <v>4</v>
      </c>
      <c r="K2363" t="s">
        <v>23</v>
      </c>
      <c r="L2363" t="s">
        <v>39</v>
      </c>
      <c r="M2363" t="s">
        <v>20</v>
      </c>
      <c r="N2363">
        <v>38</v>
      </c>
      <c r="O2363">
        <v>26</v>
      </c>
      <c r="P2363">
        <v>37324.200000000004</v>
      </c>
      <c r="Q2363">
        <v>0</v>
      </c>
    </row>
    <row r="2364" spans="7:17" x14ac:dyDescent="0.25">
      <c r="G2364" t="str">
        <f t="shared" si="36"/>
        <v/>
      </c>
      <c r="H2364" t="s">
        <v>47</v>
      </c>
      <c r="I2364" t="s">
        <v>10</v>
      </c>
      <c r="J2364" t="s">
        <v>4</v>
      </c>
      <c r="K2364" t="s">
        <v>23</v>
      </c>
      <c r="L2364" t="s">
        <v>40</v>
      </c>
      <c r="M2364" t="s">
        <v>19</v>
      </c>
      <c r="N2364">
        <v>1</v>
      </c>
      <c r="O2364">
        <v>0</v>
      </c>
      <c r="P2364">
        <v>1599.52</v>
      </c>
      <c r="Q2364">
        <v>1071.68</v>
      </c>
    </row>
    <row r="2365" spans="7:17" x14ac:dyDescent="0.25">
      <c r="G2365" t="str">
        <f t="shared" si="36"/>
        <v/>
      </c>
      <c r="H2365" t="s">
        <v>47</v>
      </c>
      <c r="I2365" t="s">
        <v>10</v>
      </c>
      <c r="J2365" t="s">
        <v>4</v>
      </c>
      <c r="K2365" t="s">
        <v>23</v>
      </c>
      <c r="L2365" t="s">
        <v>40</v>
      </c>
      <c r="M2365" t="s">
        <v>20</v>
      </c>
      <c r="N2365">
        <v>34</v>
      </c>
      <c r="O2365">
        <v>8</v>
      </c>
      <c r="P2365">
        <v>31472.650000000005</v>
      </c>
      <c r="Q2365">
        <v>0</v>
      </c>
    </row>
    <row r="2366" spans="7:17" x14ac:dyDescent="0.25">
      <c r="G2366" t="str">
        <f t="shared" si="36"/>
        <v/>
      </c>
      <c r="H2366" t="s">
        <v>47</v>
      </c>
      <c r="I2366" t="s">
        <v>10</v>
      </c>
      <c r="J2366" t="s">
        <v>4</v>
      </c>
      <c r="K2366" t="s">
        <v>23</v>
      </c>
      <c r="L2366" t="s">
        <v>41</v>
      </c>
      <c r="M2366" t="s">
        <v>19</v>
      </c>
      <c r="N2366">
        <v>1</v>
      </c>
      <c r="O2366">
        <v>0</v>
      </c>
      <c r="P2366">
        <v>903.42</v>
      </c>
      <c r="Q2366">
        <v>900</v>
      </c>
    </row>
    <row r="2367" spans="7:17" x14ac:dyDescent="0.25">
      <c r="G2367" t="str">
        <f t="shared" si="36"/>
        <v/>
      </c>
      <c r="H2367" t="s">
        <v>47</v>
      </c>
      <c r="I2367" t="s">
        <v>10</v>
      </c>
      <c r="J2367" t="s">
        <v>4</v>
      </c>
      <c r="K2367" t="s">
        <v>23</v>
      </c>
      <c r="L2367" t="s">
        <v>41</v>
      </c>
      <c r="M2367" t="s">
        <v>20</v>
      </c>
      <c r="N2367">
        <v>20</v>
      </c>
      <c r="O2367">
        <v>4</v>
      </c>
      <c r="P2367">
        <v>20614.730000000007</v>
      </c>
      <c r="Q2367">
        <v>0</v>
      </c>
    </row>
    <row r="2368" spans="7:17" x14ac:dyDescent="0.25">
      <c r="G2368" t="str">
        <f t="shared" si="36"/>
        <v/>
      </c>
      <c r="H2368" t="s">
        <v>47</v>
      </c>
      <c r="I2368" t="s">
        <v>10</v>
      </c>
      <c r="J2368" t="s">
        <v>4</v>
      </c>
      <c r="K2368" t="s">
        <v>23</v>
      </c>
      <c r="L2368" t="s">
        <v>45</v>
      </c>
      <c r="M2368" t="s">
        <v>19</v>
      </c>
      <c r="N2368">
        <v>5</v>
      </c>
      <c r="O2368">
        <v>3</v>
      </c>
      <c r="P2368">
        <v>5885.9</v>
      </c>
      <c r="Q2368">
        <v>1126.31</v>
      </c>
    </row>
    <row r="2369" spans="7:17" x14ac:dyDescent="0.25">
      <c r="G2369" t="str">
        <f t="shared" si="36"/>
        <v/>
      </c>
      <c r="H2369" t="s">
        <v>47</v>
      </c>
      <c r="I2369" t="s">
        <v>10</v>
      </c>
      <c r="J2369" t="s">
        <v>4</v>
      </c>
      <c r="K2369" t="s">
        <v>23</v>
      </c>
      <c r="L2369" t="s">
        <v>45</v>
      </c>
      <c r="M2369" t="s">
        <v>20</v>
      </c>
      <c r="N2369">
        <v>233</v>
      </c>
      <c r="O2369">
        <v>87</v>
      </c>
      <c r="P2369">
        <v>223365.87999999986</v>
      </c>
      <c r="Q2369">
        <v>0</v>
      </c>
    </row>
    <row r="2370" spans="7:17" x14ac:dyDescent="0.25">
      <c r="G2370" t="str">
        <f t="shared" ref="G2370:G2433" si="37">IF(G$1="Overall","Overall",IF(G$1=L2370,L2370,""))</f>
        <v/>
      </c>
      <c r="H2370" t="s">
        <v>47</v>
      </c>
      <c r="I2370" t="s">
        <v>10</v>
      </c>
      <c r="J2370" t="s">
        <v>4</v>
      </c>
      <c r="K2370" t="s">
        <v>24</v>
      </c>
      <c r="L2370" t="s">
        <v>42</v>
      </c>
      <c r="M2370" t="s">
        <v>19</v>
      </c>
      <c r="N2370">
        <v>99</v>
      </c>
      <c r="O2370">
        <v>23</v>
      </c>
      <c r="P2370">
        <v>55425.930000000022</v>
      </c>
      <c r="Q2370">
        <v>54345.560000000012</v>
      </c>
    </row>
    <row r="2371" spans="7:17" x14ac:dyDescent="0.25">
      <c r="G2371" t="str">
        <f t="shared" si="37"/>
        <v/>
      </c>
      <c r="H2371" t="s">
        <v>47</v>
      </c>
      <c r="I2371" t="s">
        <v>10</v>
      </c>
      <c r="J2371" t="s">
        <v>4</v>
      </c>
      <c r="K2371" t="s">
        <v>24</v>
      </c>
      <c r="L2371" t="s">
        <v>42</v>
      </c>
      <c r="M2371" t="s">
        <v>20</v>
      </c>
      <c r="N2371">
        <v>39</v>
      </c>
      <c r="O2371">
        <v>9</v>
      </c>
      <c r="P2371">
        <v>8297.5300000000007</v>
      </c>
      <c r="Q2371">
        <v>0</v>
      </c>
    </row>
    <row r="2372" spans="7:17" x14ac:dyDescent="0.25">
      <c r="G2372" t="str">
        <f t="shared" si="37"/>
        <v/>
      </c>
      <c r="H2372" t="s">
        <v>47</v>
      </c>
      <c r="I2372" t="s">
        <v>10</v>
      </c>
      <c r="J2372" t="s">
        <v>4</v>
      </c>
      <c r="K2372" t="s">
        <v>24</v>
      </c>
      <c r="L2372" t="s">
        <v>43</v>
      </c>
      <c r="M2372" t="s">
        <v>19</v>
      </c>
      <c r="N2372">
        <v>13</v>
      </c>
      <c r="O2372">
        <v>5</v>
      </c>
      <c r="P2372">
        <v>9814.98</v>
      </c>
      <c r="Q2372">
        <v>6620.43</v>
      </c>
    </row>
    <row r="2373" spans="7:17" x14ac:dyDescent="0.25">
      <c r="G2373" t="str">
        <f t="shared" si="37"/>
        <v/>
      </c>
      <c r="H2373" t="s">
        <v>47</v>
      </c>
      <c r="I2373" t="s">
        <v>10</v>
      </c>
      <c r="J2373" t="s">
        <v>4</v>
      </c>
      <c r="K2373" t="s">
        <v>24</v>
      </c>
      <c r="L2373" t="s">
        <v>43</v>
      </c>
      <c r="M2373" t="s">
        <v>20</v>
      </c>
      <c r="N2373">
        <v>12</v>
      </c>
      <c r="O2373">
        <v>6</v>
      </c>
      <c r="P2373">
        <v>7929.4800000000005</v>
      </c>
      <c r="Q2373">
        <v>0</v>
      </c>
    </row>
    <row r="2374" spans="7:17" x14ac:dyDescent="0.25">
      <c r="G2374" t="str">
        <f t="shared" si="37"/>
        <v/>
      </c>
      <c r="H2374" t="s">
        <v>47</v>
      </c>
      <c r="I2374" t="s">
        <v>10</v>
      </c>
      <c r="J2374" t="s">
        <v>4</v>
      </c>
      <c r="K2374" t="s">
        <v>24</v>
      </c>
      <c r="L2374" t="s">
        <v>44</v>
      </c>
      <c r="M2374" t="s">
        <v>19</v>
      </c>
      <c r="N2374">
        <v>12</v>
      </c>
      <c r="O2374">
        <v>8</v>
      </c>
      <c r="P2374">
        <v>21479.469999999994</v>
      </c>
      <c r="Q2374">
        <v>5276.9</v>
      </c>
    </row>
    <row r="2375" spans="7:17" x14ac:dyDescent="0.25">
      <c r="G2375" t="str">
        <f t="shared" si="37"/>
        <v/>
      </c>
      <c r="H2375" t="s">
        <v>47</v>
      </c>
      <c r="I2375" t="s">
        <v>10</v>
      </c>
      <c r="J2375" t="s">
        <v>4</v>
      </c>
      <c r="K2375" t="s">
        <v>24</v>
      </c>
      <c r="L2375" t="s">
        <v>44</v>
      </c>
      <c r="M2375" t="s">
        <v>20</v>
      </c>
      <c r="N2375">
        <v>12</v>
      </c>
      <c r="O2375">
        <v>7</v>
      </c>
      <c r="P2375">
        <v>12274.56</v>
      </c>
      <c r="Q2375">
        <v>0</v>
      </c>
    </row>
    <row r="2376" spans="7:17" x14ac:dyDescent="0.25">
      <c r="G2376" t="str">
        <f t="shared" si="37"/>
        <v/>
      </c>
      <c r="H2376" t="s">
        <v>47</v>
      </c>
      <c r="I2376" t="s">
        <v>10</v>
      </c>
      <c r="J2376" t="s">
        <v>4</v>
      </c>
      <c r="K2376" t="s">
        <v>24</v>
      </c>
      <c r="L2376" t="s">
        <v>39</v>
      </c>
      <c r="M2376" t="s">
        <v>19</v>
      </c>
      <c r="N2376">
        <v>1</v>
      </c>
      <c r="O2376">
        <v>1</v>
      </c>
      <c r="P2376">
        <v>1217.44</v>
      </c>
      <c r="Q2376">
        <v>1217.44</v>
      </c>
    </row>
    <row r="2377" spans="7:17" x14ac:dyDescent="0.25">
      <c r="G2377" t="str">
        <f t="shared" si="37"/>
        <v/>
      </c>
      <c r="H2377" t="s">
        <v>47</v>
      </c>
      <c r="I2377" t="s">
        <v>10</v>
      </c>
      <c r="J2377" t="s">
        <v>4</v>
      </c>
      <c r="K2377" t="s">
        <v>24</v>
      </c>
      <c r="L2377" t="s">
        <v>39</v>
      </c>
      <c r="M2377" t="s">
        <v>20</v>
      </c>
      <c r="N2377">
        <v>4</v>
      </c>
      <c r="O2377">
        <v>3</v>
      </c>
      <c r="P2377">
        <v>3229.21</v>
      </c>
      <c r="Q2377">
        <v>0</v>
      </c>
    </row>
    <row r="2378" spans="7:17" x14ac:dyDescent="0.25">
      <c r="G2378" t="str">
        <f t="shared" si="37"/>
        <v/>
      </c>
      <c r="H2378" t="s">
        <v>47</v>
      </c>
      <c r="I2378" t="s">
        <v>10</v>
      </c>
      <c r="J2378" t="s">
        <v>4</v>
      </c>
      <c r="K2378" t="s">
        <v>24</v>
      </c>
      <c r="L2378" t="s">
        <v>40</v>
      </c>
      <c r="M2378" t="s">
        <v>20</v>
      </c>
      <c r="N2378">
        <v>8</v>
      </c>
      <c r="O2378">
        <v>1</v>
      </c>
      <c r="P2378">
        <v>8518.2099999999991</v>
      </c>
      <c r="Q2378">
        <v>0</v>
      </c>
    </row>
    <row r="2379" spans="7:17" x14ac:dyDescent="0.25">
      <c r="G2379" t="str">
        <f t="shared" si="37"/>
        <v/>
      </c>
      <c r="H2379" t="s">
        <v>47</v>
      </c>
      <c r="I2379" t="s">
        <v>10</v>
      </c>
      <c r="J2379" t="s">
        <v>4</v>
      </c>
      <c r="K2379" t="s">
        <v>24</v>
      </c>
      <c r="L2379" t="s">
        <v>41</v>
      </c>
      <c r="M2379" t="s">
        <v>19</v>
      </c>
      <c r="N2379">
        <v>1</v>
      </c>
      <c r="O2379">
        <v>1</v>
      </c>
      <c r="P2379">
        <v>592.1</v>
      </c>
      <c r="Q2379">
        <v>592</v>
      </c>
    </row>
    <row r="2380" spans="7:17" x14ac:dyDescent="0.25">
      <c r="G2380" t="str">
        <f t="shared" si="37"/>
        <v/>
      </c>
      <c r="H2380" t="s">
        <v>47</v>
      </c>
      <c r="I2380" t="s">
        <v>10</v>
      </c>
      <c r="J2380" t="s">
        <v>4</v>
      </c>
      <c r="K2380" t="s">
        <v>24</v>
      </c>
      <c r="L2380" t="s">
        <v>41</v>
      </c>
      <c r="M2380" t="s">
        <v>20</v>
      </c>
      <c r="N2380">
        <v>5</v>
      </c>
      <c r="O2380">
        <v>1</v>
      </c>
      <c r="P2380">
        <v>5484.93</v>
      </c>
      <c r="Q2380">
        <v>0</v>
      </c>
    </row>
    <row r="2381" spans="7:17" x14ac:dyDescent="0.25">
      <c r="G2381" t="str">
        <f t="shared" si="37"/>
        <v/>
      </c>
      <c r="H2381" t="s">
        <v>47</v>
      </c>
      <c r="I2381" t="s">
        <v>10</v>
      </c>
      <c r="J2381" t="s">
        <v>4</v>
      </c>
      <c r="K2381" t="s">
        <v>24</v>
      </c>
      <c r="L2381" t="s">
        <v>45</v>
      </c>
      <c r="M2381" t="s">
        <v>20</v>
      </c>
      <c r="N2381">
        <v>65</v>
      </c>
      <c r="O2381">
        <v>22</v>
      </c>
      <c r="P2381">
        <v>91243.810000000012</v>
      </c>
      <c r="Q2381">
        <v>0</v>
      </c>
    </row>
    <row r="2382" spans="7:17" x14ac:dyDescent="0.25">
      <c r="G2382" t="str">
        <f t="shared" si="37"/>
        <v/>
      </c>
      <c r="H2382" t="s">
        <v>47</v>
      </c>
      <c r="I2382" t="s">
        <v>10</v>
      </c>
      <c r="J2382" t="s">
        <v>4</v>
      </c>
      <c r="K2382" t="s">
        <v>25</v>
      </c>
      <c r="L2382" t="s">
        <v>42</v>
      </c>
      <c r="M2382" t="s">
        <v>19</v>
      </c>
      <c r="N2382">
        <v>480</v>
      </c>
      <c r="O2382">
        <v>156</v>
      </c>
      <c r="P2382">
        <v>297293.57000000024</v>
      </c>
      <c r="Q2382">
        <v>293277.21000000025</v>
      </c>
    </row>
    <row r="2383" spans="7:17" x14ac:dyDescent="0.25">
      <c r="G2383" t="str">
        <f t="shared" si="37"/>
        <v/>
      </c>
      <c r="H2383" t="s">
        <v>47</v>
      </c>
      <c r="I2383" t="s">
        <v>10</v>
      </c>
      <c r="J2383" t="s">
        <v>4</v>
      </c>
      <c r="K2383" t="s">
        <v>25</v>
      </c>
      <c r="L2383" t="s">
        <v>42</v>
      </c>
      <c r="M2383" t="s">
        <v>20</v>
      </c>
      <c r="N2383">
        <v>178</v>
      </c>
      <c r="O2383">
        <v>52</v>
      </c>
      <c r="P2383">
        <v>50281.750000000015</v>
      </c>
      <c r="Q2383">
        <v>0</v>
      </c>
    </row>
    <row r="2384" spans="7:17" x14ac:dyDescent="0.25">
      <c r="G2384" t="str">
        <f t="shared" si="37"/>
        <v/>
      </c>
      <c r="H2384" t="s">
        <v>47</v>
      </c>
      <c r="I2384" t="s">
        <v>10</v>
      </c>
      <c r="J2384" t="s">
        <v>4</v>
      </c>
      <c r="K2384" t="s">
        <v>25</v>
      </c>
      <c r="L2384" t="s">
        <v>43</v>
      </c>
      <c r="M2384" t="s">
        <v>19</v>
      </c>
      <c r="N2384">
        <v>64</v>
      </c>
      <c r="O2384">
        <v>27</v>
      </c>
      <c r="P2384">
        <v>46194.420000000006</v>
      </c>
      <c r="Q2384">
        <v>29487.799999999996</v>
      </c>
    </row>
    <row r="2385" spans="7:17" x14ac:dyDescent="0.25">
      <c r="G2385" t="str">
        <f t="shared" si="37"/>
        <v/>
      </c>
      <c r="H2385" t="s">
        <v>47</v>
      </c>
      <c r="I2385" t="s">
        <v>10</v>
      </c>
      <c r="J2385" t="s">
        <v>4</v>
      </c>
      <c r="K2385" t="s">
        <v>25</v>
      </c>
      <c r="L2385" t="s">
        <v>43</v>
      </c>
      <c r="M2385" t="s">
        <v>20</v>
      </c>
      <c r="N2385">
        <v>263</v>
      </c>
      <c r="O2385">
        <v>33</v>
      </c>
      <c r="P2385">
        <v>126697.55999999974</v>
      </c>
      <c r="Q2385">
        <v>0</v>
      </c>
    </row>
    <row r="2386" spans="7:17" x14ac:dyDescent="0.25">
      <c r="G2386" t="str">
        <f t="shared" si="37"/>
        <v/>
      </c>
      <c r="H2386" t="s">
        <v>47</v>
      </c>
      <c r="I2386" t="s">
        <v>10</v>
      </c>
      <c r="J2386" t="s">
        <v>4</v>
      </c>
      <c r="K2386" t="s">
        <v>25</v>
      </c>
      <c r="L2386" t="s">
        <v>44</v>
      </c>
      <c r="M2386" t="s">
        <v>19</v>
      </c>
      <c r="N2386">
        <v>40</v>
      </c>
      <c r="O2386">
        <v>24</v>
      </c>
      <c r="P2386">
        <v>44826.86</v>
      </c>
      <c r="Q2386">
        <v>17258.68</v>
      </c>
    </row>
    <row r="2387" spans="7:17" x14ac:dyDescent="0.25">
      <c r="G2387" t="str">
        <f t="shared" si="37"/>
        <v/>
      </c>
      <c r="H2387" t="s">
        <v>47</v>
      </c>
      <c r="I2387" t="s">
        <v>10</v>
      </c>
      <c r="J2387" t="s">
        <v>4</v>
      </c>
      <c r="K2387" t="s">
        <v>25</v>
      </c>
      <c r="L2387" t="s">
        <v>44</v>
      </c>
      <c r="M2387" t="s">
        <v>20</v>
      </c>
      <c r="N2387">
        <v>42</v>
      </c>
      <c r="O2387">
        <v>22</v>
      </c>
      <c r="P2387">
        <v>38040.359999999993</v>
      </c>
      <c r="Q2387">
        <v>0</v>
      </c>
    </row>
    <row r="2388" spans="7:17" x14ac:dyDescent="0.25">
      <c r="G2388" t="str">
        <f t="shared" si="37"/>
        <v/>
      </c>
      <c r="H2388" t="s">
        <v>47</v>
      </c>
      <c r="I2388" t="s">
        <v>10</v>
      </c>
      <c r="J2388" t="s">
        <v>4</v>
      </c>
      <c r="K2388" t="s">
        <v>25</v>
      </c>
      <c r="L2388" t="s">
        <v>39</v>
      </c>
      <c r="M2388" t="s">
        <v>19</v>
      </c>
      <c r="N2388">
        <v>4</v>
      </c>
      <c r="O2388">
        <v>3</v>
      </c>
      <c r="P2388">
        <v>4462.75</v>
      </c>
      <c r="Q2388">
        <v>3163.13</v>
      </c>
    </row>
    <row r="2389" spans="7:17" x14ac:dyDescent="0.25">
      <c r="G2389" t="str">
        <f t="shared" si="37"/>
        <v/>
      </c>
      <c r="H2389" t="s">
        <v>47</v>
      </c>
      <c r="I2389" t="s">
        <v>10</v>
      </c>
      <c r="J2389" t="s">
        <v>4</v>
      </c>
      <c r="K2389" t="s">
        <v>25</v>
      </c>
      <c r="L2389" t="s">
        <v>39</v>
      </c>
      <c r="M2389" t="s">
        <v>20</v>
      </c>
      <c r="N2389">
        <v>30</v>
      </c>
      <c r="O2389">
        <v>19</v>
      </c>
      <c r="P2389">
        <v>20493.479999999996</v>
      </c>
      <c r="Q2389">
        <v>0</v>
      </c>
    </row>
    <row r="2390" spans="7:17" x14ac:dyDescent="0.25">
      <c r="G2390" t="str">
        <f t="shared" si="37"/>
        <v/>
      </c>
      <c r="H2390" t="s">
        <v>47</v>
      </c>
      <c r="I2390" t="s">
        <v>10</v>
      </c>
      <c r="J2390" t="s">
        <v>4</v>
      </c>
      <c r="K2390" t="s">
        <v>25</v>
      </c>
      <c r="L2390" t="s">
        <v>40</v>
      </c>
      <c r="M2390" t="s">
        <v>19</v>
      </c>
      <c r="N2390">
        <v>4</v>
      </c>
      <c r="O2390">
        <v>1</v>
      </c>
      <c r="P2390">
        <v>9256.67</v>
      </c>
      <c r="Q2390">
        <v>9252.67</v>
      </c>
    </row>
    <row r="2391" spans="7:17" x14ac:dyDescent="0.25">
      <c r="G2391" t="str">
        <f t="shared" si="37"/>
        <v/>
      </c>
      <c r="H2391" t="s">
        <v>47</v>
      </c>
      <c r="I2391" t="s">
        <v>10</v>
      </c>
      <c r="J2391" t="s">
        <v>4</v>
      </c>
      <c r="K2391" t="s">
        <v>25</v>
      </c>
      <c r="L2391" t="s">
        <v>40</v>
      </c>
      <c r="M2391" t="s">
        <v>20</v>
      </c>
      <c r="N2391">
        <v>31</v>
      </c>
      <c r="O2391">
        <v>10</v>
      </c>
      <c r="P2391">
        <v>24510.470000000008</v>
      </c>
      <c r="Q2391">
        <v>0</v>
      </c>
    </row>
    <row r="2392" spans="7:17" x14ac:dyDescent="0.25">
      <c r="G2392" t="str">
        <f t="shared" si="37"/>
        <v/>
      </c>
      <c r="H2392" t="s">
        <v>47</v>
      </c>
      <c r="I2392" t="s">
        <v>10</v>
      </c>
      <c r="J2392" t="s">
        <v>4</v>
      </c>
      <c r="K2392" t="s">
        <v>25</v>
      </c>
      <c r="L2392" t="s">
        <v>41</v>
      </c>
      <c r="M2392" t="s">
        <v>19</v>
      </c>
      <c r="N2392">
        <v>2</v>
      </c>
      <c r="O2392">
        <v>2</v>
      </c>
      <c r="P2392">
        <v>3435.84</v>
      </c>
      <c r="Q2392">
        <v>2044.5</v>
      </c>
    </row>
    <row r="2393" spans="7:17" x14ac:dyDescent="0.25">
      <c r="G2393" t="str">
        <f t="shared" si="37"/>
        <v/>
      </c>
      <c r="H2393" t="s">
        <v>47</v>
      </c>
      <c r="I2393" t="s">
        <v>10</v>
      </c>
      <c r="J2393" t="s">
        <v>4</v>
      </c>
      <c r="K2393" t="s">
        <v>25</v>
      </c>
      <c r="L2393" t="s">
        <v>41</v>
      </c>
      <c r="M2393" t="s">
        <v>20</v>
      </c>
      <c r="N2393">
        <v>27</v>
      </c>
      <c r="O2393">
        <v>15</v>
      </c>
      <c r="P2393">
        <v>27390.85</v>
      </c>
      <c r="Q2393">
        <v>0</v>
      </c>
    </row>
    <row r="2394" spans="7:17" x14ac:dyDescent="0.25">
      <c r="G2394" t="str">
        <f t="shared" si="37"/>
        <v/>
      </c>
      <c r="H2394" t="s">
        <v>47</v>
      </c>
      <c r="I2394" t="s">
        <v>10</v>
      </c>
      <c r="J2394" t="s">
        <v>4</v>
      </c>
      <c r="K2394" t="s">
        <v>25</v>
      </c>
      <c r="L2394" t="s">
        <v>45</v>
      </c>
      <c r="M2394" t="s">
        <v>19</v>
      </c>
      <c r="N2394">
        <v>4</v>
      </c>
      <c r="O2394">
        <v>1</v>
      </c>
      <c r="P2394">
        <v>2977.4900000000002</v>
      </c>
      <c r="Q2394">
        <v>2977.4900000000002</v>
      </c>
    </row>
    <row r="2395" spans="7:17" x14ac:dyDescent="0.25">
      <c r="G2395" t="str">
        <f t="shared" si="37"/>
        <v/>
      </c>
      <c r="H2395" t="s">
        <v>47</v>
      </c>
      <c r="I2395" t="s">
        <v>10</v>
      </c>
      <c r="J2395" t="s">
        <v>4</v>
      </c>
      <c r="K2395" t="s">
        <v>25</v>
      </c>
      <c r="L2395" t="s">
        <v>45</v>
      </c>
      <c r="M2395" t="s">
        <v>20</v>
      </c>
      <c r="N2395">
        <v>191</v>
      </c>
      <c r="O2395">
        <v>81</v>
      </c>
      <c r="P2395">
        <v>269523.71999999997</v>
      </c>
      <c r="Q2395">
        <v>0</v>
      </c>
    </row>
    <row r="2396" spans="7:17" x14ac:dyDescent="0.25">
      <c r="G2396" t="str">
        <f t="shared" si="37"/>
        <v/>
      </c>
      <c r="H2396" t="s">
        <v>47</v>
      </c>
      <c r="I2396" t="s">
        <v>10</v>
      </c>
      <c r="J2396" t="s">
        <v>4</v>
      </c>
      <c r="K2396" t="s">
        <v>26</v>
      </c>
      <c r="L2396" t="s">
        <v>42</v>
      </c>
      <c r="M2396" t="s">
        <v>19</v>
      </c>
      <c r="N2396">
        <v>625</v>
      </c>
      <c r="O2396">
        <v>248</v>
      </c>
      <c r="P2396">
        <v>306811.09000000026</v>
      </c>
      <c r="Q2396">
        <v>302817.85000000038</v>
      </c>
    </row>
    <row r="2397" spans="7:17" x14ac:dyDescent="0.25">
      <c r="G2397" t="str">
        <f t="shared" si="37"/>
        <v/>
      </c>
      <c r="H2397" t="s">
        <v>47</v>
      </c>
      <c r="I2397" t="s">
        <v>10</v>
      </c>
      <c r="J2397" t="s">
        <v>4</v>
      </c>
      <c r="K2397" t="s">
        <v>26</v>
      </c>
      <c r="L2397" t="s">
        <v>42</v>
      </c>
      <c r="M2397" t="s">
        <v>20</v>
      </c>
      <c r="N2397">
        <v>304</v>
      </c>
      <c r="O2397">
        <v>136</v>
      </c>
      <c r="P2397">
        <v>75128.100000000049</v>
      </c>
      <c r="Q2397">
        <v>0</v>
      </c>
    </row>
    <row r="2398" spans="7:17" x14ac:dyDescent="0.25">
      <c r="G2398" t="str">
        <f t="shared" si="37"/>
        <v/>
      </c>
      <c r="H2398" t="s">
        <v>47</v>
      </c>
      <c r="I2398" t="s">
        <v>10</v>
      </c>
      <c r="J2398" t="s">
        <v>4</v>
      </c>
      <c r="K2398" t="s">
        <v>26</v>
      </c>
      <c r="L2398" t="s">
        <v>43</v>
      </c>
      <c r="M2398" t="s">
        <v>19</v>
      </c>
      <c r="N2398">
        <v>55</v>
      </c>
      <c r="O2398">
        <v>41</v>
      </c>
      <c r="P2398">
        <v>44265.919999999991</v>
      </c>
      <c r="Q2398">
        <v>41462.249999999985</v>
      </c>
    </row>
    <row r="2399" spans="7:17" x14ac:dyDescent="0.25">
      <c r="G2399" t="str">
        <f t="shared" si="37"/>
        <v/>
      </c>
      <c r="H2399" t="s">
        <v>47</v>
      </c>
      <c r="I2399" t="s">
        <v>10</v>
      </c>
      <c r="J2399" t="s">
        <v>4</v>
      </c>
      <c r="K2399" t="s">
        <v>26</v>
      </c>
      <c r="L2399" t="s">
        <v>43</v>
      </c>
      <c r="M2399" t="s">
        <v>20</v>
      </c>
      <c r="N2399">
        <v>70</v>
      </c>
      <c r="O2399">
        <v>39</v>
      </c>
      <c r="P2399">
        <v>43502.04</v>
      </c>
      <c r="Q2399">
        <v>0</v>
      </c>
    </row>
    <row r="2400" spans="7:17" x14ac:dyDescent="0.25">
      <c r="G2400" t="str">
        <f t="shared" si="37"/>
        <v/>
      </c>
      <c r="H2400" t="s">
        <v>47</v>
      </c>
      <c r="I2400" t="s">
        <v>10</v>
      </c>
      <c r="J2400" t="s">
        <v>4</v>
      </c>
      <c r="K2400" t="s">
        <v>26</v>
      </c>
      <c r="L2400" t="s">
        <v>44</v>
      </c>
      <c r="M2400" t="s">
        <v>19</v>
      </c>
      <c r="N2400">
        <v>23</v>
      </c>
      <c r="O2400">
        <v>15</v>
      </c>
      <c r="P2400">
        <v>23912.799999999999</v>
      </c>
      <c r="Q2400">
        <v>9726.26</v>
      </c>
    </row>
    <row r="2401" spans="7:17" x14ac:dyDescent="0.25">
      <c r="G2401" t="str">
        <f t="shared" si="37"/>
        <v/>
      </c>
      <c r="H2401" t="s">
        <v>47</v>
      </c>
      <c r="I2401" t="s">
        <v>10</v>
      </c>
      <c r="J2401" t="s">
        <v>4</v>
      </c>
      <c r="K2401" t="s">
        <v>26</v>
      </c>
      <c r="L2401" t="s">
        <v>44</v>
      </c>
      <c r="M2401" t="s">
        <v>20</v>
      </c>
      <c r="N2401">
        <v>74</v>
      </c>
      <c r="O2401">
        <v>35</v>
      </c>
      <c r="P2401">
        <v>55002.499999999993</v>
      </c>
      <c r="Q2401">
        <v>0</v>
      </c>
    </row>
    <row r="2402" spans="7:17" x14ac:dyDescent="0.25">
      <c r="G2402" t="str">
        <f t="shared" si="37"/>
        <v/>
      </c>
      <c r="H2402" t="s">
        <v>47</v>
      </c>
      <c r="I2402" t="s">
        <v>10</v>
      </c>
      <c r="J2402" t="s">
        <v>4</v>
      </c>
      <c r="K2402" t="s">
        <v>26</v>
      </c>
      <c r="L2402" t="s">
        <v>39</v>
      </c>
      <c r="M2402" t="s">
        <v>19</v>
      </c>
      <c r="N2402">
        <v>5</v>
      </c>
      <c r="O2402">
        <v>4</v>
      </c>
      <c r="P2402">
        <v>10462.620000000001</v>
      </c>
      <c r="Q2402">
        <v>3777.77</v>
      </c>
    </row>
    <row r="2403" spans="7:17" x14ac:dyDescent="0.25">
      <c r="G2403" t="str">
        <f t="shared" si="37"/>
        <v/>
      </c>
      <c r="H2403" t="s">
        <v>47</v>
      </c>
      <c r="I2403" t="s">
        <v>10</v>
      </c>
      <c r="J2403" t="s">
        <v>4</v>
      </c>
      <c r="K2403" t="s">
        <v>26</v>
      </c>
      <c r="L2403" t="s">
        <v>39</v>
      </c>
      <c r="M2403" t="s">
        <v>20</v>
      </c>
      <c r="N2403">
        <v>65</v>
      </c>
      <c r="O2403">
        <v>44</v>
      </c>
      <c r="P2403">
        <v>45936.529999999992</v>
      </c>
      <c r="Q2403">
        <v>0</v>
      </c>
    </row>
    <row r="2404" spans="7:17" x14ac:dyDescent="0.25">
      <c r="G2404" t="str">
        <f t="shared" si="37"/>
        <v/>
      </c>
      <c r="H2404" t="s">
        <v>47</v>
      </c>
      <c r="I2404" t="s">
        <v>10</v>
      </c>
      <c r="J2404" t="s">
        <v>4</v>
      </c>
      <c r="K2404" t="s">
        <v>26</v>
      </c>
      <c r="L2404" t="s">
        <v>40</v>
      </c>
      <c r="M2404" t="s">
        <v>19</v>
      </c>
      <c r="N2404">
        <v>1</v>
      </c>
      <c r="O2404">
        <v>0</v>
      </c>
      <c r="P2404">
        <v>1410.02</v>
      </c>
      <c r="Q2404">
        <v>700.12</v>
      </c>
    </row>
    <row r="2405" spans="7:17" x14ac:dyDescent="0.25">
      <c r="G2405" t="str">
        <f t="shared" si="37"/>
        <v/>
      </c>
      <c r="H2405" t="s">
        <v>47</v>
      </c>
      <c r="I2405" t="s">
        <v>10</v>
      </c>
      <c r="J2405" t="s">
        <v>4</v>
      </c>
      <c r="K2405" t="s">
        <v>26</v>
      </c>
      <c r="L2405" t="s">
        <v>40</v>
      </c>
      <c r="M2405" t="s">
        <v>20</v>
      </c>
      <c r="N2405">
        <v>44</v>
      </c>
      <c r="O2405">
        <v>20</v>
      </c>
      <c r="P2405">
        <v>31587.809999999994</v>
      </c>
      <c r="Q2405">
        <v>0</v>
      </c>
    </row>
    <row r="2406" spans="7:17" x14ac:dyDescent="0.25">
      <c r="G2406" t="str">
        <f t="shared" si="37"/>
        <v/>
      </c>
      <c r="H2406" t="s">
        <v>47</v>
      </c>
      <c r="I2406" t="s">
        <v>10</v>
      </c>
      <c r="J2406" t="s">
        <v>4</v>
      </c>
      <c r="K2406" t="s">
        <v>26</v>
      </c>
      <c r="L2406" t="s">
        <v>41</v>
      </c>
      <c r="M2406" t="s">
        <v>20</v>
      </c>
      <c r="N2406">
        <v>30</v>
      </c>
      <c r="O2406">
        <v>14</v>
      </c>
      <c r="P2406">
        <v>24200.859999999997</v>
      </c>
      <c r="Q2406">
        <v>0</v>
      </c>
    </row>
    <row r="2407" spans="7:17" x14ac:dyDescent="0.25">
      <c r="G2407" t="str">
        <f t="shared" si="37"/>
        <v/>
      </c>
      <c r="H2407" t="s">
        <v>47</v>
      </c>
      <c r="I2407" t="s">
        <v>10</v>
      </c>
      <c r="J2407" t="s">
        <v>4</v>
      </c>
      <c r="K2407" t="s">
        <v>27</v>
      </c>
      <c r="L2407" t="s">
        <v>42</v>
      </c>
      <c r="M2407" t="s">
        <v>19</v>
      </c>
      <c r="N2407">
        <v>93</v>
      </c>
      <c r="O2407">
        <v>38</v>
      </c>
      <c r="P2407">
        <v>41195.230000000018</v>
      </c>
      <c r="Q2407">
        <v>40503.890000000021</v>
      </c>
    </row>
    <row r="2408" spans="7:17" x14ac:dyDescent="0.25">
      <c r="G2408" t="str">
        <f t="shared" si="37"/>
        <v/>
      </c>
      <c r="H2408" t="s">
        <v>47</v>
      </c>
      <c r="I2408" t="s">
        <v>10</v>
      </c>
      <c r="J2408" t="s">
        <v>4</v>
      </c>
      <c r="K2408" t="s">
        <v>27</v>
      </c>
      <c r="L2408" t="s">
        <v>42</v>
      </c>
      <c r="M2408" t="s">
        <v>20</v>
      </c>
      <c r="N2408">
        <v>83</v>
      </c>
      <c r="O2408">
        <v>13</v>
      </c>
      <c r="P2408">
        <v>20142.339999999997</v>
      </c>
      <c r="Q2408">
        <v>0</v>
      </c>
    </row>
    <row r="2409" spans="7:17" x14ac:dyDescent="0.25">
      <c r="G2409" t="str">
        <f t="shared" si="37"/>
        <v/>
      </c>
      <c r="H2409" t="s">
        <v>47</v>
      </c>
      <c r="I2409" t="s">
        <v>10</v>
      </c>
      <c r="J2409" t="s">
        <v>4</v>
      </c>
      <c r="K2409" t="s">
        <v>27</v>
      </c>
      <c r="L2409" t="s">
        <v>43</v>
      </c>
      <c r="M2409" t="s">
        <v>19</v>
      </c>
      <c r="N2409">
        <v>2</v>
      </c>
      <c r="O2409">
        <v>1</v>
      </c>
      <c r="P2409">
        <v>1776.4099999999999</v>
      </c>
      <c r="Q2409">
        <v>1776.4099999999999</v>
      </c>
    </row>
    <row r="2410" spans="7:17" x14ac:dyDescent="0.25">
      <c r="G2410" t="str">
        <f t="shared" si="37"/>
        <v/>
      </c>
      <c r="H2410" t="s">
        <v>47</v>
      </c>
      <c r="I2410" t="s">
        <v>10</v>
      </c>
      <c r="J2410" t="s">
        <v>4</v>
      </c>
      <c r="K2410" t="s">
        <v>27</v>
      </c>
      <c r="L2410" t="s">
        <v>43</v>
      </c>
      <c r="M2410" t="s">
        <v>20</v>
      </c>
      <c r="N2410">
        <v>30</v>
      </c>
      <c r="O2410">
        <v>6</v>
      </c>
      <c r="P2410">
        <v>14687.709999999997</v>
      </c>
      <c r="Q2410">
        <v>0</v>
      </c>
    </row>
    <row r="2411" spans="7:17" x14ac:dyDescent="0.25">
      <c r="G2411" t="str">
        <f t="shared" si="37"/>
        <v/>
      </c>
      <c r="H2411" t="s">
        <v>47</v>
      </c>
      <c r="I2411" t="s">
        <v>10</v>
      </c>
      <c r="J2411" t="s">
        <v>4</v>
      </c>
      <c r="K2411" t="s">
        <v>27</v>
      </c>
      <c r="L2411" t="s">
        <v>44</v>
      </c>
      <c r="M2411" t="s">
        <v>19</v>
      </c>
      <c r="N2411">
        <v>2</v>
      </c>
      <c r="O2411">
        <v>1</v>
      </c>
      <c r="P2411">
        <v>526.58000000000004</v>
      </c>
      <c r="Q2411">
        <v>525</v>
      </c>
    </row>
    <row r="2412" spans="7:17" x14ac:dyDescent="0.25">
      <c r="G2412" t="str">
        <f t="shared" si="37"/>
        <v/>
      </c>
      <c r="H2412" t="s">
        <v>47</v>
      </c>
      <c r="I2412" t="s">
        <v>10</v>
      </c>
      <c r="J2412" t="s">
        <v>4</v>
      </c>
      <c r="K2412" t="s">
        <v>27</v>
      </c>
      <c r="L2412" t="s">
        <v>44</v>
      </c>
      <c r="M2412" t="s">
        <v>20</v>
      </c>
      <c r="N2412">
        <v>4</v>
      </c>
      <c r="O2412">
        <v>4</v>
      </c>
      <c r="P2412">
        <v>3662.31</v>
      </c>
      <c r="Q2412">
        <v>0</v>
      </c>
    </row>
    <row r="2413" spans="7:17" x14ac:dyDescent="0.25">
      <c r="G2413" t="str">
        <f t="shared" si="37"/>
        <v/>
      </c>
      <c r="H2413" t="s">
        <v>47</v>
      </c>
      <c r="I2413" t="s">
        <v>10</v>
      </c>
      <c r="J2413" t="s">
        <v>4</v>
      </c>
      <c r="K2413" t="s">
        <v>27</v>
      </c>
      <c r="L2413" t="s">
        <v>39</v>
      </c>
      <c r="M2413" t="s">
        <v>19</v>
      </c>
      <c r="N2413">
        <v>2</v>
      </c>
      <c r="O2413">
        <v>1</v>
      </c>
      <c r="P2413">
        <v>1700.71</v>
      </c>
      <c r="Q2413">
        <v>1700.71</v>
      </c>
    </row>
    <row r="2414" spans="7:17" x14ac:dyDescent="0.25">
      <c r="G2414" t="str">
        <f t="shared" si="37"/>
        <v/>
      </c>
      <c r="H2414" t="s">
        <v>47</v>
      </c>
      <c r="I2414" t="s">
        <v>10</v>
      </c>
      <c r="J2414" t="s">
        <v>4</v>
      </c>
      <c r="K2414" t="s">
        <v>27</v>
      </c>
      <c r="L2414" t="s">
        <v>39</v>
      </c>
      <c r="M2414" t="s">
        <v>20</v>
      </c>
      <c r="N2414">
        <v>6</v>
      </c>
      <c r="O2414">
        <v>4</v>
      </c>
      <c r="P2414">
        <v>8360.11</v>
      </c>
      <c r="Q2414">
        <v>0</v>
      </c>
    </row>
    <row r="2415" spans="7:17" x14ac:dyDescent="0.25">
      <c r="G2415" t="str">
        <f t="shared" si="37"/>
        <v/>
      </c>
      <c r="H2415" t="s">
        <v>47</v>
      </c>
      <c r="I2415" t="s">
        <v>10</v>
      </c>
      <c r="J2415" t="s">
        <v>4</v>
      </c>
      <c r="K2415" t="s">
        <v>27</v>
      </c>
      <c r="L2415" t="s">
        <v>40</v>
      </c>
      <c r="M2415" t="s">
        <v>20</v>
      </c>
      <c r="N2415">
        <v>3</v>
      </c>
      <c r="O2415">
        <v>0</v>
      </c>
      <c r="P2415">
        <v>1449.95</v>
      </c>
      <c r="Q2415">
        <v>0</v>
      </c>
    </row>
    <row r="2416" spans="7:17" x14ac:dyDescent="0.25">
      <c r="G2416" t="str">
        <f t="shared" si="37"/>
        <v/>
      </c>
      <c r="H2416" t="s">
        <v>47</v>
      </c>
      <c r="I2416" t="s">
        <v>10</v>
      </c>
      <c r="J2416" t="s">
        <v>4</v>
      </c>
      <c r="K2416" t="s">
        <v>27</v>
      </c>
      <c r="L2416" t="s">
        <v>41</v>
      </c>
      <c r="M2416" t="s">
        <v>20</v>
      </c>
      <c r="N2416">
        <v>5</v>
      </c>
      <c r="O2416">
        <v>2</v>
      </c>
      <c r="P2416">
        <v>1994.7499999999998</v>
      </c>
      <c r="Q2416">
        <v>0</v>
      </c>
    </row>
    <row r="2417" spans="7:17" x14ac:dyDescent="0.25">
      <c r="G2417" t="str">
        <f t="shared" si="37"/>
        <v/>
      </c>
      <c r="H2417" t="s">
        <v>47</v>
      </c>
      <c r="I2417" t="s">
        <v>10</v>
      </c>
      <c r="J2417" t="s">
        <v>4</v>
      </c>
      <c r="K2417" t="s">
        <v>27</v>
      </c>
      <c r="L2417" t="s">
        <v>45</v>
      </c>
      <c r="M2417" t="s">
        <v>19</v>
      </c>
      <c r="N2417">
        <v>1</v>
      </c>
      <c r="O2417">
        <v>1</v>
      </c>
      <c r="P2417">
        <v>380.59</v>
      </c>
      <c r="Q2417">
        <v>380.59</v>
      </c>
    </row>
    <row r="2418" spans="7:17" x14ac:dyDescent="0.25">
      <c r="G2418" t="str">
        <f t="shared" si="37"/>
        <v/>
      </c>
      <c r="H2418" t="s">
        <v>47</v>
      </c>
      <c r="I2418" t="s">
        <v>10</v>
      </c>
      <c r="J2418" t="s">
        <v>4</v>
      </c>
      <c r="K2418" t="s">
        <v>27</v>
      </c>
      <c r="L2418" t="s">
        <v>45</v>
      </c>
      <c r="M2418" t="s">
        <v>20</v>
      </c>
      <c r="N2418">
        <v>21</v>
      </c>
      <c r="O2418">
        <v>15</v>
      </c>
      <c r="P2418">
        <v>17154.93</v>
      </c>
      <c r="Q2418">
        <v>0</v>
      </c>
    </row>
    <row r="2419" spans="7:17" x14ac:dyDescent="0.25">
      <c r="G2419" t="str">
        <f t="shared" si="37"/>
        <v/>
      </c>
      <c r="H2419" t="s">
        <v>47</v>
      </c>
      <c r="I2419" t="s">
        <v>10</v>
      </c>
      <c r="J2419" t="s">
        <v>4</v>
      </c>
      <c r="K2419" t="s">
        <v>28</v>
      </c>
      <c r="L2419" t="s">
        <v>42</v>
      </c>
      <c r="M2419" t="s">
        <v>19</v>
      </c>
      <c r="N2419">
        <v>418</v>
      </c>
      <c r="O2419">
        <v>156</v>
      </c>
      <c r="P2419">
        <v>182077.10000000012</v>
      </c>
      <c r="Q2419">
        <v>178075.94000000015</v>
      </c>
    </row>
    <row r="2420" spans="7:17" x14ac:dyDescent="0.25">
      <c r="G2420" t="str">
        <f t="shared" si="37"/>
        <v/>
      </c>
      <c r="H2420" t="s">
        <v>47</v>
      </c>
      <c r="I2420" t="s">
        <v>10</v>
      </c>
      <c r="J2420" t="s">
        <v>4</v>
      </c>
      <c r="K2420" t="s">
        <v>28</v>
      </c>
      <c r="L2420" t="s">
        <v>42</v>
      </c>
      <c r="M2420" t="s">
        <v>20</v>
      </c>
      <c r="N2420">
        <v>184</v>
      </c>
      <c r="O2420">
        <v>86</v>
      </c>
      <c r="P2420">
        <v>48013.880000000005</v>
      </c>
      <c r="Q2420">
        <v>0</v>
      </c>
    </row>
    <row r="2421" spans="7:17" x14ac:dyDescent="0.25">
      <c r="G2421" t="str">
        <f t="shared" si="37"/>
        <v/>
      </c>
      <c r="H2421" t="s">
        <v>47</v>
      </c>
      <c r="I2421" t="s">
        <v>10</v>
      </c>
      <c r="J2421" t="s">
        <v>4</v>
      </c>
      <c r="K2421" t="s">
        <v>28</v>
      </c>
      <c r="L2421" t="s">
        <v>43</v>
      </c>
      <c r="M2421" t="s">
        <v>19</v>
      </c>
      <c r="N2421">
        <v>43</v>
      </c>
      <c r="O2421">
        <v>28</v>
      </c>
      <c r="P2421">
        <v>35945.649999999994</v>
      </c>
      <c r="Q2421">
        <v>30720.379999999994</v>
      </c>
    </row>
    <row r="2422" spans="7:17" x14ac:dyDescent="0.25">
      <c r="G2422" t="str">
        <f t="shared" si="37"/>
        <v/>
      </c>
      <c r="H2422" t="s">
        <v>47</v>
      </c>
      <c r="I2422" t="s">
        <v>10</v>
      </c>
      <c r="J2422" t="s">
        <v>4</v>
      </c>
      <c r="K2422" t="s">
        <v>28</v>
      </c>
      <c r="L2422" t="s">
        <v>43</v>
      </c>
      <c r="M2422" t="s">
        <v>20</v>
      </c>
      <c r="N2422">
        <v>65</v>
      </c>
      <c r="O2422">
        <v>32</v>
      </c>
      <c r="P2422">
        <v>39292.479999999989</v>
      </c>
      <c r="Q2422">
        <v>0</v>
      </c>
    </row>
    <row r="2423" spans="7:17" x14ac:dyDescent="0.25">
      <c r="G2423" t="str">
        <f t="shared" si="37"/>
        <v/>
      </c>
      <c r="H2423" t="s">
        <v>47</v>
      </c>
      <c r="I2423" t="s">
        <v>10</v>
      </c>
      <c r="J2423" t="s">
        <v>4</v>
      </c>
      <c r="K2423" t="s">
        <v>28</v>
      </c>
      <c r="L2423" t="s">
        <v>44</v>
      </c>
      <c r="M2423" t="s">
        <v>19</v>
      </c>
      <c r="N2423">
        <v>26</v>
      </c>
      <c r="O2423">
        <v>18</v>
      </c>
      <c r="P2423">
        <v>28509.67</v>
      </c>
      <c r="Q2423">
        <v>14100.27</v>
      </c>
    </row>
    <row r="2424" spans="7:17" x14ac:dyDescent="0.25">
      <c r="G2424" t="str">
        <f t="shared" si="37"/>
        <v/>
      </c>
      <c r="H2424" t="s">
        <v>47</v>
      </c>
      <c r="I2424" t="s">
        <v>10</v>
      </c>
      <c r="J2424" t="s">
        <v>4</v>
      </c>
      <c r="K2424" t="s">
        <v>28</v>
      </c>
      <c r="L2424" t="s">
        <v>44</v>
      </c>
      <c r="M2424" t="s">
        <v>20</v>
      </c>
      <c r="N2424">
        <v>55</v>
      </c>
      <c r="O2424">
        <v>34</v>
      </c>
      <c r="P2424">
        <v>31924.859999999993</v>
      </c>
      <c r="Q2424">
        <v>0</v>
      </c>
    </row>
    <row r="2425" spans="7:17" x14ac:dyDescent="0.25">
      <c r="G2425" t="str">
        <f t="shared" si="37"/>
        <v/>
      </c>
      <c r="H2425" t="s">
        <v>47</v>
      </c>
      <c r="I2425" t="s">
        <v>10</v>
      </c>
      <c r="J2425" t="s">
        <v>4</v>
      </c>
      <c r="K2425" t="s">
        <v>29</v>
      </c>
      <c r="L2425" t="s">
        <v>42</v>
      </c>
      <c r="M2425" t="s">
        <v>19</v>
      </c>
      <c r="N2425">
        <v>272</v>
      </c>
      <c r="O2425">
        <v>86</v>
      </c>
      <c r="P2425">
        <v>115487.11000000018</v>
      </c>
      <c r="Q2425">
        <v>115032.60000000015</v>
      </c>
    </row>
    <row r="2426" spans="7:17" x14ac:dyDescent="0.25">
      <c r="G2426" t="str">
        <f t="shared" si="37"/>
        <v/>
      </c>
      <c r="H2426" t="s">
        <v>47</v>
      </c>
      <c r="I2426" t="s">
        <v>10</v>
      </c>
      <c r="J2426" t="s">
        <v>4</v>
      </c>
      <c r="K2426" t="s">
        <v>29</v>
      </c>
      <c r="L2426" t="s">
        <v>42</v>
      </c>
      <c r="M2426" t="s">
        <v>20</v>
      </c>
      <c r="N2426">
        <v>152</v>
      </c>
      <c r="O2426">
        <v>54</v>
      </c>
      <c r="P2426">
        <v>37146.740000000013</v>
      </c>
      <c r="Q2426">
        <v>0</v>
      </c>
    </row>
    <row r="2427" spans="7:17" x14ac:dyDescent="0.25">
      <c r="G2427" t="str">
        <f t="shared" si="37"/>
        <v/>
      </c>
      <c r="H2427" t="s">
        <v>47</v>
      </c>
      <c r="I2427" t="s">
        <v>10</v>
      </c>
      <c r="J2427" t="s">
        <v>4</v>
      </c>
      <c r="K2427" t="s">
        <v>29</v>
      </c>
      <c r="L2427" t="s">
        <v>43</v>
      </c>
      <c r="M2427" t="s">
        <v>19</v>
      </c>
      <c r="N2427">
        <v>22</v>
      </c>
      <c r="O2427">
        <v>12</v>
      </c>
      <c r="P2427">
        <v>17385.119999999995</v>
      </c>
      <c r="Q2427">
        <v>17355.949999999997</v>
      </c>
    </row>
    <row r="2428" spans="7:17" x14ac:dyDescent="0.25">
      <c r="G2428" t="str">
        <f t="shared" si="37"/>
        <v/>
      </c>
      <c r="H2428" t="s">
        <v>47</v>
      </c>
      <c r="I2428" t="s">
        <v>10</v>
      </c>
      <c r="J2428" t="s">
        <v>4</v>
      </c>
      <c r="K2428" t="s">
        <v>29</v>
      </c>
      <c r="L2428" t="s">
        <v>43</v>
      </c>
      <c r="M2428" t="s">
        <v>20</v>
      </c>
      <c r="N2428">
        <v>37</v>
      </c>
      <c r="O2428">
        <v>20</v>
      </c>
      <c r="P2428">
        <v>28091.899999999994</v>
      </c>
      <c r="Q2428">
        <v>0</v>
      </c>
    </row>
    <row r="2429" spans="7:17" x14ac:dyDescent="0.25">
      <c r="G2429" t="str">
        <f t="shared" si="37"/>
        <v/>
      </c>
      <c r="H2429" t="s">
        <v>47</v>
      </c>
      <c r="I2429" t="s">
        <v>10</v>
      </c>
      <c r="J2429" t="s">
        <v>4</v>
      </c>
      <c r="K2429" t="s">
        <v>29</v>
      </c>
      <c r="L2429" t="s">
        <v>44</v>
      </c>
      <c r="M2429" t="s">
        <v>19</v>
      </c>
      <c r="N2429">
        <v>35</v>
      </c>
      <c r="O2429">
        <v>8</v>
      </c>
      <c r="P2429">
        <v>32091.480000000003</v>
      </c>
      <c r="Q2429">
        <v>22974.95</v>
      </c>
    </row>
    <row r="2430" spans="7:17" x14ac:dyDescent="0.25">
      <c r="G2430" t="str">
        <f t="shared" si="37"/>
        <v/>
      </c>
      <c r="H2430" t="s">
        <v>47</v>
      </c>
      <c r="I2430" t="s">
        <v>10</v>
      </c>
      <c r="J2430" t="s">
        <v>4</v>
      </c>
      <c r="K2430" t="s">
        <v>29</v>
      </c>
      <c r="L2430" t="s">
        <v>44</v>
      </c>
      <c r="M2430" t="s">
        <v>20</v>
      </c>
      <c r="N2430">
        <v>24</v>
      </c>
      <c r="O2430">
        <v>18</v>
      </c>
      <c r="P2430">
        <v>19027.48</v>
      </c>
      <c r="Q2430">
        <v>0</v>
      </c>
    </row>
    <row r="2431" spans="7:17" x14ac:dyDescent="0.25">
      <c r="G2431" t="str">
        <f t="shared" si="37"/>
        <v/>
      </c>
      <c r="H2431" t="s">
        <v>47</v>
      </c>
      <c r="I2431" t="s">
        <v>10</v>
      </c>
      <c r="J2431" t="s">
        <v>4</v>
      </c>
      <c r="K2431" t="s">
        <v>29</v>
      </c>
      <c r="L2431" t="s">
        <v>39</v>
      </c>
      <c r="M2431" t="s">
        <v>19</v>
      </c>
      <c r="N2431">
        <v>1</v>
      </c>
      <c r="O2431">
        <v>1</v>
      </c>
      <c r="P2431">
        <v>832.93</v>
      </c>
      <c r="Q2431">
        <v>832.93000000000006</v>
      </c>
    </row>
    <row r="2432" spans="7:17" x14ac:dyDescent="0.25">
      <c r="G2432" t="str">
        <f t="shared" si="37"/>
        <v/>
      </c>
      <c r="H2432" t="s">
        <v>47</v>
      </c>
      <c r="I2432" t="s">
        <v>10</v>
      </c>
      <c r="J2432" t="s">
        <v>4</v>
      </c>
      <c r="K2432" t="s">
        <v>29</v>
      </c>
      <c r="L2432" t="s">
        <v>39</v>
      </c>
      <c r="M2432" t="s">
        <v>20</v>
      </c>
      <c r="N2432">
        <v>29</v>
      </c>
      <c r="O2432">
        <v>13</v>
      </c>
      <c r="P2432">
        <v>10278.939999999997</v>
      </c>
      <c r="Q2432">
        <v>0</v>
      </c>
    </row>
    <row r="2433" spans="7:17" x14ac:dyDescent="0.25">
      <c r="G2433" t="str">
        <f t="shared" si="37"/>
        <v/>
      </c>
      <c r="H2433" t="s">
        <v>47</v>
      </c>
      <c r="I2433" t="s">
        <v>10</v>
      </c>
      <c r="J2433" t="s">
        <v>4</v>
      </c>
      <c r="K2433" t="s">
        <v>29</v>
      </c>
      <c r="L2433" t="s">
        <v>40</v>
      </c>
      <c r="M2433" t="s">
        <v>19</v>
      </c>
      <c r="N2433">
        <v>2</v>
      </c>
      <c r="O2433">
        <v>1</v>
      </c>
      <c r="P2433">
        <v>1474.08</v>
      </c>
      <c r="Q2433">
        <v>564.46</v>
      </c>
    </row>
    <row r="2434" spans="7:17" x14ac:dyDescent="0.25">
      <c r="G2434" t="str">
        <f t="shared" ref="G2434:G2497" si="38">IF(G$1="Overall","Overall",IF(G$1=L2434,L2434,""))</f>
        <v/>
      </c>
      <c r="H2434" t="s">
        <v>47</v>
      </c>
      <c r="I2434" t="s">
        <v>10</v>
      </c>
      <c r="J2434" t="s">
        <v>4</v>
      </c>
      <c r="K2434" t="s">
        <v>29</v>
      </c>
      <c r="L2434" t="s">
        <v>40</v>
      </c>
      <c r="M2434" t="s">
        <v>20</v>
      </c>
      <c r="N2434">
        <v>15</v>
      </c>
      <c r="O2434">
        <v>6</v>
      </c>
      <c r="P2434">
        <v>8868.75</v>
      </c>
      <c r="Q2434">
        <v>0</v>
      </c>
    </row>
    <row r="2435" spans="7:17" x14ac:dyDescent="0.25">
      <c r="G2435" t="str">
        <f t="shared" si="38"/>
        <v/>
      </c>
      <c r="H2435" t="s">
        <v>47</v>
      </c>
      <c r="I2435" t="s">
        <v>10</v>
      </c>
      <c r="J2435" t="s">
        <v>4</v>
      </c>
      <c r="K2435" t="s">
        <v>29</v>
      </c>
      <c r="L2435" t="s">
        <v>41</v>
      </c>
      <c r="M2435" t="s">
        <v>20</v>
      </c>
      <c r="N2435">
        <v>30</v>
      </c>
      <c r="O2435">
        <v>12</v>
      </c>
      <c r="P2435">
        <v>19629.14</v>
      </c>
      <c r="Q2435">
        <v>0</v>
      </c>
    </row>
    <row r="2436" spans="7:17" x14ac:dyDescent="0.25">
      <c r="G2436" t="str">
        <f t="shared" si="38"/>
        <v/>
      </c>
      <c r="H2436" t="s">
        <v>47</v>
      </c>
      <c r="I2436" t="s">
        <v>10</v>
      </c>
      <c r="J2436" t="s">
        <v>4</v>
      </c>
      <c r="K2436" t="s">
        <v>29</v>
      </c>
      <c r="L2436" t="s">
        <v>45</v>
      </c>
      <c r="M2436" t="s">
        <v>19</v>
      </c>
      <c r="N2436">
        <v>5</v>
      </c>
      <c r="O2436">
        <v>3</v>
      </c>
      <c r="P2436">
        <v>12797.44</v>
      </c>
      <c r="Q2436">
        <v>10297.23</v>
      </c>
    </row>
    <row r="2437" spans="7:17" x14ac:dyDescent="0.25">
      <c r="G2437" t="str">
        <f t="shared" si="38"/>
        <v/>
      </c>
      <c r="H2437" t="s">
        <v>47</v>
      </c>
      <c r="I2437" t="s">
        <v>10</v>
      </c>
      <c r="J2437" t="s">
        <v>4</v>
      </c>
      <c r="K2437" t="s">
        <v>29</v>
      </c>
      <c r="L2437" t="s">
        <v>45</v>
      </c>
      <c r="M2437" t="s">
        <v>20</v>
      </c>
      <c r="N2437">
        <v>156</v>
      </c>
      <c r="O2437">
        <v>69</v>
      </c>
      <c r="P2437">
        <v>146945.10999999996</v>
      </c>
      <c r="Q2437">
        <v>0</v>
      </c>
    </row>
    <row r="2438" spans="7:17" x14ac:dyDescent="0.25">
      <c r="G2438" t="str">
        <f t="shared" si="38"/>
        <v/>
      </c>
      <c r="H2438" t="s">
        <v>47</v>
      </c>
      <c r="I2438" t="s">
        <v>10</v>
      </c>
      <c r="J2438" t="s">
        <v>4</v>
      </c>
      <c r="K2438" t="s">
        <v>30</v>
      </c>
      <c r="L2438" t="s">
        <v>42</v>
      </c>
      <c r="M2438" t="s">
        <v>19</v>
      </c>
      <c r="N2438">
        <v>17</v>
      </c>
      <c r="O2438">
        <v>6</v>
      </c>
      <c r="P2438">
        <v>6076.84</v>
      </c>
      <c r="Q2438">
        <v>5960.31</v>
      </c>
    </row>
    <row r="2439" spans="7:17" x14ac:dyDescent="0.25">
      <c r="G2439" t="str">
        <f t="shared" si="38"/>
        <v/>
      </c>
      <c r="H2439" t="s">
        <v>47</v>
      </c>
      <c r="I2439" t="s">
        <v>10</v>
      </c>
      <c r="J2439" t="s">
        <v>4</v>
      </c>
      <c r="K2439" t="s">
        <v>30</v>
      </c>
      <c r="L2439" t="s">
        <v>42</v>
      </c>
      <c r="M2439" t="s">
        <v>20</v>
      </c>
      <c r="N2439">
        <v>9</v>
      </c>
      <c r="O2439">
        <v>1</v>
      </c>
      <c r="P2439">
        <v>2165.84</v>
      </c>
      <c r="Q2439">
        <v>0</v>
      </c>
    </row>
    <row r="2440" spans="7:17" x14ac:dyDescent="0.25">
      <c r="G2440" t="str">
        <f t="shared" si="38"/>
        <v/>
      </c>
      <c r="H2440" t="s">
        <v>47</v>
      </c>
      <c r="I2440" t="s">
        <v>10</v>
      </c>
      <c r="J2440" t="s">
        <v>4</v>
      </c>
      <c r="K2440" t="s">
        <v>30</v>
      </c>
      <c r="L2440" t="s">
        <v>43</v>
      </c>
      <c r="M2440" t="s">
        <v>20</v>
      </c>
      <c r="N2440">
        <v>4</v>
      </c>
      <c r="O2440">
        <v>0</v>
      </c>
      <c r="P2440">
        <v>2499.34</v>
      </c>
      <c r="Q2440">
        <v>0</v>
      </c>
    </row>
    <row r="2441" spans="7:17" x14ac:dyDescent="0.25">
      <c r="G2441" t="str">
        <f t="shared" si="38"/>
        <v/>
      </c>
      <c r="H2441" t="s">
        <v>47</v>
      </c>
      <c r="I2441" t="s">
        <v>10</v>
      </c>
      <c r="J2441" t="s">
        <v>4</v>
      </c>
      <c r="K2441" t="s">
        <v>30</v>
      </c>
      <c r="L2441" t="s">
        <v>44</v>
      </c>
      <c r="M2441" t="s">
        <v>20</v>
      </c>
      <c r="N2441">
        <v>7</v>
      </c>
      <c r="O2441">
        <v>5</v>
      </c>
      <c r="P2441">
        <v>5680.32</v>
      </c>
      <c r="Q2441">
        <v>0</v>
      </c>
    </row>
    <row r="2442" spans="7:17" x14ac:dyDescent="0.25">
      <c r="G2442" t="str">
        <f t="shared" si="38"/>
        <v/>
      </c>
      <c r="H2442" t="s">
        <v>47</v>
      </c>
      <c r="I2442" t="s">
        <v>10</v>
      </c>
      <c r="J2442" t="s">
        <v>4</v>
      </c>
      <c r="K2442" t="s">
        <v>30</v>
      </c>
      <c r="L2442" t="s">
        <v>40</v>
      </c>
      <c r="M2442" t="s">
        <v>20</v>
      </c>
      <c r="N2442">
        <v>3</v>
      </c>
      <c r="O2442">
        <v>2</v>
      </c>
      <c r="P2442">
        <v>2508.7399999999998</v>
      </c>
      <c r="Q2442">
        <v>0</v>
      </c>
    </row>
    <row r="2443" spans="7:17" x14ac:dyDescent="0.25">
      <c r="G2443" t="str">
        <f t="shared" si="38"/>
        <v/>
      </c>
      <c r="H2443" t="s">
        <v>47</v>
      </c>
      <c r="I2443" t="s">
        <v>10</v>
      </c>
      <c r="J2443" t="s">
        <v>4</v>
      </c>
      <c r="K2443" t="s">
        <v>30</v>
      </c>
      <c r="L2443" t="s">
        <v>45</v>
      </c>
      <c r="M2443" t="s">
        <v>20</v>
      </c>
      <c r="N2443">
        <v>17</v>
      </c>
      <c r="O2443">
        <v>7</v>
      </c>
      <c r="P2443">
        <v>13356.12</v>
      </c>
      <c r="Q2443">
        <v>0</v>
      </c>
    </row>
    <row r="2444" spans="7:17" x14ac:dyDescent="0.25">
      <c r="G2444" t="str">
        <f t="shared" si="38"/>
        <v/>
      </c>
      <c r="H2444" t="s">
        <v>47</v>
      </c>
      <c r="I2444" t="s">
        <v>10</v>
      </c>
      <c r="J2444" t="s">
        <v>4</v>
      </c>
      <c r="K2444" t="s">
        <v>32</v>
      </c>
      <c r="L2444" t="s">
        <v>42</v>
      </c>
      <c r="M2444" t="s">
        <v>19</v>
      </c>
      <c r="N2444">
        <v>46</v>
      </c>
      <c r="O2444">
        <v>7</v>
      </c>
      <c r="P2444">
        <v>16052.850000000006</v>
      </c>
      <c r="Q2444">
        <v>15804.480000000005</v>
      </c>
    </row>
    <row r="2445" spans="7:17" x14ac:dyDescent="0.25">
      <c r="G2445" t="str">
        <f t="shared" si="38"/>
        <v/>
      </c>
      <c r="H2445" t="s">
        <v>47</v>
      </c>
      <c r="I2445" t="s">
        <v>10</v>
      </c>
      <c r="J2445" t="s">
        <v>4</v>
      </c>
      <c r="K2445" t="s">
        <v>32</v>
      </c>
      <c r="L2445" t="s">
        <v>42</v>
      </c>
      <c r="M2445" t="s">
        <v>20</v>
      </c>
      <c r="N2445">
        <v>13</v>
      </c>
      <c r="O2445">
        <v>2</v>
      </c>
      <c r="P2445">
        <v>3420.6200000000008</v>
      </c>
      <c r="Q2445">
        <v>0</v>
      </c>
    </row>
    <row r="2446" spans="7:17" x14ac:dyDescent="0.25">
      <c r="G2446" t="str">
        <f t="shared" si="38"/>
        <v/>
      </c>
      <c r="H2446" t="s">
        <v>47</v>
      </c>
      <c r="I2446" t="s">
        <v>10</v>
      </c>
      <c r="J2446" t="s">
        <v>4</v>
      </c>
      <c r="K2446" t="s">
        <v>32</v>
      </c>
      <c r="L2446" t="s">
        <v>43</v>
      </c>
      <c r="M2446" t="s">
        <v>19</v>
      </c>
      <c r="N2446">
        <v>2</v>
      </c>
      <c r="O2446">
        <v>1</v>
      </c>
      <c r="P2446">
        <v>1999.51</v>
      </c>
      <c r="Q2446">
        <v>1461.96</v>
      </c>
    </row>
    <row r="2447" spans="7:17" x14ac:dyDescent="0.25">
      <c r="G2447" t="str">
        <f t="shared" si="38"/>
        <v/>
      </c>
      <c r="H2447" t="s">
        <v>47</v>
      </c>
      <c r="I2447" t="s">
        <v>10</v>
      </c>
      <c r="J2447" t="s">
        <v>4</v>
      </c>
      <c r="K2447" t="s">
        <v>32</v>
      </c>
      <c r="L2447" t="s">
        <v>43</v>
      </c>
      <c r="M2447" t="s">
        <v>20</v>
      </c>
      <c r="N2447">
        <v>8</v>
      </c>
      <c r="O2447">
        <v>2</v>
      </c>
      <c r="P2447">
        <v>4806.08</v>
      </c>
      <c r="Q2447">
        <v>0</v>
      </c>
    </row>
    <row r="2448" spans="7:17" x14ac:dyDescent="0.25">
      <c r="G2448" t="str">
        <f t="shared" si="38"/>
        <v/>
      </c>
      <c r="H2448" t="s">
        <v>47</v>
      </c>
      <c r="I2448" t="s">
        <v>10</v>
      </c>
      <c r="J2448" t="s">
        <v>4</v>
      </c>
      <c r="K2448" t="s">
        <v>32</v>
      </c>
      <c r="L2448" t="s">
        <v>44</v>
      </c>
      <c r="M2448" t="s">
        <v>19</v>
      </c>
      <c r="N2448">
        <v>6</v>
      </c>
      <c r="O2448">
        <v>1</v>
      </c>
      <c r="P2448">
        <v>5507.4600000000009</v>
      </c>
      <c r="Q2448">
        <v>200</v>
      </c>
    </row>
    <row r="2449" spans="7:17" x14ac:dyDescent="0.25">
      <c r="G2449" t="str">
        <f t="shared" si="38"/>
        <v/>
      </c>
      <c r="H2449" t="s">
        <v>47</v>
      </c>
      <c r="I2449" t="s">
        <v>10</v>
      </c>
      <c r="J2449" t="s">
        <v>4</v>
      </c>
      <c r="K2449" t="s">
        <v>32</v>
      </c>
      <c r="L2449" t="s">
        <v>44</v>
      </c>
      <c r="M2449" t="s">
        <v>20</v>
      </c>
      <c r="N2449">
        <v>16</v>
      </c>
      <c r="O2449">
        <v>6</v>
      </c>
      <c r="P2449">
        <v>15267.770000000002</v>
      </c>
      <c r="Q2449">
        <v>0</v>
      </c>
    </row>
    <row r="2450" spans="7:17" x14ac:dyDescent="0.25">
      <c r="G2450" t="str">
        <f t="shared" si="38"/>
        <v/>
      </c>
      <c r="H2450" t="s">
        <v>47</v>
      </c>
      <c r="I2450" t="s">
        <v>10</v>
      </c>
      <c r="J2450" t="s">
        <v>4</v>
      </c>
      <c r="K2450" t="s">
        <v>32</v>
      </c>
      <c r="L2450" t="s">
        <v>39</v>
      </c>
      <c r="M2450" t="s">
        <v>20</v>
      </c>
      <c r="N2450">
        <v>2</v>
      </c>
      <c r="O2450">
        <v>2</v>
      </c>
      <c r="P2450">
        <v>668.99</v>
      </c>
      <c r="Q2450">
        <v>0</v>
      </c>
    </row>
    <row r="2451" spans="7:17" x14ac:dyDescent="0.25">
      <c r="G2451" t="str">
        <f t="shared" si="38"/>
        <v/>
      </c>
      <c r="H2451" t="s">
        <v>47</v>
      </c>
      <c r="I2451" t="s">
        <v>10</v>
      </c>
      <c r="J2451" t="s">
        <v>4</v>
      </c>
      <c r="K2451" t="s">
        <v>32</v>
      </c>
      <c r="L2451" t="s">
        <v>40</v>
      </c>
      <c r="M2451" t="s">
        <v>20</v>
      </c>
      <c r="N2451">
        <v>3</v>
      </c>
      <c r="O2451">
        <v>1</v>
      </c>
      <c r="P2451">
        <v>3345.53</v>
      </c>
      <c r="Q2451">
        <v>0</v>
      </c>
    </row>
    <row r="2452" spans="7:17" x14ac:dyDescent="0.25">
      <c r="G2452" t="str">
        <f t="shared" si="38"/>
        <v/>
      </c>
      <c r="H2452" t="s">
        <v>47</v>
      </c>
      <c r="I2452" t="s">
        <v>10</v>
      </c>
      <c r="J2452" t="s">
        <v>4</v>
      </c>
      <c r="K2452" t="s">
        <v>32</v>
      </c>
      <c r="L2452" t="s">
        <v>41</v>
      </c>
      <c r="M2452" t="s">
        <v>20</v>
      </c>
      <c r="N2452">
        <v>1</v>
      </c>
      <c r="O2452">
        <v>1</v>
      </c>
      <c r="P2452">
        <v>754.16</v>
      </c>
      <c r="Q2452">
        <v>0</v>
      </c>
    </row>
    <row r="2453" spans="7:17" x14ac:dyDescent="0.25">
      <c r="G2453" t="str">
        <f t="shared" si="38"/>
        <v/>
      </c>
      <c r="H2453" t="s">
        <v>47</v>
      </c>
      <c r="I2453" t="s">
        <v>10</v>
      </c>
      <c r="J2453" t="s">
        <v>4</v>
      </c>
      <c r="K2453" t="s">
        <v>32</v>
      </c>
      <c r="L2453" t="s">
        <v>45</v>
      </c>
      <c r="M2453" t="s">
        <v>20</v>
      </c>
      <c r="N2453">
        <v>13</v>
      </c>
      <c r="O2453">
        <v>4</v>
      </c>
      <c r="P2453">
        <v>13400.380000000001</v>
      </c>
      <c r="Q2453">
        <v>0</v>
      </c>
    </row>
    <row r="2454" spans="7:17" x14ac:dyDescent="0.25">
      <c r="G2454" t="str">
        <f t="shared" si="38"/>
        <v/>
      </c>
      <c r="H2454" t="s">
        <v>47</v>
      </c>
      <c r="I2454" t="s">
        <v>10</v>
      </c>
      <c r="J2454" t="s">
        <v>4</v>
      </c>
      <c r="K2454" t="s">
        <v>33</v>
      </c>
      <c r="L2454" t="s">
        <v>42</v>
      </c>
      <c r="M2454" t="s">
        <v>19</v>
      </c>
      <c r="N2454">
        <v>248</v>
      </c>
      <c r="O2454">
        <v>59</v>
      </c>
      <c r="P2454">
        <v>105945.32999999996</v>
      </c>
      <c r="Q2454">
        <v>101075.16999999995</v>
      </c>
    </row>
    <row r="2455" spans="7:17" x14ac:dyDescent="0.25">
      <c r="G2455" t="str">
        <f t="shared" si="38"/>
        <v/>
      </c>
      <c r="H2455" t="s">
        <v>47</v>
      </c>
      <c r="I2455" t="s">
        <v>10</v>
      </c>
      <c r="J2455" t="s">
        <v>4</v>
      </c>
      <c r="K2455" t="s">
        <v>33</v>
      </c>
      <c r="L2455" t="s">
        <v>42</v>
      </c>
      <c r="M2455" t="s">
        <v>20</v>
      </c>
      <c r="N2455">
        <v>104</v>
      </c>
      <c r="O2455">
        <v>32</v>
      </c>
      <c r="P2455">
        <v>21674.050000000017</v>
      </c>
      <c r="Q2455">
        <v>0</v>
      </c>
    </row>
    <row r="2456" spans="7:17" x14ac:dyDescent="0.25">
      <c r="G2456" t="str">
        <f t="shared" si="38"/>
        <v/>
      </c>
      <c r="H2456" t="s">
        <v>47</v>
      </c>
      <c r="I2456" t="s">
        <v>10</v>
      </c>
      <c r="J2456" t="s">
        <v>4</v>
      </c>
      <c r="K2456" t="s">
        <v>33</v>
      </c>
      <c r="L2456" t="s">
        <v>43</v>
      </c>
      <c r="M2456" t="s">
        <v>19</v>
      </c>
      <c r="N2456">
        <v>14</v>
      </c>
      <c r="O2456">
        <v>11</v>
      </c>
      <c r="P2456">
        <v>11888.39</v>
      </c>
      <c r="Q2456">
        <v>9965.2100000000009</v>
      </c>
    </row>
    <row r="2457" spans="7:17" x14ac:dyDescent="0.25">
      <c r="G2457" t="str">
        <f t="shared" si="38"/>
        <v/>
      </c>
      <c r="H2457" t="s">
        <v>47</v>
      </c>
      <c r="I2457" t="s">
        <v>10</v>
      </c>
      <c r="J2457" t="s">
        <v>4</v>
      </c>
      <c r="K2457" t="s">
        <v>33</v>
      </c>
      <c r="L2457" t="s">
        <v>43</v>
      </c>
      <c r="M2457" t="s">
        <v>20</v>
      </c>
      <c r="N2457">
        <v>12</v>
      </c>
      <c r="O2457">
        <v>8</v>
      </c>
      <c r="P2457">
        <v>10362.34</v>
      </c>
      <c r="Q2457">
        <v>0</v>
      </c>
    </row>
    <row r="2458" spans="7:17" x14ac:dyDescent="0.25">
      <c r="G2458" t="str">
        <f t="shared" si="38"/>
        <v/>
      </c>
      <c r="H2458" t="s">
        <v>47</v>
      </c>
      <c r="I2458" t="s">
        <v>10</v>
      </c>
      <c r="J2458" t="s">
        <v>4</v>
      </c>
      <c r="K2458" t="s">
        <v>33</v>
      </c>
      <c r="L2458" t="s">
        <v>44</v>
      </c>
      <c r="M2458" t="s">
        <v>19</v>
      </c>
      <c r="N2458">
        <v>5</v>
      </c>
      <c r="O2458">
        <v>4</v>
      </c>
      <c r="P2458">
        <v>5675.14</v>
      </c>
      <c r="Q2458">
        <v>5129.42</v>
      </c>
    </row>
    <row r="2459" spans="7:17" x14ac:dyDescent="0.25">
      <c r="G2459" t="str">
        <f t="shared" si="38"/>
        <v/>
      </c>
      <c r="H2459" t="s">
        <v>47</v>
      </c>
      <c r="I2459" t="s">
        <v>10</v>
      </c>
      <c r="J2459" t="s">
        <v>4</v>
      </c>
      <c r="K2459" t="s">
        <v>33</v>
      </c>
      <c r="L2459" t="s">
        <v>44</v>
      </c>
      <c r="M2459" t="s">
        <v>20</v>
      </c>
      <c r="N2459">
        <v>20</v>
      </c>
      <c r="O2459">
        <v>15</v>
      </c>
      <c r="P2459">
        <v>15845.86</v>
      </c>
      <c r="Q2459">
        <v>0</v>
      </c>
    </row>
    <row r="2460" spans="7:17" x14ac:dyDescent="0.25">
      <c r="G2460" t="str">
        <f t="shared" si="38"/>
        <v/>
      </c>
      <c r="H2460" t="s">
        <v>47</v>
      </c>
      <c r="I2460" t="s">
        <v>10</v>
      </c>
      <c r="J2460" t="s">
        <v>4</v>
      </c>
      <c r="K2460" t="s">
        <v>33</v>
      </c>
      <c r="L2460" t="s">
        <v>39</v>
      </c>
      <c r="M2460" t="s">
        <v>19</v>
      </c>
      <c r="N2460">
        <v>1</v>
      </c>
      <c r="O2460">
        <v>1</v>
      </c>
      <c r="P2460">
        <v>435.39</v>
      </c>
      <c r="Q2460">
        <v>345.43</v>
      </c>
    </row>
    <row r="2461" spans="7:17" x14ac:dyDescent="0.25">
      <c r="G2461" t="str">
        <f t="shared" si="38"/>
        <v/>
      </c>
      <c r="H2461" t="s">
        <v>47</v>
      </c>
      <c r="I2461" t="s">
        <v>10</v>
      </c>
      <c r="J2461" t="s">
        <v>4</v>
      </c>
      <c r="K2461" t="s">
        <v>33</v>
      </c>
      <c r="L2461" t="s">
        <v>39</v>
      </c>
      <c r="M2461" t="s">
        <v>20</v>
      </c>
      <c r="N2461">
        <v>4</v>
      </c>
      <c r="O2461">
        <v>4</v>
      </c>
      <c r="P2461">
        <v>5940.15</v>
      </c>
      <c r="Q2461">
        <v>0</v>
      </c>
    </row>
    <row r="2462" spans="7:17" x14ac:dyDescent="0.25">
      <c r="G2462" t="str">
        <f t="shared" si="38"/>
        <v/>
      </c>
      <c r="H2462" t="s">
        <v>47</v>
      </c>
      <c r="I2462" t="s">
        <v>10</v>
      </c>
      <c r="J2462" t="s">
        <v>4</v>
      </c>
      <c r="K2462" t="s">
        <v>33</v>
      </c>
      <c r="L2462" t="s">
        <v>40</v>
      </c>
      <c r="M2462" t="s">
        <v>20</v>
      </c>
      <c r="N2462">
        <v>2</v>
      </c>
      <c r="O2462">
        <v>0</v>
      </c>
      <c r="P2462">
        <v>1197.98</v>
      </c>
      <c r="Q2462">
        <v>0</v>
      </c>
    </row>
    <row r="2463" spans="7:17" x14ac:dyDescent="0.25">
      <c r="G2463" t="str">
        <f t="shared" si="38"/>
        <v/>
      </c>
      <c r="H2463" t="s">
        <v>47</v>
      </c>
      <c r="I2463" t="s">
        <v>10</v>
      </c>
      <c r="J2463" t="s">
        <v>4</v>
      </c>
      <c r="K2463" t="s">
        <v>33</v>
      </c>
      <c r="L2463" t="s">
        <v>41</v>
      </c>
      <c r="M2463" t="s">
        <v>19</v>
      </c>
      <c r="N2463">
        <v>1</v>
      </c>
      <c r="O2463">
        <v>1</v>
      </c>
      <c r="P2463">
        <v>864.83</v>
      </c>
      <c r="Q2463">
        <v>864.83</v>
      </c>
    </row>
    <row r="2464" spans="7:17" x14ac:dyDescent="0.25">
      <c r="G2464" t="str">
        <f t="shared" si="38"/>
        <v/>
      </c>
      <c r="H2464" t="s">
        <v>47</v>
      </c>
      <c r="I2464" t="s">
        <v>10</v>
      </c>
      <c r="J2464" t="s">
        <v>4</v>
      </c>
      <c r="K2464" t="s">
        <v>33</v>
      </c>
      <c r="L2464" t="s">
        <v>41</v>
      </c>
      <c r="M2464" t="s">
        <v>20</v>
      </c>
      <c r="N2464">
        <v>4</v>
      </c>
      <c r="O2464">
        <v>2</v>
      </c>
      <c r="P2464">
        <v>4473.1900000000005</v>
      </c>
      <c r="Q2464">
        <v>0</v>
      </c>
    </row>
    <row r="2465" spans="7:17" x14ac:dyDescent="0.25">
      <c r="G2465" t="str">
        <f t="shared" si="38"/>
        <v/>
      </c>
      <c r="H2465" t="s">
        <v>47</v>
      </c>
      <c r="I2465" t="s">
        <v>10</v>
      </c>
      <c r="J2465" t="s">
        <v>4</v>
      </c>
      <c r="K2465" t="s">
        <v>33</v>
      </c>
      <c r="L2465" t="s">
        <v>45</v>
      </c>
      <c r="M2465" t="s">
        <v>19</v>
      </c>
      <c r="N2465">
        <v>7</v>
      </c>
      <c r="O2465">
        <v>4</v>
      </c>
      <c r="P2465">
        <v>4038.0999999999995</v>
      </c>
      <c r="Q2465">
        <v>2099.21</v>
      </c>
    </row>
    <row r="2466" spans="7:17" x14ac:dyDescent="0.25">
      <c r="G2466" t="str">
        <f t="shared" si="38"/>
        <v/>
      </c>
      <c r="H2466" t="s">
        <v>47</v>
      </c>
      <c r="I2466" t="s">
        <v>10</v>
      </c>
      <c r="J2466" t="s">
        <v>4</v>
      </c>
      <c r="K2466" t="s">
        <v>33</v>
      </c>
      <c r="L2466" t="s">
        <v>45</v>
      </c>
      <c r="M2466" t="s">
        <v>20</v>
      </c>
      <c r="N2466">
        <v>111</v>
      </c>
      <c r="O2466">
        <v>45</v>
      </c>
      <c r="P2466">
        <v>74699.130000000019</v>
      </c>
      <c r="Q2466">
        <v>0</v>
      </c>
    </row>
    <row r="2467" spans="7:17" x14ac:dyDescent="0.25">
      <c r="G2467" t="str">
        <f t="shared" si="38"/>
        <v/>
      </c>
      <c r="H2467" t="s">
        <v>47</v>
      </c>
      <c r="I2467" t="s">
        <v>10</v>
      </c>
      <c r="J2467" t="s">
        <v>4</v>
      </c>
      <c r="K2467" t="s">
        <v>34</v>
      </c>
      <c r="L2467" t="s">
        <v>42</v>
      </c>
      <c r="M2467" t="s">
        <v>19</v>
      </c>
      <c r="N2467">
        <v>126</v>
      </c>
      <c r="O2467">
        <v>57</v>
      </c>
      <c r="P2467">
        <v>60812.049999999996</v>
      </c>
      <c r="Q2467">
        <v>60408.299999999996</v>
      </c>
    </row>
    <row r="2468" spans="7:17" x14ac:dyDescent="0.25">
      <c r="G2468" t="str">
        <f t="shared" si="38"/>
        <v/>
      </c>
      <c r="H2468" t="s">
        <v>47</v>
      </c>
      <c r="I2468" t="s">
        <v>10</v>
      </c>
      <c r="J2468" t="s">
        <v>4</v>
      </c>
      <c r="K2468" t="s">
        <v>34</v>
      </c>
      <c r="L2468" t="s">
        <v>42</v>
      </c>
      <c r="M2468" t="s">
        <v>20</v>
      </c>
      <c r="N2468">
        <v>71</v>
      </c>
      <c r="O2468">
        <v>21</v>
      </c>
      <c r="P2468">
        <v>17148.019999999993</v>
      </c>
      <c r="Q2468">
        <v>0</v>
      </c>
    </row>
    <row r="2469" spans="7:17" x14ac:dyDescent="0.25">
      <c r="G2469" t="str">
        <f t="shared" si="38"/>
        <v/>
      </c>
      <c r="H2469" t="s">
        <v>47</v>
      </c>
      <c r="I2469" t="s">
        <v>10</v>
      </c>
      <c r="J2469" t="s">
        <v>4</v>
      </c>
      <c r="K2469" t="s">
        <v>34</v>
      </c>
      <c r="L2469" t="s">
        <v>43</v>
      </c>
      <c r="M2469" t="s">
        <v>19</v>
      </c>
      <c r="N2469">
        <v>9</v>
      </c>
      <c r="O2469">
        <v>6</v>
      </c>
      <c r="P2469">
        <v>6198.5999999999995</v>
      </c>
      <c r="Q2469">
        <v>5604.2199999999993</v>
      </c>
    </row>
    <row r="2470" spans="7:17" x14ac:dyDescent="0.25">
      <c r="G2470" t="str">
        <f t="shared" si="38"/>
        <v/>
      </c>
      <c r="H2470" t="s">
        <v>47</v>
      </c>
      <c r="I2470" t="s">
        <v>10</v>
      </c>
      <c r="J2470" t="s">
        <v>4</v>
      </c>
      <c r="K2470" t="s">
        <v>34</v>
      </c>
      <c r="L2470" t="s">
        <v>43</v>
      </c>
      <c r="M2470" t="s">
        <v>20</v>
      </c>
      <c r="N2470">
        <v>30</v>
      </c>
      <c r="O2470">
        <v>16</v>
      </c>
      <c r="P2470">
        <v>18639.240000000002</v>
      </c>
      <c r="Q2470">
        <v>0</v>
      </c>
    </row>
    <row r="2471" spans="7:17" x14ac:dyDescent="0.25">
      <c r="G2471" t="str">
        <f t="shared" si="38"/>
        <v/>
      </c>
      <c r="H2471" t="s">
        <v>47</v>
      </c>
      <c r="I2471" t="s">
        <v>10</v>
      </c>
      <c r="J2471" t="s">
        <v>4</v>
      </c>
      <c r="K2471" t="s">
        <v>34</v>
      </c>
      <c r="L2471" t="s">
        <v>44</v>
      </c>
      <c r="M2471" t="s">
        <v>19</v>
      </c>
      <c r="N2471">
        <v>15</v>
      </c>
      <c r="O2471">
        <v>8</v>
      </c>
      <c r="P2471">
        <v>13725.249999999998</v>
      </c>
      <c r="Q2471">
        <v>10773.679999999998</v>
      </c>
    </row>
    <row r="2472" spans="7:17" x14ac:dyDescent="0.25">
      <c r="G2472" t="str">
        <f t="shared" si="38"/>
        <v/>
      </c>
      <c r="H2472" t="s">
        <v>47</v>
      </c>
      <c r="I2472" t="s">
        <v>10</v>
      </c>
      <c r="J2472" t="s">
        <v>4</v>
      </c>
      <c r="K2472" t="s">
        <v>34</v>
      </c>
      <c r="L2472" t="s">
        <v>44</v>
      </c>
      <c r="M2472" t="s">
        <v>20</v>
      </c>
      <c r="N2472">
        <v>20</v>
      </c>
      <c r="O2472">
        <v>10</v>
      </c>
      <c r="P2472">
        <v>9933.369999999999</v>
      </c>
      <c r="Q2472">
        <v>0</v>
      </c>
    </row>
    <row r="2473" spans="7:17" x14ac:dyDescent="0.25">
      <c r="G2473" t="str">
        <f t="shared" si="38"/>
        <v/>
      </c>
      <c r="H2473" t="s">
        <v>47</v>
      </c>
      <c r="I2473" t="s">
        <v>10</v>
      </c>
      <c r="J2473" t="s">
        <v>4</v>
      </c>
      <c r="K2473" t="s">
        <v>34</v>
      </c>
      <c r="L2473" t="s">
        <v>39</v>
      </c>
      <c r="M2473" t="s">
        <v>19</v>
      </c>
      <c r="N2473">
        <v>1</v>
      </c>
      <c r="O2473">
        <v>1</v>
      </c>
      <c r="P2473">
        <v>718.3</v>
      </c>
      <c r="Q2473">
        <v>718.3</v>
      </c>
    </row>
    <row r="2474" spans="7:17" x14ac:dyDescent="0.25">
      <c r="G2474" t="str">
        <f t="shared" si="38"/>
        <v/>
      </c>
      <c r="H2474" t="s">
        <v>47</v>
      </c>
      <c r="I2474" t="s">
        <v>10</v>
      </c>
      <c r="J2474" t="s">
        <v>4</v>
      </c>
      <c r="K2474" t="s">
        <v>34</v>
      </c>
      <c r="L2474" t="s">
        <v>39</v>
      </c>
      <c r="M2474" t="s">
        <v>20</v>
      </c>
      <c r="N2474">
        <v>7</v>
      </c>
      <c r="O2474">
        <v>6</v>
      </c>
      <c r="P2474">
        <v>3709.53</v>
      </c>
      <c r="Q2474">
        <v>0</v>
      </c>
    </row>
    <row r="2475" spans="7:17" x14ac:dyDescent="0.25">
      <c r="G2475" t="str">
        <f t="shared" si="38"/>
        <v/>
      </c>
      <c r="H2475" t="s">
        <v>47</v>
      </c>
      <c r="I2475" t="s">
        <v>10</v>
      </c>
      <c r="J2475" t="s">
        <v>4</v>
      </c>
      <c r="K2475" t="s">
        <v>34</v>
      </c>
      <c r="L2475" t="s">
        <v>40</v>
      </c>
      <c r="M2475" t="s">
        <v>20</v>
      </c>
      <c r="N2475">
        <v>8</v>
      </c>
      <c r="O2475">
        <v>4</v>
      </c>
      <c r="P2475">
        <v>5283.96</v>
      </c>
      <c r="Q2475">
        <v>0</v>
      </c>
    </row>
    <row r="2476" spans="7:17" x14ac:dyDescent="0.25">
      <c r="G2476" t="str">
        <f t="shared" si="38"/>
        <v/>
      </c>
      <c r="H2476" t="s">
        <v>47</v>
      </c>
      <c r="I2476" t="s">
        <v>10</v>
      </c>
      <c r="J2476" t="s">
        <v>4</v>
      </c>
      <c r="K2476" t="s">
        <v>34</v>
      </c>
      <c r="L2476" t="s">
        <v>41</v>
      </c>
      <c r="M2476" t="s">
        <v>19</v>
      </c>
      <c r="N2476">
        <v>1</v>
      </c>
      <c r="O2476">
        <v>0</v>
      </c>
      <c r="P2476">
        <v>1359.39</v>
      </c>
      <c r="Q2476">
        <v>1078.6500000000001</v>
      </c>
    </row>
    <row r="2477" spans="7:17" x14ac:dyDescent="0.25">
      <c r="G2477" t="str">
        <f t="shared" si="38"/>
        <v/>
      </c>
      <c r="H2477" t="s">
        <v>47</v>
      </c>
      <c r="I2477" t="s">
        <v>10</v>
      </c>
      <c r="J2477" t="s">
        <v>4</v>
      </c>
      <c r="K2477" t="s">
        <v>34</v>
      </c>
      <c r="L2477" t="s">
        <v>41</v>
      </c>
      <c r="M2477" t="s">
        <v>20</v>
      </c>
      <c r="N2477">
        <v>2</v>
      </c>
      <c r="O2477">
        <v>0</v>
      </c>
      <c r="P2477">
        <v>2002.79</v>
      </c>
      <c r="Q2477">
        <v>0</v>
      </c>
    </row>
    <row r="2478" spans="7:17" x14ac:dyDescent="0.25">
      <c r="G2478" t="str">
        <f t="shared" si="38"/>
        <v/>
      </c>
      <c r="H2478" t="s">
        <v>47</v>
      </c>
      <c r="I2478" t="s">
        <v>10</v>
      </c>
      <c r="J2478" t="s">
        <v>4</v>
      </c>
      <c r="K2478" t="s">
        <v>34</v>
      </c>
      <c r="L2478" t="s">
        <v>45</v>
      </c>
      <c r="M2478" t="s">
        <v>20</v>
      </c>
      <c r="N2478">
        <v>62</v>
      </c>
      <c r="O2478">
        <v>32</v>
      </c>
      <c r="P2478">
        <v>36601.640000000007</v>
      </c>
      <c r="Q2478">
        <v>0</v>
      </c>
    </row>
    <row r="2479" spans="7:17" x14ac:dyDescent="0.25">
      <c r="G2479" t="str">
        <f t="shared" si="38"/>
        <v/>
      </c>
      <c r="H2479" t="s">
        <v>47</v>
      </c>
      <c r="I2479" t="s">
        <v>10</v>
      </c>
      <c r="J2479" t="s">
        <v>4</v>
      </c>
      <c r="K2479" t="s">
        <v>35</v>
      </c>
      <c r="L2479" t="s">
        <v>42</v>
      </c>
      <c r="M2479" t="s">
        <v>19</v>
      </c>
      <c r="N2479">
        <v>378</v>
      </c>
      <c r="O2479">
        <v>152</v>
      </c>
      <c r="P2479">
        <v>183375.11000000013</v>
      </c>
      <c r="Q2479">
        <v>181960.60000000018</v>
      </c>
    </row>
    <row r="2480" spans="7:17" x14ac:dyDescent="0.25">
      <c r="G2480" t="str">
        <f t="shared" si="38"/>
        <v/>
      </c>
      <c r="H2480" t="s">
        <v>47</v>
      </c>
      <c r="I2480" t="s">
        <v>10</v>
      </c>
      <c r="J2480" t="s">
        <v>4</v>
      </c>
      <c r="K2480" t="s">
        <v>35</v>
      </c>
      <c r="L2480" t="s">
        <v>42</v>
      </c>
      <c r="M2480" t="s">
        <v>20</v>
      </c>
      <c r="N2480">
        <v>216</v>
      </c>
      <c r="O2480">
        <v>80</v>
      </c>
      <c r="P2480">
        <v>52006.559999999998</v>
      </c>
      <c r="Q2480">
        <v>0</v>
      </c>
    </row>
    <row r="2481" spans="7:17" x14ac:dyDescent="0.25">
      <c r="G2481" t="str">
        <f t="shared" si="38"/>
        <v/>
      </c>
      <c r="H2481" t="s">
        <v>47</v>
      </c>
      <c r="I2481" t="s">
        <v>10</v>
      </c>
      <c r="J2481" t="s">
        <v>4</v>
      </c>
      <c r="K2481" t="s">
        <v>35</v>
      </c>
      <c r="L2481" t="s">
        <v>43</v>
      </c>
      <c r="M2481" t="s">
        <v>19</v>
      </c>
      <c r="N2481">
        <v>18</v>
      </c>
      <c r="O2481">
        <v>12</v>
      </c>
      <c r="P2481">
        <v>14442.42</v>
      </c>
      <c r="Q2481">
        <v>12986.35</v>
      </c>
    </row>
    <row r="2482" spans="7:17" x14ac:dyDescent="0.25">
      <c r="G2482" t="str">
        <f t="shared" si="38"/>
        <v/>
      </c>
      <c r="H2482" t="s">
        <v>47</v>
      </c>
      <c r="I2482" t="s">
        <v>10</v>
      </c>
      <c r="J2482" t="s">
        <v>4</v>
      </c>
      <c r="K2482" t="s">
        <v>35</v>
      </c>
      <c r="L2482" t="s">
        <v>43</v>
      </c>
      <c r="M2482" t="s">
        <v>20</v>
      </c>
      <c r="N2482">
        <v>39</v>
      </c>
      <c r="O2482">
        <v>19</v>
      </c>
      <c r="P2482">
        <v>29746.069999999996</v>
      </c>
      <c r="Q2482">
        <v>0</v>
      </c>
    </row>
    <row r="2483" spans="7:17" x14ac:dyDescent="0.25">
      <c r="G2483" t="str">
        <f t="shared" si="38"/>
        <v/>
      </c>
      <c r="H2483" t="s">
        <v>47</v>
      </c>
      <c r="I2483" t="s">
        <v>10</v>
      </c>
      <c r="J2483" t="s">
        <v>4</v>
      </c>
      <c r="K2483" t="s">
        <v>35</v>
      </c>
      <c r="L2483" t="s">
        <v>44</v>
      </c>
      <c r="M2483" t="s">
        <v>19</v>
      </c>
      <c r="N2483">
        <v>25</v>
      </c>
      <c r="O2483">
        <v>14</v>
      </c>
      <c r="P2483">
        <v>32837.679999999993</v>
      </c>
      <c r="Q2483">
        <v>11022.740000000002</v>
      </c>
    </row>
    <row r="2484" spans="7:17" x14ac:dyDescent="0.25">
      <c r="G2484" t="str">
        <f t="shared" si="38"/>
        <v/>
      </c>
      <c r="H2484" t="s">
        <v>47</v>
      </c>
      <c r="I2484" t="s">
        <v>10</v>
      </c>
      <c r="J2484" t="s">
        <v>4</v>
      </c>
      <c r="K2484" t="s">
        <v>35</v>
      </c>
      <c r="L2484" t="s">
        <v>44</v>
      </c>
      <c r="M2484" t="s">
        <v>20</v>
      </c>
      <c r="N2484">
        <v>41</v>
      </c>
      <c r="O2484">
        <v>27</v>
      </c>
      <c r="P2484">
        <v>31239.729999999992</v>
      </c>
      <c r="Q2484">
        <v>0</v>
      </c>
    </row>
    <row r="2485" spans="7:17" x14ac:dyDescent="0.25">
      <c r="G2485" t="str">
        <f t="shared" si="38"/>
        <v/>
      </c>
      <c r="H2485" t="s">
        <v>47</v>
      </c>
      <c r="I2485" t="s">
        <v>10</v>
      </c>
      <c r="J2485" t="s">
        <v>4</v>
      </c>
      <c r="K2485" t="s">
        <v>36</v>
      </c>
      <c r="L2485" t="s">
        <v>42</v>
      </c>
      <c r="M2485" t="s">
        <v>19</v>
      </c>
      <c r="N2485">
        <v>297</v>
      </c>
      <c r="O2485">
        <v>116</v>
      </c>
      <c r="P2485">
        <v>127895.07000000002</v>
      </c>
      <c r="Q2485">
        <v>126751.00000000007</v>
      </c>
    </row>
    <row r="2486" spans="7:17" x14ac:dyDescent="0.25">
      <c r="G2486" t="str">
        <f t="shared" si="38"/>
        <v/>
      </c>
      <c r="H2486" t="s">
        <v>47</v>
      </c>
      <c r="I2486" t="s">
        <v>10</v>
      </c>
      <c r="J2486" t="s">
        <v>4</v>
      </c>
      <c r="K2486" t="s">
        <v>36</v>
      </c>
      <c r="L2486" t="s">
        <v>42</v>
      </c>
      <c r="M2486" t="s">
        <v>20</v>
      </c>
      <c r="N2486">
        <v>130</v>
      </c>
      <c r="O2486">
        <v>44</v>
      </c>
      <c r="P2486">
        <v>31260.850000000002</v>
      </c>
      <c r="Q2486">
        <v>0</v>
      </c>
    </row>
    <row r="2487" spans="7:17" x14ac:dyDescent="0.25">
      <c r="G2487" t="str">
        <f t="shared" si="38"/>
        <v/>
      </c>
      <c r="H2487" t="s">
        <v>47</v>
      </c>
      <c r="I2487" t="s">
        <v>10</v>
      </c>
      <c r="J2487" t="s">
        <v>4</v>
      </c>
      <c r="K2487" t="s">
        <v>36</v>
      </c>
      <c r="L2487" t="s">
        <v>43</v>
      </c>
      <c r="M2487" t="s">
        <v>19</v>
      </c>
      <c r="N2487">
        <v>28</v>
      </c>
      <c r="O2487">
        <v>23</v>
      </c>
      <c r="P2487">
        <v>23565.040000000008</v>
      </c>
      <c r="Q2487">
        <v>22575.240000000005</v>
      </c>
    </row>
    <row r="2488" spans="7:17" x14ac:dyDescent="0.25">
      <c r="G2488" t="str">
        <f t="shared" si="38"/>
        <v/>
      </c>
      <c r="H2488" t="s">
        <v>47</v>
      </c>
      <c r="I2488" t="s">
        <v>10</v>
      </c>
      <c r="J2488" t="s">
        <v>4</v>
      </c>
      <c r="K2488" t="s">
        <v>36</v>
      </c>
      <c r="L2488" t="s">
        <v>43</v>
      </c>
      <c r="M2488" t="s">
        <v>20</v>
      </c>
      <c r="N2488">
        <v>56</v>
      </c>
      <c r="O2488">
        <v>23</v>
      </c>
      <c r="P2488">
        <v>38107.179999999993</v>
      </c>
      <c r="Q2488">
        <v>0</v>
      </c>
    </row>
    <row r="2489" spans="7:17" x14ac:dyDescent="0.25">
      <c r="G2489" t="str">
        <f t="shared" si="38"/>
        <v/>
      </c>
      <c r="H2489" t="s">
        <v>47</v>
      </c>
      <c r="I2489" t="s">
        <v>10</v>
      </c>
      <c r="J2489" t="s">
        <v>4</v>
      </c>
      <c r="K2489" t="s">
        <v>36</v>
      </c>
      <c r="L2489" t="s">
        <v>44</v>
      </c>
      <c r="M2489" t="s">
        <v>19</v>
      </c>
      <c r="N2489">
        <v>14</v>
      </c>
      <c r="O2489">
        <v>12</v>
      </c>
      <c r="P2489">
        <v>14269.25</v>
      </c>
      <c r="Q2489">
        <v>9819.34</v>
      </c>
    </row>
    <row r="2490" spans="7:17" x14ac:dyDescent="0.25">
      <c r="G2490" t="str">
        <f t="shared" si="38"/>
        <v/>
      </c>
      <c r="H2490" t="s">
        <v>47</v>
      </c>
      <c r="I2490" t="s">
        <v>10</v>
      </c>
      <c r="J2490" t="s">
        <v>4</v>
      </c>
      <c r="K2490" t="s">
        <v>36</v>
      </c>
      <c r="L2490" t="s">
        <v>44</v>
      </c>
      <c r="M2490" t="s">
        <v>20</v>
      </c>
      <c r="N2490">
        <v>25</v>
      </c>
      <c r="O2490">
        <v>13</v>
      </c>
      <c r="P2490">
        <v>15242.76</v>
      </c>
      <c r="Q2490">
        <v>0</v>
      </c>
    </row>
    <row r="2491" spans="7:17" x14ac:dyDescent="0.25">
      <c r="G2491" t="str">
        <f t="shared" si="38"/>
        <v/>
      </c>
      <c r="H2491" t="s">
        <v>47</v>
      </c>
      <c r="I2491" t="s">
        <v>10</v>
      </c>
      <c r="J2491" t="s">
        <v>4</v>
      </c>
      <c r="K2491" t="s">
        <v>36</v>
      </c>
      <c r="L2491" t="s">
        <v>39</v>
      </c>
      <c r="M2491" t="s">
        <v>19</v>
      </c>
      <c r="N2491">
        <v>4</v>
      </c>
      <c r="O2491">
        <v>4</v>
      </c>
      <c r="P2491">
        <v>6406.99</v>
      </c>
      <c r="Q2491">
        <v>4910.67</v>
      </c>
    </row>
    <row r="2492" spans="7:17" x14ac:dyDescent="0.25">
      <c r="G2492" t="str">
        <f t="shared" si="38"/>
        <v/>
      </c>
      <c r="H2492" t="s">
        <v>47</v>
      </c>
      <c r="I2492" t="s">
        <v>10</v>
      </c>
      <c r="J2492" t="s">
        <v>4</v>
      </c>
      <c r="K2492" t="s">
        <v>36</v>
      </c>
      <c r="L2492" t="s">
        <v>39</v>
      </c>
      <c r="M2492" t="s">
        <v>20</v>
      </c>
      <c r="N2492">
        <v>32</v>
      </c>
      <c r="O2492">
        <v>22</v>
      </c>
      <c r="P2492">
        <v>22352.63</v>
      </c>
      <c r="Q2492">
        <v>0</v>
      </c>
    </row>
    <row r="2493" spans="7:17" x14ac:dyDescent="0.25">
      <c r="G2493" t="str">
        <f t="shared" si="38"/>
        <v/>
      </c>
      <c r="H2493" t="s">
        <v>47</v>
      </c>
      <c r="I2493" t="s">
        <v>10</v>
      </c>
      <c r="J2493" t="s">
        <v>4</v>
      </c>
      <c r="K2493" t="s">
        <v>36</v>
      </c>
      <c r="L2493" t="s">
        <v>40</v>
      </c>
      <c r="M2493" t="s">
        <v>19</v>
      </c>
      <c r="N2493">
        <v>1</v>
      </c>
      <c r="O2493">
        <v>0</v>
      </c>
      <c r="P2493">
        <v>1005.45</v>
      </c>
      <c r="Q2493">
        <v>1005.45</v>
      </c>
    </row>
    <row r="2494" spans="7:17" x14ac:dyDescent="0.25">
      <c r="G2494" t="str">
        <f t="shared" si="38"/>
        <v/>
      </c>
      <c r="H2494" t="s">
        <v>47</v>
      </c>
      <c r="I2494" t="s">
        <v>10</v>
      </c>
      <c r="J2494" t="s">
        <v>4</v>
      </c>
      <c r="K2494" t="s">
        <v>36</v>
      </c>
      <c r="L2494" t="s">
        <v>40</v>
      </c>
      <c r="M2494" t="s">
        <v>20</v>
      </c>
      <c r="N2494">
        <v>9</v>
      </c>
      <c r="O2494">
        <v>4</v>
      </c>
      <c r="P2494">
        <v>4419.33</v>
      </c>
      <c r="Q2494">
        <v>0</v>
      </c>
    </row>
    <row r="2495" spans="7:17" x14ac:dyDescent="0.25">
      <c r="G2495" t="str">
        <f t="shared" si="38"/>
        <v/>
      </c>
      <c r="H2495" t="s">
        <v>47</v>
      </c>
      <c r="I2495" t="s">
        <v>10</v>
      </c>
      <c r="J2495" t="s">
        <v>4</v>
      </c>
      <c r="K2495" t="s">
        <v>36</v>
      </c>
      <c r="L2495" t="s">
        <v>41</v>
      </c>
      <c r="M2495" t="s">
        <v>20</v>
      </c>
      <c r="N2495">
        <v>8</v>
      </c>
      <c r="O2495">
        <v>6</v>
      </c>
      <c r="P2495">
        <v>7012.119999999999</v>
      </c>
      <c r="Q2495">
        <v>0</v>
      </c>
    </row>
    <row r="2496" spans="7:17" x14ac:dyDescent="0.25">
      <c r="G2496" t="str">
        <f t="shared" si="38"/>
        <v/>
      </c>
      <c r="H2496" t="s">
        <v>47</v>
      </c>
      <c r="I2496" t="s">
        <v>10</v>
      </c>
      <c r="J2496" t="s">
        <v>4</v>
      </c>
      <c r="K2496" t="s">
        <v>36</v>
      </c>
      <c r="L2496" t="s">
        <v>45</v>
      </c>
      <c r="M2496" t="s">
        <v>19</v>
      </c>
      <c r="N2496">
        <v>1</v>
      </c>
      <c r="O2496">
        <v>1</v>
      </c>
      <c r="P2496">
        <v>746.26</v>
      </c>
      <c r="Q2496">
        <v>746.26</v>
      </c>
    </row>
    <row r="2497" spans="7:17" x14ac:dyDescent="0.25">
      <c r="G2497" t="str">
        <f t="shared" si="38"/>
        <v/>
      </c>
      <c r="H2497" t="s">
        <v>47</v>
      </c>
      <c r="I2497" t="s">
        <v>10</v>
      </c>
      <c r="J2497" t="s">
        <v>4</v>
      </c>
      <c r="K2497" t="s">
        <v>36</v>
      </c>
      <c r="L2497" t="s">
        <v>45</v>
      </c>
      <c r="M2497" t="s">
        <v>20</v>
      </c>
      <c r="N2497">
        <v>75</v>
      </c>
      <c r="O2497">
        <v>36</v>
      </c>
      <c r="P2497">
        <v>47935.539999999979</v>
      </c>
      <c r="Q2497">
        <v>0</v>
      </c>
    </row>
    <row r="2498" spans="7:17" x14ac:dyDescent="0.25">
      <c r="G2498" t="str">
        <f t="shared" ref="G2498:G2561" si="39">IF(G$1="Overall","Overall",IF(G$1=L2498,L2498,""))</f>
        <v/>
      </c>
      <c r="H2498" t="s">
        <v>47</v>
      </c>
      <c r="I2498" t="s">
        <v>10</v>
      </c>
      <c r="J2498" t="s">
        <v>4</v>
      </c>
      <c r="K2498" t="s">
        <v>37</v>
      </c>
      <c r="L2498" t="s">
        <v>42</v>
      </c>
      <c r="M2498" t="s">
        <v>19</v>
      </c>
      <c r="N2498">
        <v>341</v>
      </c>
      <c r="O2498">
        <v>113</v>
      </c>
      <c r="P2498">
        <v>146154.18000000002</v>
      </c>
      <c r="Q2498">
        <v>144685.02000000008</v>
      </c>
    </row>
    <row r="2499" spans="7:17" x14ac:dyDescent="0.25">
      <c r="G2499" t="str">
        <f t="shared" si="39"/>
        <v/>
      </c>
      <c r="H2499" t="s">
        <v>47</v>
      </c>
      <c r="I2499" t="s">
        <v>10</v>
      </c>
      <c r="J2499" t="s">
        <v>4</v>
      </c>
      <c r="K2499" t="s">
        <v>37</v>
      </c>
      <c r="L2499" t="s">
        <v>42</v>
      </c>
      <c r="M2499" t="s">
        <v>20</v>
      </c>
      <c r="N2499">
        <v>136</v>
      </c>
      <c r="O2499">
        <v>47</v>
      </c>
      <c r="P2499">
        <v>32087.19999999999</v>
      </c>
      <c r="Q2499">
        <v>0</v>
      </c>
    </row>
    <row r="2500" spans="7:17" x14ac:dyDescent="0.25">
      <c r="G2500" t="str">
        <f t="shared" si="39"/>
        <v/>
      </c>
      <c r="H2500" t="s">
        <v>47</v>
      </c>
      <c r="I2500" t="s">
        <v>10</v>
      </c>
      <c r="J2500" t="s">
        <v>4</v>
      </c>
      <c r="K2500" t="s">
        <v>37</v>
      </c>
      <c r="L2500" t="s">
        <v>43</v>
      </c>
      <c r="M2500" t="s">
        <v>19</v>
      </c>
      <c r="N2500">
        <v>34</v>
      </c>
      <c r="O2500">
        <v>19</v>
      </c>
      <c r="P2500">
        <v>24361.309999999998</v>
      </c>
      <c r="Q2500">
        <v>22282.05</v>
      </c>
    </row>
    <row r="2501" spans="7:17" x14ac:dyDescent="0.25">
      <c r="G2501" t="str">
        <f t="shared" si="39"/>
        <v/>
      </c>
      <c r="H2501" t="s">
        <v>47</v>
      </c>
      <c r="I2501" t="s">
        <v>10</v>
      </c>
      <c r="J2501" t="s">
        <v>4</v>
      </c>
      <c r="K2501" t="s">
        <v>37</v>
      </c>
      <c r="L2501" t="s">
        <v>43</v>
      </c>
      <c r="M2501" t="s">
        <v>20</v>
      </c>
      <c r="N2501">
        <v>36</v>
      </c>
      <c r="O2501">
        <v>16</v>
      </c>
      <c r="P2501">
        <v>21901.7</v>
      </c>
      <c r="Q2501">
        <v>0</v>
      </c>
    </row>
    <row r="2502" spans="7:17" x14ac:dyDescent="0.25">
      <c r="G2502" t="str">
        <f t="shared" si="39"/>
        <v/>
      </c>
      <c r="H2502" t="s">
        <v>47</v>
      </c>
      <c r="I2502" t="s">
        <v>10</v>
      </c>
      <c r="J2502" t="s">
        <v>4</v>
      </c>
      <c r="K2502" t="s">
        <v>37</v>
      </c>
      <c r="L2502" t="s">
        <v>44</v>
      </c>
      <c r="M2502" t="s">
        <v>19</v>
      </c>
      <c r="N2502">
        <v>5</v>
      </c>
      <c r="O2502">
        <v>4</v>
      </c>
      <c r="P2502">
        <v>4033.8700000000003</v>
      </c>
      <c r="Q2502">
        <v>3578.71</v>
      </c>
    </row>
    <row r="2503" spans="7:17" x14ac:dyDescent="0.25">
      <c r="G2503" t="str">
        <f t="shared" si="39"/>
        <v/>
      </c>
      <c r="H2503" t="s">
        <v>47</v>
      </c>
      <c r="I2503" t="s">
        <v>10</v>
      </c>
      <c r="J2503" t="s">
        <v>4</v>
      </c>
      <c r="K2503" t="s">
        <v>37</v>
      </c>
      <c r="L2503" t="s">
        <v>44</v>
      </c>
      <c r="M2503" t="s">
        <v>20</v>
      </c>
      <c r="N2503">
        <v>29</v>
      </c>
      <c r="O2503">
        <v>17</v>
      </c>
      <c r="P2503">
        <v>18230.719999999998</v>
      </c>
      <c r="Q2503">
        <v>0</v>
      </c>
    </row>
    <row r="2504" spans="7:17" x14ac:dyDescent="0.25">
      <c r="G2504" t="str">
        <f t="shared" si="39"/>
        <v/>
      </c>
      <c r="H2504" t="s">
        <v>47</v>
      </c>
      <c r="I2504" t="s">
        <v>10</v>
      </c>
      <c r="J2504" t="s">
        <v>4</v>
      </c>
      <c r="K2504" t="s">
        <v>37</v>
      </c>
      <c r="L2504" t="s">
        <v>39</v>
      </c>
      <c r="M2504" t="s">
        <v>19</v>
      </c>
      <c r="N2504">
        <v>2</v>
      </c>
      <c r="O2504">
        <v>2</v>
      </c>
      <c r="P2504">
        <v>3006.3599999999997</v>
      </c>
      <c r="Q2504">
        <v>3006.3599999999997</v>
      </c>
    </row>
    <row r="2505" spans="7:17" x14ac:dyDescent="0.25">
      <c r="G2505" t="str">
        <f t="shared" si="39"/>
        <v/>
      </c>
      <c r="H2505" t="s">
        <v>47</v>
      </c>
      <c r="I2505" t="s">
        <v>10</v>
      </c>
      <c r="J2505" t="s">
        <v>4</v>
      </c>
      <c r="K2505" t="s">
        <v>37</v>
      </c>
      <c r="L2505" t="s">
        <v>39</v>
      </c>
      <c r="M2505" t="s">
        <v>20</v>
      </c>
      <c r="N2505">
        <v>14</v>
      </c>
      <c r="O2505">
        <v>12</v>
      </c>
      <c r="P2505">
        <v>6554.9000000000005</v>
      </c>
      <c r="Q2505">
        <v>0</v>
      </c>
    </row>
    <row r="2506" spans="7:17" x14ac:dyDescent="0.25">
      <c r="G2506" t="str">
        <f t="shared" si="39"/>
        <v/>
      </c>
      <c r="H2506" t="s">
        <v>47</v>
      </c>
      <c r="I2506" t="s">
        <v>10</v>
      </c>
      <c r="J2506" t="s">
        <v>4</v>
      </c>
      <c r="K2506" t="s">
        <v>37</v>
      </c>
      <c r="L2506" t="s">
        <v>40</v>
      </c>
      <c r="M2506" t="s">
        <v>20</v>
      </c>
      <c r="N2506">
        <v>7</v>
      </c>
      <c r="O2506">
        <v>3</v>
      </c>
      <c r="P2506">
        <v>3224.5</v>
      </c>
      <c r="Q2506">
        <v>0</v>
      </c>
    </row>
    <row r="2507" spans="7:17" x14ac:dyDescent="0.25">
      <c r="G2507" t="str">
        <f t="shared" si="39"/>
        <v/>
      </c>
      <c r="H2507" t="s">
        <v>47</v>
      </c>
      <c r="I2507" t="s">
        <v>10</v>
      </c>
      <c r="J2507" t="s">
        <v>4</v>
      </c>
      <c r="K2507" t="s">
        <v>37</v>
      </c>
      <c r="L2507" t="s">
        <v>41</v>
      </c>
      <c r="M2507" t="s">
        <v>19</v>
      </c>
      <c r="N2507">
        <v>1</v>
      </c>
      <c r="O2507">
        <v>0</v>
      </c>
      <c r="P2507">
        <v>572.22</v>
      </c>
      <c r="Q2507">
        <v>572.22</v>
      </c>
    </row>
    <row r="2508" spans="7:17" x14ac:dyDescent="0.25">
      <c r="G2508" t="str">
        <f t="shared" si="39"/>
        <v/>
      </c>
      <c r="H2508" t="s">
        <v>47</v>
      </c>
      <c r="I2508" t="s">
        <v>10</v>
      </c>
      <c r="J2508" t="s">
        <v>4</v>
      </c>
      <c r="K2508" t="s">
        <v>37</v>
      </c>
      <c r="L2508" t="s">
        <v>41</v>
      </c>
      <c r="M2508" t="s">
        <v>20</v>
      </c>
      <c r="N2508">
        <v>11</v>
      </c>
      <c r="O2508">
        <v>4</v>
      </c>
      <c r="P2508">
        <v>5438.3600000000006</v>
      </c>
      <c r="Q2508">
        <v>0</v>
      </c>
    </row>
    <row r="2509" spans="7:17" x14ac:dyDescent="0.25">
      <c r="G2509" t="str">
        <f t="shared" si="39"/>
        <v/>
      </c>
      <c r="H2509" t="s">
        <v>47</v>
      </c>
      <c r="I2509" t="s">
        <v>10</v>
      </c>
      <c r="J2509" t="s">
        <v>4</v>
      </c>
      <c r="K2509" t="s">
        <v>37</v>
      </c>
      <c r="L2509" t="s">
        <v>45</v>
      </c>
      <c r="M2509" t="s">
        <v>19</v>
      </c>
      <c r="N2509">
        <v>3</v>
      </c>
      <c r="O2509">
        <v>3</v>
      </c>
      <c r="P2509">
        <v>1910.62</v>
      </c>
      <c r="Q2509">
        <v>1910.62</v>
      </c>
    </row>
    <row r="2510" spans="7:17" x14ac:dyDescent="0.25">
      <c r="G2510" t="str">
        <f t="shared" si="39"/>
        <v/>
      </c>
      <c r="H2510" t="s">
        <v>47</v>
      </c>
      <c r="I2510" t="s">
        <v>10</v>
      </c>
      <c r="J2510" t="s">
        <v>4</v>
      </c>
      <c r="K2510" t="s">
        <v>37</v>
      </c>
      <c r="L2510" t="s">
        <v>45</v>
      </c>
      <c r="M2510" t="s">
        <v>20</v>
      </c>
      <c r="N2510">
        <v>131</v>
      </c>
      <c r="O2510">
        <v>65</v>
      </c>
      <c r="P2510">
        <v>88432.250000000029</v>
      </c>
      <c r="Q2510">
        <v>0</v>
      </c>
    </row>
    <row r="2511" spans="7:17" x14ac:dyDescent="0.25">
      <c r="G2511" t="str">
        <f t="shared" si="39"/>
        <v/>
      </c>
      <c r="H2511" t="s">
        <v>47</v>
      </c>
      <c r="I2511" t="s">
        <v>10</v>
      </c>
      <c r="J2511" t="s">
        <v>4</v>
      </c>
      <c r="K2511" t="s">
        <v>38</v>
      </c>
      <c r="L2511" t="s">
        <v>42</v>
      </c>
      <c r="M2511" t="s">
        <v>19</v>
      </c>
      <c r="N2511">
        <v>145</v>
      </c>
      <c r="O2511">
        <v>51</v>
      </c>
      <c r="P2511">
        <v>75187.420000000013</v>
      </c>
      <c r="Q2511">
        <v>74501.62000000001</v>
      </c>
    </row>
    <row r="2512" spans="7:17" x14ac:dyDescent="0.25">
      <c r="G2512" t="str">
        <f t="shared" si="39"/>
        <v/>
      </c>
      <c r="H2512" t="s">
        <v>47</v>
      </c>
      <c r="I2512" t="s">
        <v>10</v>
      </c>
      <c r="J2512" t="s">
        <v>4</v>
      </c>
      <c r="K2512" t="s">
        <v>38</v>
      </c>
      <c r="L2512" t="s">
        <v>42</v>
      </c>
      <c r="M2512" t="s">
        <v>20</v>
      </c>
      <c r="N2512">
        <v>118</v>
      </c>
      <c r="O2512">
        <v>40</v>
      </c>
      <c r="P2512">
        <v>26606.439999999991</v>
      </c>
      <c r="Q2512">
        <v>0</v>
      </c>
    </row>
    <row r="2513" spans="7:17" x14ac:dyDescent="0.25">
      <c r="G2513" t="str">
        <f t="shared" si="39"/>
        <v/>
      </c>
      <c r="H2513" t="s">
        <v>47</v>
      </c>
      <c r="I2513" t="s">
        <v>10</v>
      </c>
      <c r="J2513" t="s">
        <v>4</v>
      </c>
      <c r="K2513" t="s">
        <v>38</v>
      </c>
      <c r="L2513" t="s">
        <v>43</v>
      </c>
      <c r="M2513" t="s">
        <v>19</v>
      </c>
      <c r="N2513">
        <v>20</v>
      </c>
      <c r="O2513">
        <v>8</v>
      </c>
      <c r="P2513">
        <v>20049.3</v>
      </c>
      <c r="Q2513">
        <v>17776.390000000003</v>
      </c>
    </row>
    <row r="2514" spans="7:17" x14ac:dyDescent="0.25">
      <c r="G2514" t="str">
        <f t="shared" si="39"/>
        <v/>
      </c>
      <c r="H2514" t="s">
        <v>47</v>
      </c>
      <c r="I2514" t="s">
        <v>10</v>
      </c>
      <c r="J2514" t="s">
        <v>4</v>
      </c>
      <c r="K2514" t="s">
        <v>38</v>
      </c>
      <c r="L2514" t="s">
        <v>43</v>
      </c>
      <c r="M2514" t="s">
        <v>20</v>
      </c>
      <c r="N2514">
        <v>30</v>
      </c>
      <c r="O2514">
        <v>11</v>
      </c>
      <c r="P2514">
        <v>22177.23</v>
      </c>
      <c r="Q2514">
        <v>0</v>
      </c>
    </row>
    <row r="2515" spans="7:17" x14ac:dyDescent="0.25">
      <c r="G2515" t="str">
        <f t="shared" si="39"/>
        <v/>
      </c>
      <c r="H2515" t="s">
        <v>47</v>
      </c>
      <c r="I2515" t="s">
        <v>10</v>
      </c>
      <c r="J2515" t="s">
        <v>4</v>
      </c>
      <c r="K2515" t="s">
        <v>38</v>
      </c>
      <c r="L2515" t="s">
        <v>44</v>
      </c>
      <c r="M2515" t="s">
        <v>19</v>
      </c>
      <c r="N2515">
        <v>30</v>
      </c>
      <c r="O2515">
        <v>5</v>
      </c>
      <c r="P2515">
        <v>13500.130000000001</v>
      </c>
      <c r="Q2515">
        <v>12694.650000000001</v>
      </c>
    </row>
    <row r="2516" spans="7:17" x14ac:dyDescent="0.25">
      <c r="G2516" t="str">
        <f t="shared" si="39"/>
        <v/>
      </c>
      <c r="H2516" t="s">
        <v>47</v>
      </c>
      <c r="I2516" t="s">
        <v>10</v>
      </c>
      <c r="J2516" t="s">
        <v>4</v>
      </c>
      <c r="K2516" t="s">
        <v>38</v>
      </c>
      <c r="L2516" t="s">
        <v>44</v>
      </c>
      <c r="M2516" t="s">
        <v>20</v>
      </c>
      <c r="N2516">
        <v>20</v>
      </c>
      <c r="O2516">
        <v>14</v>
      </c>
      <c r="P2516">
        <v>17970.22</v>
      </c>
      <c r="Q2516">
        <v>0</v>
      </c>
    </row>
    <row r="2517" spans="7:17" x14ac:dyDescent="0.25">
      <c r="G2517" t="str">
        <f t="shared" si="39"/>
        <v/>
      </c>
      <c r="H2517" t="s">
        <v>47</v>
      </c>
      <c r="I2517" t="s">
        <v>10</v>
      </c>
      <c r="J2517" t="s">
        <v>4</v>
      </c>
      <c r="K2517" t="s">
        <v>38</v>
      </c>
      <c r="L2517" t="s">
        <v>39</v>
      </c>
      <c r="M2517" t="s">
        <v>20</v>
      </c>
      <c r="N2517">
        <v>14</v>
      </c>
      <c r="O2517">
        <v>13</v>
      </c>
      <c r="P2517">
        <v>13494.909999999996</v>
      </c>
      <c r="Q2517">
        <v>0</v>
      </c>
    </row>
    <row r="2518" spans="7:17" x14ac:dyDescent="0.25">
      <c r="G2518" t="str">
        <f t="shared" si="39"/>
        <v/>
      </c>
      <c r="H2518" t="s">
        <v>47</v>
      </c>
      <c r="I2518" t="s">
        <v>10</v>
      </c>
      <c r="J2518" t="s">
        <v>4</v>
      </c>
      <c r="K2518" t="s">
        <v>38</v>
      </c>
      <c r="L2518" t="s">
        <v>40</v>
      </c>
      <c r="M2518" t="s">
        <v>19</v>
      </c>
      <c r="N2518">
        <v>1</v>
      </c>
      <c r="O2518">
        <v>1</v>
      </c>
      <c r="P2518">
        <v>580.25</v>
      </c>
      <c r="Q2518">
        <v>580</v>
      </c>
    </row>
    <row r="2519" spans="7:17" x14ac:dyDescent="0.25">
      <c r="G2519" t="str">
        <f t="shared" si="39"/>
        <v/>
      </c>
      <c r="H2519" t="s">
        <v>47</v>
      </c>
      <c r="I2519" t="s">
        <v>10</v>
      </c>
      <c r="J2519" t="s">
        <v>4</v>
      </c>
      <c r="K2519" t="s">
        <v>38</v>
      </c>
      <c r="L2519" t="s">
        <v>40</v>
      </c>
      <c r="M2519" t="s">
        <v>20</v>
      </c>
      <c r="N2519">
        <v>17</v>
      </c>
      <c r="O2519">
        <v>7</v>
      </c>
      <c r="P2519">
        <v>14804.31</v>
      </c>
      <c r="Q2519">
        <v>0</v>
      </c>
    </row>
    <row r="2520" spans="7:17" x14ac:dyDescent="0.25">
      <c r="G2520" t="str">
        <f t="shared" si="39"/>
        <v/>
      </c>
      <c r="H2520" t="s">
        <v>47</v>
      </c>
      <c r="I2520" t="s">
        <v>10</v>
      </c>
      <c r="J2520" t="s">
        <v>4</v>
      </c>
      <c r="K2520" t="s">
        <v>38</v>
      </c>
      <c r="L2520" t="s">
        <v>41</v>
      </c>
      <c r="M2520" t="s">
        <v>19</v>
      </c>
      <c r="N2520">
        <v>1</v>
      </c>
      <c r="O2520">
        <v>0</v>
      </c>
      <c r="P2520">
        <v>257.62</v>
      </c>
      <c r="Q2520">
        <v>257.62</v>
      </c>
    </row>
    <row r="2521" spans="7:17" x14ac:dyDescent="0.25">
      <c r="G2521" t="str">
        <f t="shared" si="39"/>
        <v/>
      </c>
      <c r="H2521" t="s">
        <v>47</v>
      </c>
      <c r="I2521" t="s">
        <v>10</v>
      </c>
      <c r="J2521" t="s">
        <v>4</v>
      </c>
      <c r="K2521" t="s">
        <v>38</v>
      </c>
      <c r="L2521" t="s">
        <v>41</v>
      </c>
      <c r="M2521" t="s">
        <v>20</v>
      </c>
      <c r="N2521">
        <v>9</v>
      </c>
      <c r="O2521">
        <v>4</v>
      </c>
      <c r="P2521">
        <v>8641.09</v>
      </c>
      <c r="Q2521">
        <v>0</v>
      </c>
    </row>
    <row r="2522" spans="7:17" x14ac:dyDescent="0.25">
      <c r="G2522" t="str">
        <f t="shared" si="39"/>
        <v/>
      </c>
      <c r="H2522" t="s">
        <v>47</v>
      </c>
      <c r="I2522" t="s">
        <v>10</v>
      </c>
      <c r="J2522" t="s">
        <v>4</v>
      </c>
      <c r="K2522" t="s">
        <v>38</v>
      </c>
      <c r="L2522" t="s">
        <v>45</v>
      </c>
      <c r="M2522" t="s">
        <v>19</v>
      </c>
      <c r="N2522">
        <v>2</v>
      </c>
      <c r="O2522">
        <v>0</v>
      </c>
      <c r="P2522">
        <v>905.97</v>
      </c>
      <c r="Q2522">
        <v>905.97</v>
      </c>
    </row>
    <row r="2523" spans="7:17" x14ac:dyDescent="0.25">
      <c r="G2523" t="str">
        <f t="shared" si="39"/>
        <v/>
      </c>
      <c r="H2523" t="s">
        <v>47</v>
      </c>
      <c r="I2523" t="s">
        <v>10</v>
      </c>
      <c r="J2523" t="s">
        <v>4</v>
      </c>
      <c r="K2523" t="s">
        <v>38</v>
      </c>
      <c r="L2523" t="s">
        <v>45</v>
      </c>
      <c r="M2523" t="s">
        <v>20</v>
      </c>
      <c r="N2523">
        <v>120</v>
      </c>
      <c r="O2523">
        <v>57</v>
      </c>
      <c r="P2523">
        <v>115203.79</v>
      </c>
      <c r="Q2523">
        <v>0</v>
      </c>
    </row>
    <row r="2524" spans="7:17" x14ac:dyDescent="0.25">
      <c r="G2524" t="str">
        <f t="shared" si="39"/>
        <v/>
      </c>
      <c r="H2524" t="s">
        <v>47</v>
      </c>
      <c r="I2524" t="s">
        <v>11</v>
      </c>
      <c r="J2524" t="s">
        <v>6</v>
      </c>
      <c r="K2524" t="s">
        <v>23</v>
      </c>
      <c r="L2524" t="s">
        <v>42</v>
      </c>
      <c r="M2524" t="s">
        <v>19</v>
      </c>
      <c r="N2524">
        <v>653</v>
      </c>
      <c r="O2524">
        <v>7</v>
      </c>
      <c r="P2524">
        <v>200909.98999999947</v>
      </c>
      <c r="Q2524">
        <v>198968.07999999935</v>
      </c>
    </row>
    <row r="2525" spans="7:17" x14ac:dyDescent="0.25">
      <c r="G2525" t="str">
        <f t="shared" si="39"/>
        <v/>
      </c>
      <c r="H2525" t="s">
        <v>47</v>
      </c>
      <c r="I2525" t="s">
        <v>11</v>
      </c>
      <c r="J2525" t="s">
        <v>6</v>
      </c>
      <c r="K2525" t="s">
        <v>23</v>
      </c>
      <c r="L2525" t="s">
        <v>42</v>
      </c>
      <c r="M2525" t="s">
        <v>20</v>
      </c>
      <c r="N2525">
        <v>591</v>
      </c>
      <c r="O2525">
        <v>19</v>
      </c>
      <c r="P2525">
        <v>67467.01000000014</v>
      </c>
      <c r="Q2525">
        <v>0</v>
      </c>
    </row>
    <row r="2526" spans="7:17" x14ac:dyDescent="0.25">
      <c r="G2526" t="str">
        <f t="shared" si="39"/>
        <v/>
      </c>
      <c r="H2526" t="s">
        <v>47</v>
      </c>
      <c r="I2526" t="s">
        <v>11</v>
      </c>
      <c r="J2526" t="s">
        <v>6</v>
      </c>
      <c r="K2526" t="s">
        <v>23</v>
      </c>
      <c r="L2526" t="s">
        <v>43</v>
      </c>
      <c r="M2526" t="s">
        <v>19</v>
      </c>
      <c r="N2526">
        <v>204</v>
      </c>
      <c r="O2526">
        <v>11</v>
      </c>
      <c r="P2526">
        <v>93877.229999999749</v>
      </c>
      <c r="Q2526">
        <v>87223.070000000094</v>
      </c>
    </row>
    <row r="2527" spans="7:17" x14ac:dyDescent="0.25">
      <c r="G2527" t="str">
        <f t="shared" si="39"/>
        <v/>
      </c>
      <c r="H2527" t="s">
        <v>47</v>
      </c>
      <c r="I2527" t="s">
        <v>11</v>
      </c>
      <c r="J2527" t="s">
        <v>6</v>
      </c>
      <c r="K2527" t="s">
        <v>23</v>
      </c>
      <c r="L2527" t="s">
        <v>43</v>
      </c>
      <c r="M2527" t="s">
        <v>20</v>
      </c>
      <c r="N2527">
        <v>158</v>
      </c>
      <c r="O2527">
        <v>14</v>
      </c>
      <c r="P2527">
        <v>70402.749999999913</v>
      </c>
      <c r="Q2527">
        <v>0</v>
      </c>
    </row>
    <row r="2528" spans="7:17" x14ac:dyDescent="0.25">
      <c r="G2528" t="str">
        <f t="shared" si="39"/>
        <v/>
      </c>
      <c r="H2528" t="s">
        <v>47</v>
      </c>
      <c r="I2528" t="s">
        <v>11</v>
      </c>
      <c r="J2528" t="s">
        <v>6</v>
      </c>
      <c r="K2528" t="s">
        <v>23</v>
      </c>
      <c r="L2528" t="s">
        <v>44</v>
      </c>
      <c r="M2528" t="s">
        <v>19</v>
      </c>
      <c r="N2528">
        <v>50</v>
      </c>
      <c r="O2528">
        <v>8</v>
      </c>
      <c r="P2528">
        <v>66422.27</v>
      </c>
      <c r="Q2528">
        <v>36380.650000000009</v>
      </c>
    </row>
    <row r="2529" spans="7:17" x14ac:dyDescent="0.25">
      <c r="G2529" t="str">
        <f t="shared" si="39"/>
        <v/>
      </c>
      <c r="H2529" t="s">
        <v>47</v>
      </c>
      <c r="I2529" t="s">
        <v>11</v>
      </c>
      <c r="J2529" t="s">
        <v>6</v>
      </c>
      <c r="K2529" t="s">
        <v>23</v>
      </c>
      <c r="L2529" t="s">
        <v>44</v>
      </c>
      <c r="M2529" t="s">
        <v>20</v>
      </c>
      <c r="N2529">
        <v>20</v>
      </c>
      <c r="O2529">
        <v>3</v>
      </c>
      <c r="P2529">
        <v>13568.769999999999</v>
      </c>
      <c r="Q2529">
        <v>0</v>
      </c>
    </row>
    <row r="2530" spans="7:17" x14ac:dyDescent="0.25">
      <c r="G2530" t="str">
        <f t="shared" si="39"/>
        <v/>
      </c>
      <c r="H2530" t="s">
        <v>47</v>
      </c>
      <c r="I2530" t="s">
        <v>11</v>
      </c>
      <c r="J2530" t="s">
        <v>6</v>
      </c>
      <c r="K2530" t="s">
        <v>23</v>
      </c>
      <c r="L2530" t="s">
        <v>39</v>
      </c>
      <c r="M2530" t="s">
        <v>19</v>
      </c>
      <c r="N2530">
        <v>28</v>
      </c>
      <c r="O2530">
        <v>3</v>
      </c>
      <c r="P2530">
        <v>39564.94</v>
      </c>
      <c r="Q2530">
        <v>25644.499999999996</v>
      </c>
    </row>
    <row r="2531" spans="7:17" x14ac:dyDescent="0.25">
      <c r="G2531" t="str">
        <f t="shared" si="39"/>
        <v/>
      </c>
      <c r="H2531" t="s">
        <v>47</v>
      </c>
      <c r="I2531" t="s">
        <v>11</v>
      </c>
      <c r="J2531" t="s">
        <v>6</v>
      </c>
      <c r="K2531" t="s">
        <v>23</v>
      </c>
      <c r="L2531" t="s">
        <v>39</v>
      </c>
      <c r="M2531" t="s">
        <v>20</v>
      </c>
      <c r="N2531">
        <v>20</v>
      </c>
      <c r="O2531">
        <v>5</v>
      </c>
      <c r="P2531">
        <v>13296.560000000001</v>
      </c>
      <c r="Q2531">
        <v>0</v>
      </c>
    </row>
    <row r="2532" spans="7:17" x14ac:dyDescent="0.25">
      <c r="G2532" t="str">
        <f t="shared" si="39"/>
        <v/>
      </c>
      <c r="H2532" t="s">
        <v>47</v>
      </c>
      <c r="I2532" t="s">
        <v>11</v>
      </c>
      <c r="J2532" t="s">
        <v>6</v>
      </c>
      <c r="K2532" t="s">
        <v>23</v>
      </c>
      <c r="L2532" t="s">
        <v>40</v>
      </c>
      <c r="M2532" t="s">
        <v>19</v>
      </c>
      <c r="N2532">
        <v>3</v>
      </c>
      <c r="O2532">
        <v>1</v>
      </c>
      <c r="P2532">
        <v>6474.13</v>
      </c>
      <c r="Q2532">
        <v>5982.59</v>
      </c>
    </row>
    <row r="2533" spans="7:17" x14ac:dyDescent="0.25">
      <c r="G2533" t="str">
        <f t="shared" si="39"/>
        <v/>
      </c>
      <c r="H2533" t="s">
        <v>47</v>
      </c>
      <c r="I2533" t="s">
        <v>11</v>
      </c>
      <c r="J2533" t="s">
        <v>6</v>
      </c>
      <c r="K2533" t="s">
        <v>23</v>
      </c>
      <c r="L2533" t="s">
        <v>40</v>
      </c>
      <c r="M2533" t="s">
        <v>20</v>
      </c>
      <c r="N2533">
        <v>15</v>
      </c>
      <c r="O2533">
        <v>3</v>
      </c>
      <c r="P2533">
        <v>6743.92</v>
      </c>
      <c r="Q2533">
        <v>0</v>
      </c>
    </row>
    <row r="2534" spans="7:17" x14ac:dyDescent="0.25">
      <c r="G2534" t="str">
        <f t="shared" si="39"/>
        <v/>
      </c>
      <c r="H2534" t="s">
        <v>47</v>
      </c>
      <c r="I2534" t="s">
        <v>11</v>
      </c>
      <c r="J2534" t="s">
        <v>6</v>
      </c>
      <c r="K2534" t="s">
        <v>23</v>
      </c>
      <c r="L2534" t="s">
        <v>41</v>
      </c>
      <c r="M2534" t="s">
        <v>20</v>
      </c>
      <c r="N2534">
        <v>6</v>
      </c>
      <c r="O2534">
        <v>0</v>
      </c>
      <c r="P2534">
        <v>2461.17</v>
      </c>
      <c r="Q2534">
        <v>0</v>
      </c>
    </row>
    <row r="2535" spans="7:17" x14ac:dyDescent="0.25">
      <c r="G2535" t="str">
        <f t="shared" si="39"/>
        <v/>
      </c>
      <c r="H2535" t="s">
        <v>47</v>
      </c>
      <c r="I2535" t="s">
        <v>11</v>
      </c>
      <c r="J2535" t="s">
        <v>6</v>
      </c>
      <c r="K2535" t="s">
        <v>23</v>
      </c>
      <c r="L2535" t="s">
        <v>45</v>
      </c>
      <c r="M2535" t="s">
        <v>19</v>
      </c>
      <c r="N2535">
        <v>1</v>
      </c>
      <c r="O2535">
        <v>0</v>
      </c>
      <c r="P2535">
        <v>199.53</v>
      </c>
      <c r="Q2535">
        <v>199.53</v>
      </c>
    </row>
    <row r="2536" spans="7:17" x14ac:dyDescent="0.25">
      <c r="G2536" t="str">
        <f t="shared" si="39"/>
        <v/>
      </c>
      <c r="H2536" t="s">
        <v>47</v>
      </c>
      <c r="I2536" t="s">
        <v>11</v>
      </c>
      <c r="J2536" t="s">
        <v>6</v>
      </c>
      <c r="K2536" t="s">
        <v>23</v>
      </c>
      <c r="L2536" t="s">
        <v>45</v>
      </c>
      <c r="M2536" t="s">
        <v>20</v>
      </c>
      <c r="N2536">
        <v>132</v>
      </c>
      <c r="O2536">
        <v>26</v>
      </c>
      <c r="P2536">
        <v>61633.660000000011</v>
      </c>
      <c r="Q2536">
        <v>0</v>
      </c>
    </row>
    <row r="2537" spans="7:17" x14ac:dyDescent="0.25">
      <c r="G2537" t="str">
        <f t="shared" si="39"/>
        <v/>
      </c>
      <c r="H2537" t="s">
        <v>47</v>
      </c>
      <c r="I2537" t="s">
        <v>11</v>
      </c>
      <c r="J2537" t="s">
        <v>6</v>
      </c>
      <c r="K2537" t="s">
        <v>24</v>
      </c>
      <c r="L2537" t="s">
        <v>42</v>
      </c>
      <c r="M2537" t="s">
        <v>19</v>
      </c>
      <c r="N2537">
        <v>17</v>
      </c>
      <c r="O2537">
        <v>1</v>
      </c>
      <c r="P2537">
        <v>10249.16</v>
      </c>
      <c r="Q2537">
        <v>10241.289999999999</v>
      </c>
    </row>
    <row r="2538" spans="7:17" x14ac:dyDescent="0.25">
      <c r="G2538" t="str">
        <f t="shared" si="39"/>
        <v/>
      </c>
      <c r="H2538" t="s">
        <v>47</v>
      </c>
      <c r="I2538" t="s">
        <v>11</v>
      </c>
      <c r="J2538" t="s">
        <v>6</v>
      </c>
      <c r="K2538" t="s">
        <v>24</v>
      </c>
      <c r="L2538" t="s">
        <v>42</v>
      </c>
      <c r="M2538" t="s">
        <v>20</v>
      </c>
      <c r="N2538">
        <v>122</v>
      </c>
      <c r="O2538">
        <v>5</v>
      </c>
      <c r="P2538">
        <v>41180.05999999999</v>
      </c>
      <c r="Q2538">
        <v>0</v>
      </c>
    </row>
    <row r="2539" spans="7:17" x14ac:dyDescent="0.25">
      <c r="G2539" t="str">
        <f t="shared" si="39"/>
        <v/>
      </c>
      <c r="H2539" t="s">
        <v>47</v>
      </c>
      <c r="I2539" t="s">
        <v>11</v>
      </c>
      <c r="J2539" t="s">
        <v>6</v>
      </c>
      <c r="K2539" t="s">
        <v>24</v>
      </c>
      <c r="L2539" t="s">
        <v>43</v>
      </c>
      <c r="M2539" t="s">
        <v>19</v>
      </c>
      <c r="N2539">
        <v>33</v>
      </c>
      <c r="O2539">
        <v>2</v>
      </c>
      <c r="P2539">
        <v>26011.549999999992</v>
      </c>
      <c r="Q2539">
        <v>24366.139999999996</v>
      </c>
    </row>
    <row r="2540" spans="7:17" x14ac:dyDescent="0.25">
      <c r="G2540" t="str">
        <f t="shared" si="39"/>
        <v/>
      </c>
      <c r="H2540" t="s">
        <v>47</v>
      </c>
      <c r="I2540" t="s">
        <v>11</v>
      </c>
      <c r="J2540" t="s">
        <v>6</v>
      </c>
      <c r="K2540" t="s">
        <v>24</v>
      </c>
      <c r="L2540" t="s">
        <v>43</v>
      </c>
      <c r="M2540" t="s">
        <v>20</v>
      </c>
      <c r="N2540">
        <v>86</v>
      </c>
      <c r="O2540">
        <v>1</v>
      </c>
      <c r="P2540">
        <v>56865.109999999971</v>
      </c>
      <c r="Q2540">
        <v>0</v>
      </c>
    </row>
    <row r="2541" spans="7:17" x14ac:dyDescent="0.25">
      <c r="G2541" t="str">
        <f t="shared" si="39"/>
        <v/>
      </c>
      <c r="H2541" t="s">
        <v>47</v>
      </c>
      <c r="I2541" t="s">
        <v>11</v>
      </c>
      <c r="J2541" t="s">
        <v>6</v>
      </c>
      <c r="K2541" t="s">
        <v>24</v>
      </c>
      <c r="L2541" t="s">
        <v>44</v>
      </c>
      <c r="M2541" t="s">
        <v>19</v>
      </c>
      <c r="N2541">
        <v>89</v>
      </c>
      <c r="O2541">
        <v>4</v>
      </c>
      <c r="P2541">
        <v>108773.40000000002</v>
      </c>
      <c r="Q2541">
        <v>50690.179999999993</v>
      </c>
    </row>
    <row r="2542" spans="7:17" x14ac:dyDescent="0.25">
      <c r="G2542" t="str">
        <f t="shared" si="39"/>
        <v/>
      </c>
      <c r="H2542" t="s">
        <v>47</v>
      </c>
      <c r="I2542" t="s">
        <v>11</v>
      </c>
      <c r="J2542" t="s">
        <v>6</v>
      </c>
      <c r="K2542" t="s">
        <v>24</v>
      </c>
      <c r="L2542" t="s">
        <v>44</v>
      </c>
      <c r="M2542" t="s">
        <v>20</v>
      </c>
      <c r="N2542">
        <v>23</v>
      </c>
      <c r="O2542">
        <v>3</v>
      </c>
      <c r="P2542">
        <v>22873.969999999998</v>
      </c>
      <c r="Q2542">
        <v>0</v>
      </c>
    </row>
    <row r="2543" spans="7:17" x14ac:dyDescent="0.25">
      <c r="G2543" t="str">
        <f t="shared" si="39"/>
        <v/>
      </c>
      <c r="H2543" t="s">
        <v>47</v>
      </c>
      <c r="I2543" t="s">
        <v>11</v>
      </c>
      <c r="J2543" t="s">
        <v>6</v>
      </c>
      <c r="K2543" t="s">
        <v>24</v>
      </c>
      <c r="L2543" t="s">
        <v>39</v>
      </c>
      <c r="M2543" t="s">
        <v>19</v>
      </c>
      <c r="N2543">
        <v>9</v>
      </c>
      <c r="O2543">
        <v>5</v>
      </c>
      <c r="P2543">
        <v>10453.049999999999</v>
      </c>
      <c r="Q2543">
        <v>4142.07</v>
      </c>
    </row>
    <row r="2544" spans="7:17" x14ac:dyDescent="0.25">
      <c r="G2544" t="str">
        <f t="shared" si="39"/>
        <v/>
      </c>
      <c r="H2544" t="s">
        <v>47</v>
      </c>
      <c r="I2544" t="s">
        <v>11</v>
      </c>
      <c r="J2544" t="s">
        <v>6</v>
      </c>
      <c r="K2544" t="s">
        <v>24</v>
      </c>
      <c r="L2544" t="s">
        <v>39</v>
      </c>
      <c r="M2544" t="s">
        <v>20</v>
      </c>
      <c r="N2544">
        <v>2</v>
      </c>
      <c r="O2544">
        <v>0</v>
      </c>
      <c r="P2544">
        <v>1700.6399999999999</v>
      </c>
      <c r="Q2544">
        <v>0</v>
      </c>
    </row>
    <row r="2545" spans="7:17" x14ac:dyDescent="0.25">
      <c r="G2545" t="str">
        <f t="shared" si="39"/>
        <v/>
      </c>
      <c r="H2545" t="s">
        <v>47</v>
      </c>
      <c r="I2545" t="s">
        <v>11</v>
      </c>
      <c r="J2545" t="s">
        <v>6</v>
      </c>
      <c r="K2545" t="s">
        <v>24</v>
      </c>
      <c r="L2545" t="s">
        <v>40</v>
      </c>
      <c r="M2545" t="s">
        <v>19</v>
      </c>
      <c r="N2545">
        <v>2</v>
      </c>
      <c r="O2545">
        <v>0</v>
      </c>
      <c r="P2545">
        <v>2173.63</v>
      </c>
      <c r="Q2545">
        <v>1305.06</v>
      </c>
    </row>
    <row r="2546" spans="7:17" x14ac:dyDescent="0.25">
      <c r="G2546" t="str">
        <f t="shared" si="39"/>
        <v/>
      </c>
      <c r="H2546" t="s">
        <v>47</v>
      </c>
      <c r="I2546" t="s">
        <v>11</v>
      </c>
      <c r="J2546" t="s">
        <v>6</v>
      </c>
      <c r="K2546" t="s">
        <v>24</v>
      </c>
      <c r="L2546" t="s">
        <v>40</v>
      </c>
      <c r="M2546" t="s">
        <v>20</v>
      </c>
      <c r="N2546">
        <v>5</v>
      </c>
      <c r="O2546">
        <v>1</v>
      </c>
      <c r="P2546">
        <v>3738.7299999999996</v>
      </c>
      <c r="Q2546">
        <v>0</v>
      </c>
    </row>
    <row r="2547" spans="7:17" x14ac:dyDescent="0.25">
      <c r="G2547" t="str">
        <f t="shared" si="39"/>
        <v/>
      </c>
      <c r="H2547" t="s">
        <v>47</v>
      </c>
      <c r="I2547" t="s">
        <v>11</v>
      </c>
      <c r="J2547" t="s">
        <v>6</v>
      </c>
      <c r="K2547" t="s">
        <v>24</v>
      </c>
      <c r="L2547" t="s">
        <v>41</v>
      </c>
      <c r="M2547" t="s">
        <v>20</v>
      </c>
      <c r="N2547">
        <v>5</v>
      </c>
      <c r="O2547">
        <v>0</v>
      </c>
      <c r="P2547">
        <v>2340.67</v>
      </c>
      <c r="Q2547">
        <v>0</v>
      </c>
    </row>
    <row r="2548" spans="7:17" x14ac:dyDescent="0.25">
      <c r="G2548" t="str">
        <f t="shared" si="39"/>
        <v/>
      </c>
      <c r="H2548" t="s">
        <v>47</v>
      </c>
      <c r="I2548" t="s">
        <v>11</v>
      </c>
      <c r="J2548" t="s">
        <v>6</v>
      </c>
      <c r="K2548" t="s">
        <v>24</v>
      </c>
      <c r="L2548" t="s">
        <v>45</v>
      </c>
      <c r="M2548" t="s">
        <v>19</v>
      </c>
      <c r="N2548">
        <v>3</v>
      </c>
      <c r="O2548">
        <v>1</v>
      </c>
      <c r="P2548">
        <v>414.78</v>
      </c>
      <c r="Q2548">
        <v>414.78</v>
      </c>
    </row>
    <row r="2549" spans="7:17" x14ac:dyDescent="0.25">
      <c r="G2549" t="str">
        <f t="shared" si="39"/>
        <v/>
      </c>
      <c r="H2549" t="s">
        <v>47</v>
      </c>
      <c r="I2549" t="s">
        <v>11</v>
      </c>
      <c r="J2549" t="s">
        <v>6</v>
      </c>
      <c r="K2549" t="s">
        <v>24</v>
      </c>
      <c r="L2549" t="s">
        <v>45</v>
      </c>
      <c r="M2549" t="s">
        <v>20</v>
      </c>
      <c r="N2549">
        <v>80</v>
      </c>
      <c r="O2549">
        <v>13</v>
      </c>
      <c r="P2549">
        <v>30666.150000000045</v>
      </c>
      <c r="Q2549">
        <v>0</v>
      </c>
    </row>
    <row r="2550" spans="7:17" x14ac:dyDescent="0.25">
      <c r="G2550" t="str">
        <f t="shared" si="39"/>
        <v/>
      </c>
      <c r="H2550" t="s">
        <v>47</v>
      </c>
      <c r="I2550" t="s">
        <v>11</v>
      </c>
      <c r="J2550" t="s">
        <v>6</v>
      </c>
      <c r="K2550" t="s">
        <v>25</v>
      </c>
      <c r="L2550" t="s">
        <v>42</v>
      </c>
      <c r="M2550" t="s">
        <v>19</v>
      </c>
      <c r="N2550">
        <v>10354</v>
      </c>
      <c r="O2550">
        <v>9</v>
      </c>
      <c r="P2550">
        <v>2618765.0999999973</v>
      </c>
      <c r="Q2550">
        <v>2612509.5199999968</v>
      </c>
    </row>
    <row r="2551" spans="7:17" x14ac:dyDescent="0.25">
      <c r="G2551" t="str">
        <f t="shared" si="39"/>
        <v/>
      </c>
      <c r="H2551" t="s">
        <v>47</v>
      </c>
      <c r="I2551" t="s">
        <v>11</v>
      </c>
      <c r="J2551" t="s">
        <v>6</v>
      </c>
      <c r="K2551" t="s">
        <v>25</v>
      </c>
      <c r="L2551" t="s">
        <v>42</v>
      </c>
      <c r="M2551" t="s">
        <v>20</v>
      </c>
      <c r="N2551">
        <v>3206</v>
      </c>
      <c r="O2551">
        <v>21</v>
      </c>
      <c r="P2551">
        <v>314842.97000000178</v>
      </c>
      <c r="Q2551">
        <v>0</v>
      </c>
    </row>
    <row r="2552" spans="7:17" x14ac:dyDescent="0.25">
      <c r="G2552" t="str">
        <f t="shared" si="39"/>
        <v/>
      </c>
      <c r="H2552" t="s">
        <v>47</v>
      </c>
      <c r="I2552" t="s">
        <v>11</v>
      </c>
      <c r="J2552" t="s">
        <v>6</v>
      </c>
      <c r="K2552" t="s">
        <v>25</v>
      </c>
      <c r="L2552" t="s">
        <v>43</v>
      </c>
      <c r="M2552" t="s">
        <v>19</v>
      </c>
      <c r="N2552">
        <v>5004</v>
      </c>
      <c r="O2552">
        <v>15</v>
      </c>
      <c r="P2552">
        <v>650278.099999998</v>
      </c>
      <c r="Q2552">
        <v>617515.33999999822</v>
      </c>
    </row>
    <row r="2553" spans="7:17" x14ac:dyDescent="0.25">
      <c r="G2553" t="str">
        <f t="shared" si="39"/>
        <v/>
      </c>
      <c r="H2553" t="s">
        <v>47</v>
      </c>
      <c r="I2553" t="s">
        <v>11</v>
      </c>
      <c r="J2553" t="s">
        <v>6</v>
      </c>
      <c r="K2553" t="s">
        <v>25</v>
      </c>
      <c r="L2553" t="s">
        <v>43</v>
      </c>
      <c r="M2553" t="s">
        <v>20</v>
      </c>
      <c r="N2553">
        <v>234</v>
      </c>
      <c r="O2553">
        <v>16</v>
      </c>
      <c r="P2553">
        <v>132660.3600000001</v>
      </c>
      <c r="Q2553">
        <v>0</v>
      </c>
    </row>
    <row r="2554" spans="7:17" x14ac:dyDescent="0.25">
      <c r="G2554" t="str">
        <f t="shared" si="39"/>
        <v/>
      </c>
      <c r="H2554" t="s">
        <v>47</v>
      </c>
      <c r="I2554" t="s">
        <v>11</v>
      </c>
      <c r="J2554" t="s">
        <v>6</v>
      </c>
      <c r="K2554" t="s">
        <v>25</v>
      </c>
      <c r="L2554" t="s">
        <v>44</v>
      </c>
      <c r="M2554" t="s">
        <v>19</v>
      </c>
      <c r="N2554">
        <v>181</v>
      </c>
      <c r="O2554">
        <v>12</v>
      </c>
      <c r="P2554">
        <v>183587.63</v>
      </c>
      <c r="Q2554">
        <v>110581.13999999998</v>
      </c>
    </row>
    <row r="2555" spans="7:17" x14ac:dyDescent="0.25">
      <c r="G2555" t="str">
        <f t="shared" si="39"/>
        <v/>
      </c>
      <c r="H2555" t="s">
        <v>47</v>
      </c>
      <c r="I2555" t="s">
        <v>11</v>
      </c>
      <c r="J2555" t="s">
        <v>6</v>
      </c>
      <c r="K2555" t="s">
        <v>25</v>
      </c>
      <c r="L2555" t="s">
        <v>44</v>
      </c>
      <c r="M2555" t="s">
        <v>20</v>
      </c>
      <c r="N2555">
        <v>68</v>
      </c>
      <c r="O2555">
        <v>13</v>
      </c>
      <c r="P2555">
        <v>60898.919999999976</v>
      </c>
      <c r="Q2555">
        <v>0</v>
      </c>
    </row>
    <row r="2556" spans="7:17" x14ac:dyDescent="0.25">
      <c r="G2556" t="str">
        <f t="shared" si="39"/>
        <v/>
      </c>
      <c r="H2556" t="s">
        <v>47</v>
      </c>
      <c r="I2556" t="s">
        <v>11</v>
      </c>
      <c r="J2556" t="s">
        <v>6</v>
      </c>
      <c r="K2556" t="s">
        <v>25</v>
      </c>
      <c r="L2556" t="s">
        <v>39</v>
      </c>
      <c r="M2556" t="s">
        <v>19</v>
      </c>
      <c r="N2556">
        <v>2292</v>
      </c>
      <c r="O2556">
        <v>12</v>
      </c>
      <c r="P2556">
        <v>207313.63999999993</v>
      </c>
      <c r="Q2556">
        <v>157253.77999999991</v>
      </c>
    </row>
    <row r="2557" spans="7:17" x14ac:dyDescent="0.25">
      <c r="G2557" t="str">
        <f t="shared" si="39"/>
        <v/>
      </c>
      <c r="H2557" t="s">
        <v>47</v>
      </c>
      <c r="I2557" t="s">
        <v>11</v>
      </c>
      <c r="J2557" t="s">
        <v>6</v>
      </c>
      <c r="K2557" t="s">
        <v>25</v>
      </c>
      <c r="L2557" t="s">
        <v>39</v>
      </c>
      <c r="M2557" t="s">
        <v>20</v>
      </c>
      <c r="N2557">
        <v>31</v>
      </c>
      <c r="O2557">
        <v>16</v>
      </c>
      <c r="P2557">
        <v>31296.680000000015</v>
      </c>
      <c r="Q2557">
        <v>0</v>
      </c>
    </row>
    <row r="2558" spans="7:17" x14ac:dyDescent="0.25">
      <c r="G2558" t="str">
        <f t="shared" si="39"/>
        <v/>
      </c>
      <c r="H2558" t="s">
        <v>47</v>
      </c>
      <c r="I2558" t="s">
        <v>11</v>
      </c>
      <c r="J2558" t="s">
        <v>6</v>
      </c>
      <c r="K2558" t="s">
        <v>25</v>
      </c>
      <c r="L2558" t="s">
        <v>40</v>
      </c>
      <c r="M2558" t="s">
        <v>19</v>
      </c>
      <c r="N2558">
        <v>6</v>
      </c>
      <c r="O2558">
        <v>0</v>
      </c>
      <c r="P2558">
        <v>4647.76</v>
      </c>
      <c r="Q2558">
        <v>4008.69</v>
      </c>
    </row>
    <row r="2559" spans="7:17" x14ac:dyDescent="0.25">
      <c r="G2559" t="str">
        <f t="shared" si="39"/>
        <v/>
      </c>
      <c r="H2559" t="s">
        <v>47</v>
      </c>
      <c r="I2559" t="s">
        <v>11</v>
      </c>
      <c r="J2559" t="s">
        <v>6</v>
      </c>
      <c r="K2559" t="s">
        <v>25</v>
      </c>
      <c r="L2559" t="s">
        <v>40</v>
      </c>
      <c r="M2559" t="s">
        <v>20</v>
      </c>
      <c r="N2559">
        <v>25</v>
      </c>
      <c r="O2559">
        <v>2</v>
      </c>
      <c r="P2559">
        <v>20275.13</v>
      </c>
      <c r="Q2559">
        <v>0</v>
      </c>
    </row>
    <row r="2560" spans="7:17" x14ac:dyDescent="0.25">
      <c r="G2560" t="str">
        <f t="shared" si="39"/>
        <v/>
      </c>
      <c r="H2560" t="s">
        <v>47</v>
      </c>
      <c r="I2560" t="s">
        <v>11</v>
      </c>
      <c r="J2560" t="s">
        <v>6</v>
      </c>
      <c r="K2560" t="s">
        <v>25</v>
      </c>
      <c r="L2560" t="s">
        <v>41</v>
      </c>
      <c r="M2560" t="s">
        <v>19</v>
      </c>
      <c r="N2560">
        <v>1</v>
      </c>
      <c r="O2560">
        <v>1</v>
      </c>
      <c r="P2560">
        <v>235.68</v>
      </c>
      <c r="Q2560">
        <v>235.68</v>
      </c>
    </row>
    <row r="2561" spans="7:17" x14ac:dyDescent="0.25">
      <c r="G2561" t="str">
        <f t="shared" si="39"/>
        <v/>
      </c>
      <c r="H2561" t="s">
        <v>47</v>
      </c>
      <c r="I2561" t="s">
        <v>11</v>
      </c>
      <c r="J2561" t="s">
        <v>6</v>
      </c>
      <c r="K2561" t="s">
        <v>25</v>
      </c>
      <c r="L2561" t="s">
        <v>41</v>
      </c>
      <c r="M2561" t="s">
        <v>20</v>
      </c>
      <c r="N2561">
        <v>14</v>
      </c>
      <c r="O2561">
        <v>3</v>
      </c>
      <c r="P2561">
        <v>11300.34</v>
      </c>
      <c r="Q2561">
        <v>0</v>
      </c>
    </row>
    <row r="2562" spans="7:17" x14ac:dyDescent="0.25">
      <c r="G2562" t="str">
        <f t="shared" ref="G2562:G2625" si="40">IF(G$1="Overall","Overall",IF(G$1=L2562,L2562,""))</f>
        <v/>
      </c>
      <c r="H2562" t="s">
        <v>47</v>
      </c>
      <c r="I2562" t="s">
        <v>11</v>
      </c>
      <c r="J2562" t="s">
        <v>6</v>
      </c>
      <c r="K2562" t="s">
        <v>25</v>
      </c>
      <c r="L2562" t="s">
        <v>45</v>
      </c>
      <c r="M2562" t="s">
        <v>19</v>
      </c>
      <c r="N2562">
        <v>4</v>
      </c>
      <c r="O2562">
        <v>1</v>
      </c>
      <c r="P2562">
        <v>1138.25</v>
      </c>
      <c r="Q2562">
        <v>1138.25</v>
      </c>
    </row>
    <row r="2563" spans="7:17" x14ac:dyDescent="0.25">
      <c r="G2563" t="str">
        <f t="shared" si="40"/>
        <v/>
      </c>
      <c r="H2563" t="s">
        <v>47</v>
      </c>
      <c r="I2563" t="s">
        <v>11</v>
      </c>
      <c r="J2563" t="s">
        <v>6</v>
      </c>
      <c r="K2563" t="s">
        <v>25</v>
      </c>
      <c r="L2563" t="s">
        <v>45</v>
      </c>
      <c r="M2563" t="s">
        <v>20</v>
      </c>
      <c r="N2563">
        <v>198</v>
      </c>
      <c r="O2563">
        <v>28</v>
      </c>
      <c r="P2563">
        <v>155145.82999999999</v>
      </c>
      <c r="Q2563">
        <v>0</v>
      </c>
    </row>
    <row r="2564" spans="7:17" x14ac:dyDescent="0.25">
      <c r="G2564" t="str">
        <f t="shared" si="40"/>
        <v/>
      </c>
      <c r="H2564" t="s">
        <v>47</v>
      </c>
      <c r="I2564" t="s">
        <v>11</v>
      </c>
      <c r="J2564" t="s">
        <v>6</v>
      </c>
      <c r="K2564" t="s">
        <v>26</v>
      </c>
      <c r="L2564" t="s">
        <v>42</v>
      </c>
      <c r="M2564" t="s">
        <v>19</v>
      </c>
      <c r="N2564">
        <v>289</v>
      </c>
      <c r="O2564">
        <v>14</v>
      </c>
      <c r="P2564">
        <v>114234.72000000012</v>
      </c>
      <c r="Q2564">
        <v>113578.38000000015</v>
      </c>
    </row>
    <row r="2565" spans="7:17" x14ac:dyDescent="0.25">
      <c r="G2565" t="str">
        <f t="shared" si="40"/>
        <v/>
      </c>
      <c r="H2565" t="s">
        <v>47</v>
      </c>
      <c r="I2565" t="s">
        <v>11</v>
      </c>
      <c r="J2565" t="s">
        <v>6</v>
      </c>
      <c r="K2565" t="s">
        <v>26</v>
      </c>
      <c r="L2565" t="s">
        <v>42</v>
      </c>
      <c r="M2565" t="s">
        <v>20</v>
      </c>
      <c r="N2565">
        <v>640</v>
      </c>
      <c r="O2565">
        <v>46</v>
      </c>
      <c r="P2565">
        <v>73998.890000000072</v>
      </c>
      <c r="Q2565">
        <v>0</v>
      </c>
    </row>
    <row r="2566" spans="7:17" x14ac:dyDescent="0.25">
      <c r="G2566" t="str">
        <f t="shared" si="40"/>
        <v/>
      </c>
      <c r="H2566" t="s">
        <v>47</v>
      </c>
      <c r="I2566" t="s">
        <v>11</v>
      </c>
      <c r="J2566" t="s">
        <v>6</v>
      </c>
      <c r="K2566" t="s">
        <v>26</v>
      </c>
      <c r="L2566" t="s">
        <v>43</v>
      </c>
      <c r="M2566" t="s">
        <v>19</v>
      </c>
      <c r="N2566">
        <v>128</v>
      </c>
      <c r="O2566">
        <v>7</v>
      </c>
      <c r="P2566">
        <v>67778.760000000024</v>
      </c>
      <c r="Q2566">
        <v>66164.249999999956</v>
      </c>
    </row>
    <row r="2567" spans="7:17" x14ac:dyDescent="0.25">
      <c r="G2567" t="str">
        <f t="shared" si="40"/>
        <v/>
      </c>
      <c r="H2567" t="s">
        <v>47</v>
      </c>
      <c r="I2567" t="s">
        <v>11</v>
      </c>
      <c r="J2567" t="s">
        <v>6</v>
      </c>
      <c r="K2567" t="s">
        <v>26</v>
      </c>
      <c r="L2567" t="s">
        <v>43</v>
      </c>
      <c r="M2567" t="s">
        <v>20</v>
      </c>
      <c r="N2567">
        <v>232</v>
      </c>
      <c r="O2567">
        <v>58</v>
      </c>
      <c r="P2567">
        <v>100967.09000000019</v>
      </c>
      <c r="Q2567">
        <v>0</v>
      </c>
    </row>
    <row r="2568" spans="7:17" x14ac:dyDescent="0.25">
      <c r="G2568" t="str">
        <f t="shared" si="40"/>
        <v/>
      </c>
      <c r="H2568" t="s">
        <v>47</v>
      </c>
      <c r="I2568" t="s">
        <v>11</v>
      </c>
      <c r="J2568" t="s">
        <v>6</v>
      </c>
      <c r="K2568" t="s">
        <v>26</v>
      </c>
      <c r="L2568" t="s">
        <v>44</v>
      </c>
      <c r="M2568" t="s">
        <v>19</v>
      </c>
      <c r="N2568">
        <v>28</v>
      </c>
      <c r="O2568">
        <v>11</v>
      </c>
      <c r="P2568">
        <v>35331.82</v>
      </c>
      <c r="Q2568">
        <v>19124.509999999998</v>
      </c>
    </row>
    <row r="2569" spans="7:17" x14ac:dyDescent="0.25">
      <c r="G2569" t="str">
        <f t="shared" si="40"/>
        <v/>
      </c>
      <c r="H2569" t="s">
        <v>47</v>
      </c>
      <c r="I2569" t="s">
        <v>11</v>
      </c>
      <c r="J2569" t="s">
        <v>6</v>
      </c>
      <c r="K2569" t="s">
        <v>26</v>
      </c>
      <c r="L2569" t="s">
        <v>44</v>
      </c>
      <c r="M2569" t="s">
        <v>20</v>
      </c>
      <c r="N2569">
        <v>35</v>
      </c>
      <c r="O2569">
        <v>9</v>
      </c>
      <c r="P2569">
        <v>21185.29</v>
      </c>
      <c r="Q2569">
        <v>0</v>
      </c>
    </row>
    <row r="2570" spans="7:17" x14ac:dyDescent="0.25">
      <c r="G2570" t="str">
        <f t="shared" si="40"/>
        <v/>
      </c>
      <c r="H2570" t="s">
        <v>47</v>
      </c>
      <c r="I2570" t="s">
        <v>11</v>
      </c>
      <c r="J2570" t="s">
        <v>6</v>
      </c>
      <c r="K2570" t="s">
        <v>26</v>
      </c>
      <c r="L2570" t="s">
        <v>39</v>
      </c>
      <c r="M2570" t="s">
        <v>19</v>
      </c>
      <c r="N2570">
        <v>12</v>
      </c>
      <c r="O2570">
        <v>2</v>
      </c>
      <c r="P2570">
        <v>21503.989999999998</v>
      </c>
      <c r="Q2570">
        <v>11677.34</v>
      </c>
    </row>
    <row r="2571" spans="7:17" x14ac:dyDescent="0.25">
      <c r="G2571" t="str">
        <f t="shared" si="40"/>
        <v/>
      </c>
      <c r="H2571" t="s">
        <v>47</v>
      </c>
      <c r="I2571" t="s">
        <v>11</v>
      </c>
      <c r="J2571" t="s">
        <v>6</v>
      </c>
      <c r="K2571" t="s">
        <v>26</v>
      </c>
      <c r="L2571" t="s">
        <v>39</v>
      </c>
      <c r="M2571" t="s">
        <v>20</v>
      </c>
      <c r="N2571">
        <v>22</v>
      </c>
      <c r="O2571">
        <v>13</v>
      </c>
      <c r="P2571">
        <v>15072.080000000004</v>
      </c>
      <c r="Q2571">
        <v>0</v>
      </c>
    </row>
    <row r="2572" spans="7:17" x14ac:dyDescent="0.25">
      <c r="G2572" t="str">
        <f t="shared" si="40"/>
        <v/>
      </c>
      <c r="H2572" t="s">
        <v>47</v>
      </c>
      <c r="I2572" t="s">
        <v>11</v>
      </c>
      <c r="J2572" t="s">
        <v>6</v>
      </c>
      <c r="K2572" t="s">
        <v>26</v>
      </c>
      <c r="L2572" t="s">
        <v>40</v>
      </c>
      <c r="M2572" t="s">
        <v>19</v>
      </c>
      <c r="N2572">
        <v>6</v>
      </c>
      <c r="O2572">
        <v>3</v>
      </c>
      <c r="P2572">
        <v>11784.140000000001</v>
      </c>
      <c r="Q2572">
        <v>8207.83</v>
      </c>
    </row>
    <row r="2573" spans="7:17" x14ac:dyDescent="0.25">
      <c r="G2573" t="str">
        <f t="shared" si="40"/>
        <v/>
      </c>
      <c r="H2573" t="s">
        <v>47</v>
      </c>
      <c r="I2573" t="s">
        <v>11</v>
      </c>
      <c r="J2573" t="s">
        <v>6</v>
      </c>
      <c r="K2573" t="s">
        <v>26</v>
      </c>
      <c r="L2573" t="s">
        <v>40</v>
      </c>
      <c r="M2573" t="s">
        <v>20</v>
      </c>
      <c r="N2573">
        <v>19</v>
      </c>
      <c r="O2573">
        <v>1</v>
      </c>
      <c r="P2573">
        <v>20907.819999999996</v>
      </c>
      <c r="Q2573">
        <v>0</v>
      </c>
    </row>
    <row r="2574" spans="7:17" x14ac:dyDescent="0.25">
      <c r="G2574" t="str">
        <f t="shared" si="40"/>
        <v/>
      </c>
      <c r="H2574" t="s">
        <v>47</v>
      </c>
      <c r="I2574" t="s">
        <v>11</v>
      </c>
      <c r="J2574" t="s">
        <v>6</v>
      </c>
      <c r="K2574" t="s">
        <v>26</v>
      </c>
      <c r="L2574" t="s">
        <v>41</v>
      </c>
      <c r="M2574" t="s">
        <v>19</v>
      </c>
      <c r="N2574">
        <v>2</v>
      </c>
      <c r="O2574">
        <v>0</v>
      </c>
      <c r="P2574">
        <v>3594.7</v>
      </c>
      <c r="Q2574">
        <v>1982</v>
      </c>
    </row>
    <row r="2575" spans="7:17" x14ac:dyDescent="0.25">
      <c r="G2575" t="str">
        <f t="shared" si="40"/>
        <v/>
      </c>
      <c r="H2575" t="s">
        <v>47</v>
      </c>
      <c r="I2575" t="s">
        <v>11</v>
      </c>
      <c r="J2575" t="s">
        <v>6</v>
      </c>
      <c r="K2575" t="s">
        <v>26</v>
      </c>
      <c r="L2575" t="s">
        <v>41</v>
      </c>
      <c r="M2575" t="s">
        <v>20</v>
      </c>
      <c r="N2575">
        <v>5</v>
      </c>
      <c r="O2575">
        <v>2</v>
      </c>
      <c r="P2575">
        <v>8377.1999999999989</v>
      </c>
      <c r="Q2575">
        <v>0</v>
      </c>
    </row>
    <row r="2576" spans="7:17" x14ac:dyDescent="0.25">
      <c r="G2576" t="str">
        <f t="shared" si="40"/>
        <v/>
      </c>
      <c r="H2576" t="s">
        <v>47</v>
      </c>
      <c r="I2576" t="s">
        <v>11</v>
      </c>
      <c r="J2576" t="s">
        <v>6</v>
      </c>
      <c r="K2576" t="s">
        <v>26</v>
      </c>
      <c r="L2576" t="s">
        <v>45</v>
      </c>
      <c r="M2576" t="s">
        <v>19</v>
      </c>
      <c r="N2576">
        <v>1</v>
      </c>
      <c r="O2576">
        <v>1</v>
      </c>
      <c r="P2576">
        <v>987.02</v>
      </c>
      <c r="Q2576">
        <v>495</v>
      </c>
    </row>
    <row r="2577" spans="7:17" x14ac:dyDescent="0.25">
      <c r="G2577" t="str">
        <f t="shared" si="40"/>
        <v/>
      </c>
      <c r="H2577" t="s">
        <v>47</v>
      </c>
      <c r="I2577" t="s">
        <v>11</v>
      </c>
      <c r="J2577" t="s">
        <v>6</v>
      </c>
      <c r="K2577" t="s">
        <v>26</v>
      </c>
      <c r="L2577" t="s">
        <v>45</v>
      </c>
      <c r="M2577" t="s">
        <v>20</v>
      </c>
      <c r="N2577">
        <v>32</v>
      </c>
      <c r="O2577">
        <v>11</v>
      </c>
      <c r="P2577">
        <v>11101.690000000002</v>
      </c>
      <c r="Q2577">
        <v>0</v>
      </c>
    </row>
    <row r="2578" spans="7:17" x14ac:dyDescent="0.25">
      <c r="G2578" t="str">
        <f t="shared" si="40"/>
        <v/>
      </c>
      <c r="H2578" t="s">
        <v>47</v>
      </c>
      <c r="I2578" t="s">
        <v>11</v>
      </c>
      <c r="J2578" t="s">
        <v>6</v>
      </c>
      <c r="K2578" t="s">
        <v>27</v>
      </c>
      <c r="L2578" t="s">
        <v>42</v>
      </c>
      <c r="M2578" t="s">
        <v>19</v>
      </c>
      <c r="N2578">
        <v>7</v>
      </c>
      <c r="O2578">
        <v>1</v>
      </c>
      <c r="P2578">
        <v>3638.15</v>
      </c>
      <c r="Q2578">
        <v>3636.9300000000003</v>
      </c>
    </row>
    <row r="2579" spans="7:17" x14ac:dyDescent="0.25">
      <c r="G2579" t="str">
        <f t="shared" si="40"/>
        <v/>
      </c>
      <c r="H2579" t="s">
        <v>47</v>
      </c>
      <c r="I2579" t="s">
        <v>11</v>
      </c>
      <c r="J2579" t="s">
        <v>6</v>
      </c>
      <c r="K2579" t="s">
        <v>27</v>
      </c>
      <c r="L2579" t="s">
        <v>42</v>
      </c>
      <c r="M2579" t="s">
        <v>20</v>
      </c>
      <c r="N2579">
        <v>61</v>
      </c>
      <c r="O2579">
        <v>8</v>
      </c>
      <c r="P2579">
        <v>2417.0400000000013</v>
      </c>
      <c r="Q2579">
        <v>0</v>
      </c>
    </row>
    <row r="2580" spans="7:17" x14ac:dyDescent="0.25">
      <c r="G2580" t="str">
        <f t="shared" si="40"/>
        <v/>
      </c>
      <c r="H2580" t="s">
        <v>47</v>
      </c>
      <c r="I2580" t="s">
        <v>11</v>
      </c>
      <c r="J2580" t="s">
        <v>6</v>
      </c>
      <c r="K2580" t="s">
        <v>27</v>
      </c>
      <c r="L2580" t="s">
        <v>43</v>
      </c>
      <c r="M2580" t="s">
        <v>19</v>
      </c>
      <c r="N2580">
        <v>31</v>
      </c>
      <c r="O2580">
        <v>2</v>
      </c>
      <c r="P2580">
        <v>10222.700000000001</v>
      </c>
      <c r="Q2580">
        <v>9854</v>
      </c>
    </row>
    <row r="2581" spans="7:17" x14ac:dyDescent="0.25">
      <c r="G2581" t="str">
        <f t="shared" si="40"/>
        <v/>
      </c>
      <c r="H2581" t="s">
        <v>47</v>
      </c>
      <c r="I2581" t="s">
        <v>11</v>
      </c>
      <c r="J2581" t="s">
        <v>6</v>
      </c>
      <c r="K2581" t="s">
        <v>27</v>
      </c>
      <c r="L2581" t="s">
        <v>43</v>
      </c>
      <c r="M2581" t="s">
        <v>20</v>
      </c>
      <c r="N2581">
        <v>16</v>
      </c>
      <c r="O2581">
        <v>1</v>
      </c>
      <c r="P2581">
        <v>9084.6600000000017</v>
      </c>
      <c r="Q2581">
        <v>0</v>
      </c>
    </row>
    <row r="2582" spans="7:17" x14ac:dyDescent="0.25">
      <c r="G2582" t="str">
        <f t="shared" si="40"/>
        <v/>
      </c>
      <c r="H2582" t="s">
        <v>47</v>
      </c>
      <c r="I2582" t="s">
        <v>11</v>
      </c>
      <c r="J2582" t="s">
        <v>6</v>
      </c>
      <c r="K2582" t="s">
        <v>27</v>
      </c>
      <c r="L2582" t="s">
        <v>44</v>
      </c>
      <c r="M2582" t="s">
        <v>19</v>
      </c>
      <c r="N2582">
        <v>35</v>
      </c>
      <c r="O2582">
        <v>1</v>
      </c>
      <c r="P2582">
        <v>20397.190000000002</v>
      </c>
      <c r="Q2582">
        <v>10644.62</v>
      </c>
    </row>
    <row r="2583" spans="7:17" x14ac:dyDescent="0.25">
      <c r="G2583" t="str">
        <f t="shared" si="40"/>
        <v/>
      </c>
      <c r="H2583" t="s">
        <v>47</v>
      </c>
      <c r="I2583" t="s">
        <v>11</v>
      </c>
      <c r="J2583" t="s">
        <v>6</v>
      </c>
      <c r="K2583" t="s">
        <v>27</v>
      </c>
      <c r="L2583" t="s">
        <v>44</v>
      </c>
      <c r="M2583" t="s">
        <v>20</v>
      </c>
      <c r="N2583">
        <v>10</v>
      </c>
      <c r="O2583">
        <v>1</v>
      </c>
      <c r="P2583">
        <v>403.76000000000005</v>
      </c>
      <c r="Q2583">
        <v>0</v>
      </c>
    </row>
    <row r="2584" spans="7:17" x14ac:dyDescent="0.25">
      <c r="G2584" t="str">
        <f t="shared" si="40"/>
        <v/>
      </c>
      <c r="H2584" t="s">
        <v>47</v>
      </c>
      <c r="I2584" t="s">
        <v>11</v>
      </c>
      <c r="J2584" t="s">
        <v>6</v>
      </c>
      <c r="K2584" t="s">
        <v>27</v>
      </c>
      <c r="L2584" t="s">
        <v>39</v>
      </c>
      <c r="M2584" t="s">
        <v>19</v>
      </c>
      <c r="N2584">
        <v>1</v>
      </c>
      <c r="O2584">
        <v>1</v>
      </c>
      <c r="P2584">
        <v>1299.58</v>
      </c>
      <c r="Q2584">
        <v>1299.58</v>
      </c>
    </row>
    <row r="2585" spans="7:17" x14ac:dyDescent="0.25">
      <c r="G2585" t="str">
        <f t="shared" si="40"/>
        <v/>
      </c>
      <c r="H2585" t="s">
        <v>47</v>
      </c>
      <c r="I2585" t="s">
        <v>11</v>
      </c>
      <c r="J2585" t="s">
        <v>6</v>
      </c>
      <c r="K2585" t="s">
        <v>27</v>
      </c>
      <c r="L2585" t="s">
        <v>39</v>
      </c>
      <c r="M2585" t="s">
        <v>20</v>
      </c>
      <c r="N2585">
        <v>1</v>
      </c>
      <c r="O2585">
        <v>1</v>
      </c>
      <c r="P2585">
        <v>229.58</v>
      </c>
      <c r="Q2585">
        <v>0</v>
      </c>
    </row>
    <row r="2586" spans="7:17" x14ac:dyDescent="0.25">
      <c r="G2586" t="str">
        <f t="shared" si="40"/>
        <v/>
      </c>
      <c r="H2586" t="s">
        <v>47</v>
      </c>
      <c r="I2586" t="s">
        <v>11</v>
      </c>
      <c r="J2586" t="s">
        <v>6</v>
      </c>
      <c r="K2586" t="s">
        <v>27</v>
      </c>
      <c r="L2586" t="s">
        <v>41</v>
      </c>
      <c r="M2586" t="s">
        <v>20</v>
      </c>
      <c r="N2586">
        <v>1</v>
      </c>
      <c r="O2586">
        <v>0</v>
      </c>
      <c r="P2586">
        <v>183.15</v>
      </c>
      <c r="Q2586">
        <v>0</v>
      </c>
    </row>
    <row r="2587" spans="7:17" x14ac:dyDescent="0.25">
      <c r="G2587" t="str">
        <f t="shared" si="40"/>
        <v/>
      </c>
      <c r="H2587" t="s">
        <v>47</v>
      </c>
      <c r="I2587" t="s">
        <v>11</v>
      </c>
      <c r="J2587" t="s">
        <v>6</v>
      </c>
      <c r="K2587" t="s">
        <v>27</v>
      </c>
      <c r="L2587" t="s">
        <v>45</v>
      </c>
      <c r="M2587" t="s">
        <v>20</v>
      </c>
      <c r="N2587">
        <v>11</v>
      </c>
      <c r="O2587">
        <v>3</v>
      </c>
      <c r="P2587">
        <v>1230.77</v>
      </c>
      <c r="Q2587">
        <v>0</v>
      </c>
    </row>
    <row r="2588" spans="7:17" x14ac:dyDescent="0.25">
      <c r="G2588" t="str">
        <f t="shared" si="40"/>
        <v/>
      </c>
      <c r="H2588" t="s">
        <v>47</v>
      </c>
      <c r="I2588" t="s">
        <v>11</v>
      </c>
      <c r="J2588" t="s">
        <v>6</v>
      </c>
      <c r="K2588" t="s">
        <v>28</v>
      </c>
      <c r="L2588" t="s">
        <v>42</v>
      </c>
      <c r="M2588" t="s">
        <v>19</v>
      </c>
      <c r="N2588">
        <v>69</v>
      </c>
      <c r="O2588">
        <v>5</v>
      </c>
      <c r="P2588">
        <v>16219.000000000004</v>
      </c>
      <c r="Q2588">
        <v>16219.000000000004</v>
      </c>
    </row>
    <row r="2589" spans="7:17" x14ac:dyDescent="0.25">
      <c r="G2589" t="str">
        <f t="shared" si="40"/>
        <v/>
      </c>
      <c r="H2589" t="s">
        <v>47</v>
      </c>
      <c r="I2589" t="s">
        <v>11</v>
      </c>
      <c r="J2589" t="s">
        <v>6</v>
      </c>
      <c r="K2589" t="s">
        <v>28</v>
      </c>
      <c r="L2589" t="s">
        <v>42</v>
      </c>
      <c r="M2589" t="s">
        <v>20</v>
      </c>
      <c r="N2589">
        <v>107</v>
      </c>
      <c r="O2589">
        <v>12</v>
      </c>
      <c r="P2589">
        <v>5969.3099999999977</v>
      </c>
      <c r="Q2589">
        <v>0</v>
      </c>
    </row>
    <row r="2590" spans="7:17" x14ac:dyDescent="0.25">
      <c r="G2590" t="str">
        <f t="shared" si="40"/>
        <v/>
      </c>
      <c r="H2590" t="s">
        <v>47</v>
      </c>
      <c r="I2590" t="s">
        <v>11</v>
      </c>
      <c r="J2590" t="s">
        <v>6</v>
      </c>
      <c r="K2590" t="s">
        <v>28</v>
      </c>
      <c r="L2590" t="s">
        <v>43</v>
      </c>
      <c r="M2590" t="s">
        <v>19</v>
      </c>
      <c r="N2590">
        <v>59</v>
      </c>
      <c r="O2590">
        <v>7</v>
      </c>
      <c r="P2590">
        <v>29863.149999999998</v>
      </c>
      <c r="Q2590">
        <v>29658.69</v>
      </c>
    </row>
    <row r="2591" spans="7:17" x14ac:dyDescent="0.25">
      <c r="G2591" t="str">
        <f t="shared" si="40"/>
        <v/>
      </c>
      <c r="H2591" t="s">
        <v>47</v>
      </c>
      <c r="I2591" t="s">
        <v>11</v>
      </c>
      <c r="J2591" t="s">
        <v>6</v>
      </c>
      <c r="K2591" t="s">
        <v>28</v>
      </c>
      <c r="L2591" t="s">
        <v>43</v>
      </c>
      <c r="M2591" t="s">
        <v>20</v>
      </c>
      <c r="N2591">
        <v>15</v>
      </c>
      <c r="O2591">
        <v>6</v>
      </c>
      <c r="P2591">
        <v>15757.499999999996</v>
      </c>
      <c r="Q2591">
        <v>0</v>
      </c>
    </row>
    <row r="2592" spans="7:17" x14ac:dyDescent="0.25">
      <c r="G2592" t="str">
        <f t="shared" si="40"/>
        <v/>
      </c>
      <c r="H2592" t="s">
        <v>47</v>
      </c>
      <c r="I2592" t="s">
        <v>11</v>
      </c>
      <c r="J2592" t="s">
        <v>6</v>
      </c>
      <c r="K2592" t="s">
        <v>28</v>
      </c>
      <c r="L2592" t="s">
        <v>44</v>
      </c>
      <c r="M2592" t="s">
        <v>19</v>
      </c>
      <c r="N2592">
        <v>10</v>
      </c>
      <c r="O2592">
        <v>2</v>
      </c>
      <c r="P2592">
        <v>5407.9699999999993</v>
      </c>
      <c r="Q2592">
        <v>4824.82</v>
      </c>
    </row>
    <row r="2593" spans="7:17" x14ac:dyDescent="0.25">
      <c r="G2593" t="str">
        <f t="shared" si="40"/>
        <v/>
      </c>
      <c r="H2593" t="s">
        <v>47</v>
      </c>
      <c r="I2593" t="s">
        <v>11</v>
      </c>
      <c r="J2593" t="s">
        <v>6</v>
      </c>
      <c r="K2593" t="s">
        <v>28</v>
      </c>
      <c r="L2593" t="s">
        <v>44</v>
      </c>
      <c r="M2593" t="s">
        <v>20</v>
      </c>
      <c r="N2593">
        <v>8</v>
      </c>
      <c r="O2593">
        <v>3</v>
      </c>
      <c r="P2593">
        <v>3512.03</v>
      </c>
      <c r="Q2593">
        <v>0</v>
      </c>
    </row>
    <row r="2594" spans="7:17" x14ac:dyDescent="0.25">
      <c r="G2594" t="str">
        <f t="shared" si="40"/>
        <v/>
      </c>
      <c r="H2594" t="s">
        <v>47</v>
      </c>
      <c r="I2594" t="s">
        <v>11</v>
      </c>
      <c r="J2594" t="s">
        <v>6</v>
      </c>
      <c r="K2594" t="s">
        <v>28</v>
      </c>
      <c r="L2594" t="s">
        <v>39</v>
      </c>
      <c r="M2594" t="s">
        <v>19</v>
      </c>
      <c r="N2594">
        <v>1</v>
      </c>
      <c r="O2594">
        <v>0</v>
      </c>
      <c r="P2594">
        <v>1770.53</v>
      </c>
      <c r="Q2594">
        <v>1770.53</v>
      </c>
    </row>
    <row r="2595" spans="7:17" x14ac:dyDescent="0.25">
      <c r="G2595" t="str">
        <f t="shared" si="40"/>
        <v/>
      </c>
      <c r="H2595" t="s">
        <v>47</v>
      </c>
      <c r="I2595" t="s">
        <v>11</v>
      </c>
      <c r="J2595" t="s">
        <v>6</v>
      </c>
      <c r="K2595" t="s">
        <v>28</v>
      </c>
      <c r="L2595" t="s">
        <v>39</v>
      </c>
      <c r="M2595" t="s">
        <v>20</v>
      </c>
      <c r="N2595">
        <v>4</v>
      </c>
      <c r="O2595">
        <v>3</v>
      </c>
      <c r="P2595">
        <v>2894.51</v>
      </c>
      <c r="Q2595">
        <v>0</v>
      </c>
    </row>
    <row r="2596" spans="7:17" x14ac:dyDescent="0.25">
      <c r="G2596" t="str">
        <f t="shared" si="40"/>
        <v/>
      </c>
      <c r="H2596" t="s">
        <v>47</v>
      </c>
      <c r="I2596" t="s">
        <v>11</v>
      </c>
      <c r="J2596" t="s">
        <v>6</v>
      </c>
      <c r="K2596" t="s">
        <v>28</v>
      </c>
      <c r="L2596" t="s">
        <v>40</v>
      </c>
      <c r="M2596" t="s">
        <v>20</v>
      </c>
      <c r="N2596">
        <v>8</v>
      </c>
      <c r="O2596">
        <v>2</v>
      </c>
      <c r="P2596">
        <v>8784.43</v>
      </c>
      <c r="Q2596">
        <v>0</v>
      </c>
    </row>
    <row r="2597" spans="7:17" x14ac:dyDescent="0.25">
      <c r="G2597" t="str">
        <f t="shared" si="40"/>
        <v/>
      </c>
      <c r="H2597" t="s">
        <v>47</v>
      </c>
      <c r="I2597" t="s">
        <v>11</v>
      </c>
      <c r="J2597" t="s">
        <v>6</v>
      </c>
      <c r="K2597" t="s">
        <v>28</v>
      </c>
      <c r="L2597" t="s">
        <v>45</v>
      </c>
      <c r="M2597" t="s">
        <v>20</v>
      </c>
      <c r="N2597">
        <v>17</v>
      </c>
      <c r="O2597">
        <v>5</v>
      </c>
      <c r="P2597">
        <v>11713.589999999998</v>
      </c>
      <c r="Q2597">
        <v>0</v>
      </c>
    </row>
    <row r="2598" spans="7:17" x14ac:dyDescent="0.25">
      <c r="G2598" t="str">
        <f t="shared" si="40"/>
        <v/>
      </c>
      <c r="H2598" t="s">
        <v>47</v>
      </c>
      <c r="I2598" t="s">
        <v>11</v>
      </c>
      <c r="J2598" t="s">
        <v>6</v>
      </c>
      <c r="K2598" t="s">
        <v>29</v>
      </c>
      <c r="L2598" t="s">
        <v>42</v>
      </c>
      <c r="M2598" t="s">
        <v>19</v>
      </c>
      <c r="N2598">
        <v>76</v>
      </c>
      <c r="O2598">
        <v>4</v>
      </c>
      <c r="P2598">
        <v>18739.3</v>
      </c>
      <c r="Q2598">
        <v>18736.330000000002</v>
      </c>
    </row>
    <row r="2599" spans="7:17" x14ac:dyDescent="0.25">
      <c r="G2599" t="str">
        <f t="shared" si="40"/>
        <v/>
      </c>
      <c r="H2599" t="s">
        <v>47</v>
      </c>
      <c r="I2599" t="s">
        <v>11</v>
      </c>
      <c r="J2599" t="s">
        <v>6</v>
      </c>
      <c r="K2599" t="s">
        <v>29</v>
      </c>
      <c r="L2599" t="s">
        <v>42</v>
      </c>
      <c r="M2599" t="s">
        <v>20</v>
      </c>
      <c r="N2599">
        <v>77</v>
      </c>
      <c r="O2599">
        <v>13</v>
      </c>
      <c r="P2599">
        <v>5802.8000000000029</v>
      </c>
      <c r="Q2599">
        <v>0</v>
      </c>
    </row>
    <row r="2600" spans="7:17" x14ac:dyDescent="0.25">
      <c r="G2600" t="str">
        <f t="shared" si="40"/>
        <v/>
      </c>
      <c r="H2600" t="s">
        <v>47</v>
      </c>
      <c r="I2600" t="s">
        <v>11</v>
      </c>
      <c r="J2600" t="s">
        <v>6</v>
      </c>
      <c r="K2600" t="s">
        <v>29</v>
      </c>
      <c r="L2600" t="s">
        <v>43</v>
      </c>
      <c r="M2600" t="s">
        <v>19</v>
      </c>
      <c r="N2600">
        <v>17</v>
      </c>
      <c r="O2600">
        <v>0</v>
      </c>
      <c r="P2600">
        <v>8588.630000000001</v>
      </c>
      <c r="Q2600">
        <v>8586.9</v>
      </c>
    </row>
    <row r="2601" spans="7:17" x14ac:dyDescent="0.25">
      <c r="G2601" t="str">
        <f t="shared" si="40"/>
        <v/>
      </c>
      <c r="H2601" t="s">
        <v>47</v>
      </c>
      <c r="I2601" t="s">
        <v>11</v>
      </c>
      <c r="J2601" t="s">
        <v>6</v>
      </c>
      <c r="K2601" t="s">
        <v>29</v>
      </c>
      <c r="L2601" t="s">
        <v>43</v>
      </c>
      <c r="M2601" t="s">
        <v>20</v>
      </c>
      <c r="N2601">
        <v>9</v>
      </c>
      <c r="O2601">
        <v>2</v>
      </c>
      <c r="P2601">
        <v>3886.1699999999996</v>
      </c>
      <c r="Q2601">
        <v>0</v>
      </c>
    </row>
    <row r="2602" spans="7:17" x14ac:dyDescent="0.25">
      <c r="G2602" t="str">
        <f t="shared" si="40"/>
        <v/>
      </c>
      <c r="H2602" t="s">
        <v>47</v>
      </c>
      <c r="I2602" t="s">
        <v>11</v>
      </c>
      <c r="J2602" t="s">
        <v>6</v>
      </c>
      <c r="K2602" t="s">
        <v>29</v>
      </c>
      <c r="L2602" t="s">
        <v>44</v>
      </c>
      <c r="M2602" t="s">
        <v>19</v>
      </c>
      <c r="N2602">
        <v>10</v>
      </c>
      <c r="O2602">
        <v>6</v>
      </c>
      <c r="P2602">
        <v>7786.4400000000005</v>
      </c>
      <c r="Q2602">
        <v>5420.8600000000006</v>
      </c>
    </row>
    <row r="2603" spans="7:17" x14ac:dyDescent="0.25">
      <c r="G2603" t="str">
        <f t="shared" si="40"/>
        <v/>
      </c>
      <c r="H2603" t="s">
        <v>47</v>
      </c>
      <c r="I2603" t="s">
        <v>11</v>
      </c>
      <c r="J2603" t="s">
        <v>6</v>
      </c>
      <c r="K2603" t="s">
        <v>29</v>
      </c>
      <c r="L2603" t="s">
        <v>44</v>
      </c>
      <c r="M2603" t="s">
        <v>20</v>
      </c>
      <c r="N2603">
        <v>6</v>
      </c>
      <c r="O2603">
        <v>2</v>
      </c>
      <c r="P2603">
        <v>2181.9500000000003</v>
      </c>
      <c r="Q2603">
        <v>0</v>
      </c>
    </row>
    <row r="2604" spans="7:17" x14ac:dyDescent="0.25">
      <c r="G2604" t="str">
        <f t="shared" si="40"/>
        <v/>
      </c>
      <c r="H2604" t="s">
        <v>47</v>
      </c>
      <c r="I2604" t="s">
        <v>11</v>
      </c>
      <c r="J2604" t="s">
        <v>6</v>
      </c>
      <c r="K2604" t="s">
        <v>29</v>
      </c>
      <c r="L2604" t="s">
        <v>39</v>
      </c>
      <c r="M2604" t="s">
        <v>20</v>
      </c>
      <c r="N2604">
        <v>6</v>
      </c>
      <c r="O2604">
        <v>3</v>
      </c>
      <c r="P2604">
        <v>2835.64</v>
      </c>
      <c r="Q2604">
        <v>0</v>
      </c>
    </row>
    <row r="2605" spans="7:17" x14ac:dyDescent="0.25">
      <c r="G2605" t="str">
        <f t="shared" si="40"/>
        <v/>
      </c>
      <c r="H2605" t="s">
        <v>47</v>
      </c>
      <c r="I2605" t="s">
        <v>11</v>
      </c>
      <c r="J2605" t="s">
        <v>6</v>
      </c>
      <c r="K2605" t="s">
        <v>29</v>
      </c>
      <c r="L2605" t="s">
        <v>40</v>
      </c>
      <c r="M2605" t="s">
        <v>19</v>
      </c>
      <c r="N2605">
        <v>1</v>
      </c>
      <c r="O2605">
        <v>0</v>
      </c>
      <c r="P2605">
        <v>640.9</v>
      </c>
      <c r="Q2605">
        <v>640.8900000000001</v>
      </c>
    </row>
    <row r="2606" spans="7:17" x14ac:dyDescent="0.25">
      <c r="G2606" t="str">
        <f t="shared" si="40"/>
        <v/>
      </c>
      <c r="H2606" t="s">
        <v>47</v>
      </c>
      <c r="I2606" t="s">
        <v>11</v>
      </c>
      <c r="J2606" t="s">
        <v>6</v>
      </c>
      <c r="K2606" t="s">
        <v>29</v>
      </c>
      <c r="L2606" t="s">
        <v>41</v>
      </c>
      <c r="M2606" t="s">
        <v>20</v>
      </c>
      <c r="N2606">
        <v>2</v>
      </c>
      <c r="O2606">
        <v>2</v>
      </c>
      <c r="P2606">
        <v>1565.9099999999999</v>
      </c>
      <c r="Q2606">
        <v>0</v>
      </c>
    </row>
    <row r="2607" spans="7:17" x14ac:dyDescent="0.25">
      <c r="G2607" t="str">
        <f t="shared" si="40"/>
        <v/>
      </c>
      <c r="H2607" t="s">
        <v>47</v>
      </c>
      <c r="I2607" t="s">
        <v>11</v>
      </c>
      <c r="J2607" t="s">
        <v>6</v>
      </c>
      <c r="K2607" t="s">
        <v>29</v>
      </c>
      <c r="L2607" t="s">
        <v>45</v>
      </c>
      <c r="M2607" t="s">
        <v>19</v>
      </c>
      <c r="N2607">
        <v>3</v>
      </c>
      <c r="O2607">
        <v>0</v>
      </c>
      <c r="P2607">
        <v>1504.5100000000002</v>
      </c>
      <c r="Q2607">
        <v>816.41000000000008</v>
      </c>
    </row>
    <row r="2608" spans="7:17" x14ac:dyDescent="0.25">
      <c r="G2608" t="str">
        <f t="shared" si="40"/>
        <v/>
      </c>
      <c r="H2608" t="s">
        <v>47</v>
      </c>
      <c r="I2608" t="s">
        <v>11</v>
      </c>
      <c r="J2608" t="s">
        <v>6</v>
      </c>
      <c r="K2608" t="s">
        <v>29</v>
      </c>
      <c r="L2608" t="s">
        <v>45</v>
      </c>
      <c r="M2608" t="s">
        <v>20</v>
      </c>
      <c r="N2608">
        <v>34</v>
      </c>
      <c r="O2608">
        <v>10</v>
      </c>
      <c r="P2608">
        <v>30541.84</v>
      </c>
      <c r="Q2608">
        <v>0</v>
      </c>
    </row>
    <row r="2609" spans="7:17" x14ac:dyDescent="0.25">
      <c r="G2609" t="str">
        <f t="shared" si="40"/>
        <v/>
      </c>
      <c r="H2609" t="s">
        <v>47</v>
      </c>
      <c r="I2609" t="s">
        <v>11</v>
      </c>
      <c r="J2609" t="s">
        <v>6</v>
      </c>
      <c r="K2609" t="s">
        <v>30</v>
      </c>
      <c r="L2609" t="s">
        <v>42</v>
      </c>
      <c r="M2609" t="s">
        <v>20</v>
      </c>
      <c r="N2609">
        <v>9</v>
      </c>
      <c r="O2609">
        <v>1</v>
      </c>
      <c r="P2609">
        <v>21.810000000000002</v>
      </c>
      <c r="Q2609">
        <v>0</v>
      </c>
    </row>
    <row r="2610" spans="7:17" x14ac:dyDescent="0.25">
      <c r="G2610" t="str">
        <f t="shared" si="40"/>
        <v/>
      </c>
      <c r="H2610" t="s">
        <v>47</v>
      </c>
      <c r="I2610" t="s">
        <v>11</v>
      </c>
      <c r="J2610" t="s">
        <v>6</v>
      </c>
      <c r="K2610" t="s">
        <v>30</v>
      </c>
      <c r="L2610" t="s">
        <v>44</v>
      </c>
      <c r="M2610" t="s">
        <v>20</v>
      </c>
      <c r="N2610">
        <v>4</v>
      </c>
      <c r="O2610">
        <v>1</v>
      </c>
      <c r="P2610">
        <v>1248.0700000000002</v>
      </c>
      <c r="Q2610">
        <v>0</v>
      </c>
    </row>
    <row r="2611" spans="7:17" x14ac:dyDescent="0.25">
      <c r="G2611" t="str">
        <f t="shared" si="40"/>
        <v/>
      </c>
      <c r="H2611" t="s">
        <v>47</v>
      </c>
      <c r="I2611" t="s">
        <v>11</v>
      </c>
      <c r="J2611" t="s">
        <v>6</v>
      </c>
      <c r="K2611" t="s">
        <v>30</v>
      </c>
      <c r="L2611" t="s">
        <v>39</v>
      </c>
      <c r="M2611" t="s">
        <v>20</v>
      </c>
      <c r="N2611">
        <v>1</v>
      </c>
      <c r="O2611">
        <v>0</v>
      </c>
      <c r="P2611">
        <v>604.63</v>
      </c>
      <c r="Q2611">
        <v>0</v>
      </c>
    </row>
    <row r="2612" spans="7:17" x14ac:dyDescent="0.25">
      <c r="G2612" t="str">
        <f t="shared" si="40"/>
        <v/>
      </c>
      <c r="H2612" t="s">
        <v>47</v>
      </c>
      <c r="I2612" t="s">
        <v>11</v>
      </c>
      <c r="J2612" t="s">
        <v>6</v>
      </c>
      <c r="K2612" t="s">
        <v>30</v>
      </c>
      <c r="L2612" t="s">
        <v>41</v>
      </c>
      <c r="M2612" t="s">
        <v>20</v>
      </c>
      <c r="N2612">
        <v>3</v>
      </c>
      <c r="O2612">
        <v>0</v>
      </c>
      <c r="P2612">
        <v>296</v>
      </c>
      <c r="Q2612">
        <v>0</v>
      </c>
    </row>
    <row r="2613" spans="7:17" x14ac:dyDescent="0.25">
      <c r="G2613" t="str">
        <f t="shared" si="40"/>
        <v/>
      </c>
      <c r="H2613" t="s">
        <v>47</v>
      </c>
      <c r="I2613" t="s">
        <v>11</v>
      </c>
      <c r="J2613" t="s">
        <v>6</v>
      </c>
      <c r="K2613" t="s">
        <v>31</v>
      </c>
      <c r="L2613" t="s">
        <v>42</v>
      </c>
      <c r="M2613" t="s">
        <v>19</v>
      </c>
      <c r="N2613">
        <v>58</v>
      </c>
      <c r="O2613">
        <v>0</v>
      </c>
      <c r="P2613">
        <v>24207.000000000011</v>
      </c>
      <c r="Q2613">
        <v>24201.100000000009</v>
      </c>
    </row>
    <row r="2614" spans="7:17" x14ac:dyDescent="0.25">
      <c r="G2614" t="str">
        <f t="shared" si="40"/>
        <v/>
      </c>
      <c r="H2614" t="s">
        <v>47</v>
      </c>
      <c r="I2614" t="s">
        <v>11</v>
      </c>
      <c r="J2614" t="s">
        <v>6</v>
      </c>
      <c r="K2614" t="s">
        <v>31</v>
      </c>
      <c r="L2614" t="s">
        <v>42</v>
      </c>
      <c r="M2614" t="s">
        <v>20</v>
      </c>
      <c r="N2614">
        <v>57</v>
      </c>
      <c r="O2614">
        <v>1</v>
      </c>
      <c r="P2614">
        <v>1467.7200000000005</v>
      </c>
      <c r="Q2614">
        <v>0</v>
      </c>
    </row>
    <row r="2615" spans="7:17" x14ac:dyDescent="0.25">
      <c r="G2615" t="str">
        <f t="shared" si="40"/>
        <v/>
      </c>
      <c r="H2615" t="s">
        <v>47</v>
      </c>
      <c r="I2615" t="s">
        <v>11</v>
      </c>
      <c r="J2615" t="s">
        <v>6</v>
      </c>
      <c r="K2615" t="s">
        <v>31</v>
      </c>
      <c r="L2615" t="s">
        <v>43</v>
      </c>
      <c r="M2615" t="s">
        <v>19</v>
      </c>
      <c r="N2615">
        <v>50</v>
      </c>
      <c r="O2615">
        <v>0</v>
      </c>
      <c r="P2615">
        <v>20948.540000000012</v>
      </c>
      <c r="Q2615">
        <v>20943.7</v>
      </c>
    </row>
    <row r="2616" spans="7:17" x14ac:dyDescent="0.25">
      <c r="G2616" t="str">
        <f t="shared" si="40"/>
        <v/>
      </c>
      <c r="H2616" t="s">
        <v>47</v>
      </c>
      <c r="I2616" t="s">
        <v>11</v>
      </c>
      <c r="J2616" t="s">
        <v>6</v>
      </c>
      <c r="K2616" t="s">
        <v>31</v>
      </c>
      <c r="L2616" t="s">
        <v>43</v>
      </c>
      <c r="M2616" t="s">
        <v>20</v>
      </c>
      <c r="N2616">
        <v>1</v>
      </c>
      <c r="O2616">
        <v>0</v>
      </c>
      <c r="P2616">
        <v>0.26</v>
      </c>
      <c r="Q2616">
        <v>0</v>
      </c>
    </row>
    <row r="2617" spans="7:17" x14ac:dyDescent="0.25">
      <c r="G2617" t="str">
        <f t="shared" si="40"/>
        <v/>
      </c>
      <c r="H2617" t="s">
        <v>47</v>
      </c>
      <c r="I2617" t="s">
        <v>11</v>
      </c>
      <c r="J2617" t="s">
        <v>6</v>
      </c>
      <c r="K2617" t="s">
        <v>31</v>
      </c>
      <c r="L2617" t="s">
        <v>44</v>
      </c>
      <c r="M2617" t="s">
        <v>20</v>
      </c>
      <c r="N2617">
        <v>1</v>
      </c>
      <c r="O2617">
        <v>0</v>
      </c>
      <c r="P2617">
        <v>1235.03</v>
      </c>
      <c r="Q2617">
        <v>0</v>
      </c>
    </row>
    <row r="2618" spans="7:17" x14ac:dyDescent="0.25">
      <c r="G2618" t="str">
        <f t="shared" si="40"/>
        <v/>
      </c>
      <c r="H2618" t="s">
        <v>47</v>
      </c>
      <c r="I2618" t="s">
        <v>11</v>
      </c>
      <c r="J2618" t="s">
        <v>6</v>
      </c>
      <c r="K2618" t="s">
        <v>31</v>
      </c>
      <c r="L2618" t="s">
        <v>39</v>
      </c>
      <c r="M2618" t="s">
        <v>20</v>
      </c>
      <c r="N2618">
        <v>2</v>
      </c>
      <c r="O2618">
        <v>1</v>
      </c>
      <c r="P2618">
        <v>1235.78</v>
      </c>
      <c r="Q2618">
        <v>0</v>
      </c>
    </row>
    <row r="2619" spans="7:17" x14ac:dyDescent="0.25">
      <c r="G2619" t="str">
        <f t="shared" si="40"/>
        <v/>
      </c>
      <c r="H2619" t="s">
        <v>47</v>
      </c>
      <c r="I2619" t="s">
        <v>11</v>
      </c>
      <c r="J2619" t="s">
        <v>6</v>
      </c>
      <c r="K2619" t="s">
        <v>31</v>
      </c>
      <c r="L2619" t="s">
        <v>45</v>
      </c>
      <c r="M2619" t="s">
        <v>20</v>
      </c>
      <c r="N2619">
        <v>1</v>
      </c>
      <c r="O2619">
        <v>0</v>
      </c>
      <c r="P2619">
        <v>890.55</v>
      </c>
      <c r="Q2619">
        <v>0</v>
      </c>
    </row>
    <row r="2620" spans="7:17" x14ac:dyDescent="0.25">
      <c r="G2620" t="str">
        <f t="shared" si="40"/>
        <v/>
      </c>
      <c r="H2620" t="s">
        <v>47</v>
      </c>
      <c r="I2620" t="s">
        <v>11</v>
      </c>
      <c r="J2620" t="s">
        <v>6</v>
      </c>
      <c r="K2620" t="s">
        <v>32</v>
      </c>
      <c r="L2620" t="s">
        <v>42</v>
      </c>
      <c r="M2620" t="s">
        <v>19</v>
      </c>
      <c r="N2620">
        <v>1</v>
      </c>
      <c r="O2620">
        <v>1</v>
      </c>
      <c r="P2620">
        <v>592.96</v>
      </c>
      <c r="Q2620">
        <v>592.96</v>
      </c>
    </row>
    <row r="2621" spans="7:17" x14ac:dyDescent="0.25">
      <c r="G2621" t="str">
        <f t="shared" si="40"/>
        <v/>
      </c>
      <c r="H2621" t="s">
        <v>47</v>
      </c>
      <c r="I2621" t="s">
        <v>11</v>
      </c>
      <c r="J2621" t="s">
        <v>6</v>
      </c>
      <c r="K2621" t="s">
        <v>32</v>
      </c>
      <c r="L2621" t="s">
        <v>42</v>
      </c>
      <c r="M2621" t="s">
        <v>20</v>
      </c>
      <c r="N2621">
        <v>479</v>
      </c>
      <c r="O2621">
        <v>4</v>
      </c>
      <c r="P2621">
        <v>175836.5700000003</v>
      </c>
      <c r="Q2621">
        <v>0</v>
      </c>
    </row>
    <row r="2622" spans="7:17" x14ac:dyDescent="0.25">
      <c r="G2622" t="str">
        <f t="shared" si="40"/>
        <v/>
      </c>
      <c r="H2622" t="s">
        <v>47</v>
      </c>
      <c r="I2622" t="s">
        <v>11</v>
      </c>
      <c r="J2622" t="s">
        <v>6</v>
      </c>
      <c r="K2622" t="s">
        <v>32</v>
      </c>
      <c r="L2622" t="s">
        <v>43</v>
      </c>
      <c r="M2622" t="s">
        <v>19</v>
      </c>
      <c r="N2622">
        <v>1</v>
      </c>
      <c r="O2622">
        <v>0</v>
      </c>
      <c r="P2622">
        <v>476.23</v>
      </c>
      <c r="Q2622">
        <v>476.23</v>
      </c>
    </row>
    <row r="2623" spans="7:17" x14ac:dyDescent="0.25">
      <c r="G2623" t="str">
        <f t="shared" si="40"/>
        <v/>
      </c>
      <c r="H2623" t="s">
        <v>47</v>
      </c>
      <c r="I2623" t="s">
        <v>11</v>
      </c>
      <c r="J2623" t="s">
        <v>6</v>
      </c>
      <c r="K2623" t="s">
        <v>32</v>
      </c>
      <c r="L2623" t="s">
        <v>43</v>
      </c>
      <c r="M2623" t="s">
        <v>20</v>
      </c>
      <c r="N2623">
        <v>278</v>
      </c>
      <c r="O2623">
        <v>1</v>
      </c>
      <c r="P2623">
        <v>105735.62999999999</v>
      </c>
      <c r="Q2623">
        <v>0</v>
      </c>
    </row>
    <row r="2624" spans="7:17" x14ac:dyDescent="0.25">
      <c r="G2624" t="str">
        <f t="shared" si="40"/>
        <v/>
      </c>
      <c r="H2624" t="s">
        <v>47</v>
      </c>
      <c r="I2624" t="s">
        <v>11</v>
      </c>
      <c r="J2624" t="s">
        <v>6</v>
      </c>
      <c r="K2624" t="s">
        <v>32</v>
      </c>
      <c r="L2624" t="s">
        <v>44</v>
      </c>
      <c r="M2624" t="s">
        <v>19</v>
      </c>
      <c r="N2624">
        <v>1</v>
      </c>
      <c r="O2624">
        <v>1</v>
      </c>
      <c r="P2624">
        <v>1131.8399999999999</v>
      </c>
      <c r="Q2624">
        <v>1130</v>
      </c>
    </row>
    <row r="2625" spans="7:17" x14ac:dyDescent="0.25">
      <c r="G2625" t="str">
        <f t="shared" si="40"/>
        <v/>
      </c>
      <c r="H2625" t="s">
        <v>47</v>
      </c>
      <c r="I2625" t="s">
        <v>11</v>
      </c>
      <c r="J2625" t="s">
        <v>6</v>
      </c>
      <c r="K2625" t="s">
        <v>32</v>
      </c>
      <c r="L2625" t="s">
        <v>44</v>
      </c>
      <c r="M2625" t="s">
        <v>20</v>
      </c>
      <c r="N2625">
        <v>2</v>
      </c>
      <c r="O2625">
        <v>0</v>
      </c>
      <c r="P2625">
        <v>673.14</v>
      </c>
      <c r="Q2625">
        <v>0</v>
      </c>
    </row>
    <row r="2626" spans="7:17" x14ac:dyDescent="0.25">
      <c r="G2626" t="str">
        <f t="shared" ref="G2626:G2689" si="41">IF(G$1="Overall","Overall",IF(G$1=L2626,L2626,""))</f>
        <v/>
      </c>
      <c r="H2626" t="s">
        <v>47</v>
      </c>
      <c r="I2626" t="s">
        <v>11</v>
      </c>
      <c r="J2626" t="s">
        <v>6</v>
      </c>
      <c r="K2626" t="s">
        <v>32</v>
      </c>
      <c r="L2626" t="s">
        <v>39</v>
      </c>
      <c r="M2626" t="s">
        <v>20</v>
      </c>
      <c r="N2626">
        <v>5</v>
      </c>
      <c r="O2626">
        <v>1</v>
      </c>
      <c r="P2626">
        <v>6292.34</v>
      </c>
      <c r="Q2626">
        <v>0</v>
      </c>
    </row>
    <row r="2627" spans="7:17" x14ac:dyDescent="0.25">
      <c r="G2627" t="str">
        <f t="shared" si="41"/>
        <v/>
      </c>
      <c r="H2627" t="s">
        <v>47</v>
      </c>
      <c r="I2627" t="s">
        <v>11</v>
      </c>
      <c r="J2627" t="s">
        <v>6</v>
      </c>
      <c r="K2627" t="s">
        <v>32</v>
      </c>
      <c r="L2627" t="s">
        <v>40</v>
      </c>
      <c r="M2627" t="s">
        <v>20</v>
      </c>
      <c r="N2627">
        <v>1</v>
      </c>
      <c r="O2627">
        <v>0</v>
      </c>
      <c r="P2627">
        <v>0.08</v>
      </c>
      <c r="Q2627">
        <v>0</v>
      </c>
    </row>
    <row r="2628" spans="7:17" x14ac:dyDescent="0.25">
      <c r="G2628" t="str">
        <f t="shared" si="41"/>
        <v/>
      </c>
      <c r="H2628" t="s">
        <v>47</v>
      </c>
      <c r="I2628" t="s">
        <v>11</v>
      </c>
      <c r="J2628" t="s">
        <v>6</v>
      </c>
      <c r="K2628" t="s">
        <v>32</v>
      </c>
      <c r="L2628" t="s">
        <v>45</v>
      </c>
      <c r="M2628" t="s">
        <v>20</v>
      </c>
      <c r="N2628">
        <v>6</v>
      </c>
      <c r="O2628">
        <v>1</v>
      </c>
      <c r="P2628">
        <v>1281.44</v>
      </c>
      <c r="Q2628">
        <v>0</v>
      </c>
    </row>
    <row r="2629" spans="7:17" x14ac:dyDescent="0.25">
      <c r="G2629" t="str">
        <f t="shared" si="41"/>
        <v/>
      </c>
      <c r="H2629" t="s">
        <v>47</v>
      </c>
      <c r="I2629" t="s">
        <v>11</v>
      </c>
      <c r="J2629" t="s">
        <v>6</v>
      </c>
      <c r="K2629" t="s">
        <v>33</v>
      </c>
      <c r="L2629" t="s">
        <v>42</v>
      </c>
      <c r="M2629" t="s">
        <v>19</v>
      </c>
      <c r="N2629">
        <v>35</v>
      </c>
      <c r="O2629">
        <v>2</v>
      </c>
      <c r="P2629">
        <v>19.659999999999997</v>
      </c>
      <c r="Q2629">
        <v>19.659999999999997</v>
      </c>
    </row>
    <row r="2630" spans="7:17" x14ac:dyDescent="0.25">
      <c r="G2630" t="str">
        <f t="shared" si="41"/>
        <v/>
      </c>
      <c r="H2630" t="s">
        <v>47</v>
      </c>
      <c r="I2630" t="s">
        <v>11</v>
      </c>
      <c r="J2630" t="s">
        <v>6</v>
      </c>
      <c r="K2630" t="s">
        <v>33</v>
      </c>
      <c r="L2630" t="s">
        <v>42</v>
      </c>
      <c r="M2630" t="s">
        <v>20</v>
      </c>
      <c r="N2630">
        <v>122</v>
      </c>
      <c r="O2630">
        <v>11</v>
      </c>
      <c r="P2630">
        <v>6662.94</v>
      </c>
      <c r="Q2630">
        <v>0</v>
      </c>
    </row>
    <row r="2631" spans="7:17" x14ac:dyDescent="0.25">
      <c r="G2631" t="str">
        <f t="shared" si="41"/>
        <v/>
      </c>
      <c r="H2631" t="s">
        <v>47</v>
      </c>
      <c r="I2631" t="s">
        <v>11</v>
      </c>
      <c r="J2631" t="s">
        <v>6</v>
      </c>
      <c r="K2631" t="s">
        <v>33</v>
      </c>
      <c r="L2631" t="s">
        <v>43</v>
      </c>
      <c r="M2631" t="s">
        <v>19</v>
      </c>
      <c r="N2631">
        <v>1</v>
      </c>
      <c r="O2631">
        <v>1</v>
      </c>
      <c r="P2631">
        <v>441.66</v>
      </c>
      <c r="Q2631">
        <v>441.66</v>
      </c>
    </row>
    <row r="2632" spans="7:17" x14ac:dyDescent="0.25">
      <c r="G2632" t="str">
        <f t="shared" si="41"/>
        <v/>
      </c>
      <c r="H2632" t="s">
        <v>47</v>
      </c>
      <c r="I2632" t="s">
        <v>11</v>
      </c>
      <c r="J2632" t="s">
        <v>6</v>
      </c>
      <c r="K2632" t="s">
        <v>33</v>
      </c>
      <c r="L2632" t="s">
        <v>43</v>
      </c>
      <c r="M2632" t="s">
        <v>20</v>
      </c>
      <c r="N2632">
        <v>7</v>
      </c>
      <c r="O2632">
        <v>5</v>
      </c>
      <c r="P2632">
        <v>2494.66</v>
      </c>
      <c r="Q2632">
        <v>0</v>
      </c>
    </row>
    <row r="2633" spans="7:17" x14ac:dyDescent="0.25">
      <c r="G2633" t="str">
        <f t="shared" si="41"/>
        <v/>
      </c>
      <c r="H2633" t="s">
        <v>47</v>
      </c>
      <c r="I2633" t="s">
        <v>11</v>
      </c>
      <c r="J2633" t="s">
        <v>6</v>
      </c>
      <c r="K2633" t="s">
        <v>33</v>
      </c>
      <c r="L2633" t="s">
        <v>44</v>
      </c>
      <c r="M2633" t="s">
        <v>19</v>
      </c>
      <c r="N2633">
        <v>3</v>
      </c>
      <c r="O2633">
        <v>3</v>
      </c>
      <c r="P2633">
        <v>2521.9499999999998</v>
      </c>
      <c r="Q2633">
        <v>2521.6</v>
      </c>
    </row>
    <row r="2634" spans="7:17" x14ac:dyDescent="0.25">
      <c r="G2634" t="str">
        <f t="shared" si="41"/>
        <v/>
      </c>
      <c r="H2634" t="s">
        <v>47</v>
      </c>
      <c r="I2634" t="s">
        <v>11</v>
      </c>
      <c r="J2634" t="s">
        <v>6</v>
      </c>
      <c r="K2634" t="s">
        <v>33</v>
      </c>
      <c r="L2634" t="s">
        <v>44</v>
      </c>
      <c r="M2634" t="s">
        <v>20</v>
      </c>
      <c r="N2634">
        <v>1</v>
      </c>
      <c r="O2634">
        <v>0</v>
      </c>
      <c r="P2634">
        <v>31</v>
      </c>
      <c r="Q2634">
        <v>0</v>
      </c>
    </row>
    <row r="2635" spans="7:17" x14ac:dyDescent="0.25">
      <c r="G2635" t="str">
        <f t="shared" si="41"/>
        <v/>
      </c>
      <c r="H2635" t="s">
        <v>47</v>
      </c>
      <c r="I2635" t="s">
        <v>11</v>
      </c>
      <c r="J2635" t="s">
        <v>6</v>
      </c>
      <c r="K2635" t="s">
        <v>33</v>
      </c>
      <c r="L2635" t="s">
        <v>39</v>
      </c>
      <c r="M2635" t="s">
        <v>19</v>
      </c>
      <c r="N2635">
        <v>2</v>
      </c>
      <c r="O2635">
        <v>1</v>
      </c>
      <c r="P2635">
        <v>0.31</v>
      </c>
      <c r="Q2635">
        <v>0.31</v>
      </c>
    </row>
    <row r="2636" spans="7:17" x14ac:dyDescent="0.25">
      <c r="G2636" t="str">
        <f t="shared" si="41"/>
        <v/>
      </c>
      <c r="H2636" t="s">
        <v>47</v>
      </c>
      <c r="I2636" t="s">
        <v>11</v>
      </c>
      <c r="J2636" t="s">
        <v>6</v>
      </c>
      <c r="K2636" t="s">
        <v>33</v>
      </c>
      <c r="L2636" t="s">
        <v>39</v>
      </c>
      <c r="M2636" t="s">
        <v>20</v>
      </c>
      <c r="N2636">
        <v>1</v>
      </c>
      <c r="O2636">
        <v>0</v>
      </c>
      <c r="P2636">
        <v>0.7</v>
      </c>
      <c r="Q2636">
        <v>0</v>
      </c>
    </row>
    <row r="2637" spans="7:17" x14ac:dyDescent="0.25">
      <c r="G2637" t="str">
        <f t="shared" si="41"/>
        <v/>
      </c>
      <c r="H2637" t="s">
        <v>47</v>
      </c>
      <c r="I2637" t="s">
        <v>11</v>
      </c>
      <c r="J2637" t="s">
        <v>6</v>
      </c>
      <c r="K2637" t="s">
        <v>33</v>
      </c>
      <c r="L2637" t="s">
        <v>40</v>
      </c>
      <c r="M2637" t="s">
        <v>20</v>
      </c>
      <c r="N2637">
        <v>3</v>
      </c>
      <c r="O2637">
        <v>1</v>
      </c>
      <c r="P2637">
        <v>1132.55</v>
      </c>
      <c r="Q2637">
        <v>0</v>
      </c>
    </row>
    <row r="2638" spans="7:17" x14ac:dyDescent="0.25">
      <c r="G2638" t="str">
        <f t="shared" si="41"/>
        <v/>
      </c>
      <c r="H2638" t="s">
        <v>47</v>
      </c>
      <c r="I2638" t="s">
        <v>11</v>
      </c>
      <c r="J2638" t="s">
        <v>6</v>
      </c>
      <c r="K2638" t="s">
        <v>33</v>
      </c>
      <c r="L2638" t="s">
        <v>41</v>
      </c>
      <c r="M2638" t="s">
        <v>20</v>
      </c>
      <c r="N2638">
        <v>6</v>
      </c>
      <c r="O2638">
        <v>1</v>
      </c>
      <c r="P2638">
        <v>429.5</v>
      </c>
      <c r="Q2638">
        <v>0</v>
      </c>
    </row>
    <row r="2639" spans="7:17" x14ac:dyDescent="0.25">
      <c r="G2639" t="str">
        <f t="shared" si="41"/>
        <v/>
      </c>
      <c r="H2639" t="s">
        <v>47</v>
      </c>
      <c r="I2639" t="s">
        <v>11</v>
      </c>
      <c r="J2639" t="s">
        <v>6</v>
      </c>
      <c r="K2639" t="s">
        <v>33</v>
      </c>
      <c r="L2639" t="s">
        <v>45</v>
      </c>
      <c r="M2639" t="s">
        <v>20</v>
      </c>
      <c r="N2639">
        <v>22</v>
      </c>
      <c r="O2639">
        <v>7</v>
      </c>
      <c r="P2639">
        <v>3702.6900000000005</v>
      </c>
      <c r="Q2639">
        <v>0</v>
      </c>
    </row>
    <row r="2640" spans="7:17" x14ac:dyDescent="0.25">
      <c r="G2640" t="str">
        <f t="shared" si="41"/>
        <v/>
      </c>
      <c r="H2640" t="s">
        <v>47</v>
      </c>
      <c r="I2640" t="s">
        <v>11</v>
      </c>
      <c r="J2640" t="s">
        <v>6</v>
      </c>
      <c r="K2640" t="s">
        <v>34</v>
      </c>
      <c r="L2640" t="s">
        <v>42</v>
      </c>
      <c r="M2640" t="s">
        <v>19</v>
      </c>
      <c r="N2640">
        <v>16</v>
      </c>
      <c r="O2640">
        <v>1</v>
      </c>
      <c r="P2640">
        <v>3115.1699999999996</v>
      </c>
      <c r="Q2640">
        <v>3114.6199999999994</v>
      </c>
    </row>
    <row r="2641" spans="7:17" x14ac:dyDescent="0.25">
      <c r="G2641" t="str">
        <f t="shared" si="41"/>
        <v/>
      </c>
      <c r="H2641" t="s">
        <v>47</v>
      </c>
      <c r="I2641" t="s">
        <v>11</v>
      </c>
      <c r="J2641" t="s">
        <v>6</v>
      </c>
      <c r="K2641" t="s">
        <v>34</v>
      </c>
      <c r="L2641" t="s">
        <v>42</v>
      </c>
      <c r="M2641" t="s">
        <v>20</v>
      </c>
      <c r="N2641">
        <v>76</v>
      </c>
      <c r="O2641">
        <v>1</v>
      </c>
      <c r="P2641">
        <v>7350.329999999999</v>
      </c>
      <c r="Q2641">
        <v>0</v>
      </c>
    </row>
    <row r="2642" spans="7:17" x14ac:dyDescent="0.25">
      <c r="G2642" t="str">
        <f t="shared" si="41"/>
        <v/>
      </c>
      <c r="H2642" t="s">
        <v>47</v>
      </c>
      <c r="I2642" t="s">
        <v>11</v>
      </c>
      <c r="J2642" t="s">
        <v>6</v>
      </c>
      <c r="K2642" t="s">
        <v>34</v>
      </c>
      <c r="L2642" t="s">
        <v>43</v>
      </c>
      <c r="M2642" t="s">
        <v>19</v>
      </c>
      <c r="N2642">
        <v>57</v>
      </c>
      <c r="O2642">
        <v>10</v>
      </c>
      <c r="P2642">
        <v>30001.130000000005</v>
      </c>
      <c r="Q2642">
        <v>25862.860000000008</v>
      </c>
    </row>
    <row r="2643" spans="7:17" x14ac:dyDescent="0.25">
      <c r="G2643" t="str">
        <f t="shared" si="41"/>
        <v/>
      </c>
      <c r="H2643" t="s">
        <v>47</v>
      </c>
      <c r="I2643" t="s">
        <v>11</v>
      </c>
      <c r="J2643" t="s">
        <v>6</v>
      </c>
      <c r="K2643" t="s">
        <v>34</v>
      </c>
      <c r="L2643" t="s">
        <v>43</v>
      </c>
      <c r="M2643" t="s">
        <v>20</v>
      </c>
      <c r="N2643">
        <v>28</v>
      </c>
      <c r="O2643">
        <v>4</v>
      </c>
      <c r="P2643">
        <v>11591.840000000002</v>
      </c>
      <c r="Q2643">
        <v>0</v>
      </c>
    </row>
    <row r="2644" spans="7:17" x14ac:dyDescent="0.25">
      <c r="G2644" t="str">
        <f t="shared" si="41"/>
        <v/>
      </c>
      <c r="H2644" t="s">
        <v>47</v>
      </c>
      <c r="I2644" t="s">
        <v>11</v>
      </c>
      <c r="J2644" t="s">
        <v>6</v>
      </c>
      <c r="K2644" t="s">
        <v>34</v>
      </c>
      <c r="L2644" t="s">
        <v>44</v>
      </c>
      <c r="M2644" t="s">
        <v>19</v>
      </c>
      <c r="N2644">
        <v>3</v>
      </c>
      <c r="O2644">
        <v>1</v>
      </c>
      <c r="P2644">
        <v>2514.63</v>
      </c>
      <c r="Q2644">
        <v>2498.81</v>
      </c>
    </row>
    <row r="2645" spans="7:17" x14ac:dyDescent="0.25">
      <c r="G2645" t="str">
        <f t="shared" si="41"/>
        <v/>
      </c>
      <c r="H2645" t="s">
        <v>47</v>
      </c>
      <c r="I2645" t="s">
        <v>11</v>
      </c>
      <c r="J2645" t="s">
        <v>6</v>
      </c>
      <c r="K2645" t="s">
        <v>34</v>
      </c>
      <c r="L2645" t="s">
        <v>44</v>
      </c>
      <c r="M2645" t="s">
        <v>20</v>
      </c>
      <c r="N2645">
        <v>7</v>
      </c>
      <c r="O2645">
        <v>4</v>
      </c>
      <c r="P2645">
        <v>3624.0999999999995</v>
      </c>
      <c r="Q2645">
        <v>0</v>
      </c>
    </row>
    <row r="2646" spans="7:17" x14ac:dyDescent="0.25">
      <c r="G2646" t="str">
        <f t="shared" si="41"/>
        <v/>
      </c>
      <c r="H2646" t="s">
        <v>47</v>
      </c>
      <c r="I2646" t="s">
        <v>11</v>
      </c>
      <c r="J2646" t="s">
        <v>6</v>
      </c>
      <c r="K2646" t="s">
        <v>34</v>
      </c>
      <c r="L2646" t="s">
        <v>39</v>
      </c>
      <c r="M2646" t="s">
        <v>20</v>
      </c>
      <c r="N2646">
        <v>1</v>
      </c>
      <c r="O2646">
        <v>1</v>
      </c>
      <c r="P2646">
        <v>1117.04</v>
      </c>
      <c r="Q2646">
        <v>0</v>
      </c>
    </row>
    <row r="2647" spans="7:17" x14ac:dyDescent="0.25">
      <c r="G2647" t="str">
        <f t="shared" si="41"/>
        <v/>
      </c>
      <c r="H2647" t="s">
        <v>47</v>
      </c>
      <c r="I2647" t="s">
        <v>11</v>
      </c>
      <c r="J2647" t="s">
        <v>6</v>
      </c>
      <c r="K2647" t="s">
        <v>34</v>
      </c>
      <c r="L2647" t="s">
        <v>40</v>
      </c>
      <c r="M2647" t="s">
        <v>20</v>
      </c>
      <c r="N2647">
        <v>2</v>
      </c>
      <c r="O2647">
        <v>1</v>
      </c>
      <c r="P2647">
        <v>2243.96</v>
      </c>
      <c r="Q2647">
        <v>0</v>
      </c>
    </row>
    <row r="2648" spans="7:17" x14ac:dyDescent="0.25">
      <c r="G2648" t="str">
        <f t="shared" si="41"/>
        <v/>
      </c>
      <c r="H2648" t="s">
        <v>47</v>
      </c>
      <c r="I2648" t="s">
        <v>11</v>
      </c>
      <c r="J2648" t="s">
        <v>6</v>
      </c>
      <c r="K2648" t="s">
        <v>34</v>
      </c>
      <c r="L2648" t="s">
        <v>41</v>
      </c>
      <c r="M2648" t="s">
        <v>20</v>
      </c>
      <c r="N2648">
        <v>4</v>
      </c>
      <c r="O2648">
        <v>1</v>
      </c>
      <c r="P2648">
        <v>52.66</v>
      </c>
      <c r="Q2648">
        <v>0</v>
      </c>
    </row>
    <row r="2649" spans="7:17" x14ac:dyDescent="0.25">
      <c r="G2649" t="str">
        <f t="shared" si="41"/>
        <v/>
      </c>
      <c r="H2649" t="s">
        <v>47</v>
      </c>
      <c r="I2649" t="s">
        <v>11</v>
      </c>
      <c r="J2649" t="s">
        <v>6</v>
      </c>
      <c r="K2649" t="s">
        <v>34</v>
      </c>
      <c r="L2649" t="s">
        <v>45</v>
      </c>
      <c r="M2649" t="s">
        <v>20</v>
      </c>
      <c r="N2649">
        <v>36</v>
      </c>
      <c r="O2649">
        <v>4</v>
      </c>
      <c r="P2649">
        <v>22079.710000000006</v>
      </c>
      <c r="Q2649">
        <v>0</v>
      </c>
    </row>
    <row r="2650" spans="7:17" x14ac:dyDescent="0.25">
      <c r="G2650" t="str">
        <f t="shared" si="41"/>
        <v/>
      </c>
      <c r="H2650" t="s">
        <v>47</v>
      </c>
      <c r="I2650" t="s">
        <v>11</v>
      </c>
      <c r="J2650" t="s">
        <v>6</v>
      </c>
      <c r="K2650" t="s">
        <v>35</v>
      </c>
      <c r="L2650" t="s">
        <v>42</v>
      </c>
      <c r="M2650" t="s">
        <v>19</v>
      </c>
      <c r="N2650">
        <v>76</v>
      </c>
      <c r="O2650">
        <v>3</v>
      </c>
      <c r="P2650">
        <v>21009.459999999995</v>
      </c>
      <c r="Q2650">
        <v>19341.649999999994</v>
      </c>
    </row>
    <row r="2651" spans="7:17" x14ac:dyDescent="0.25">
      <c r="G2651" t="str">
        <f t="shared" si="41"/>
        <v/>
      </c>
      <c r="H2651" t="s">
        <v>47</v>
      </c>
      <c r="I2651" t="s">
        <v>11</v>
      </c>
      <c r="J2651" t="s">
        <v>6</v>
      </c>
      <c r="K2651" t="s">
        <v>35</v>
      </c>
      <c r="L2651" t="s">
        <v>42</v>
      </c>
      <c r="M2651" t="s">
        <v>20</v>
      </c>
      <c r="N2651">
        <v>153</v>
      </c>
      <c r="O2651">
        <v>12</v>
      </c>
      <c r="P2651">
        <v>7813.5999999999976</v>
      </c>
      <c r="Q2651">
        <v>0</v>
      </c>
    </row>
    <row r="2652" spans="7:17" x14ac:dyDescent="0.25">
      <c r="G2652" t="str">
        <f t="shared" si="41"/>
        <v/>
      </c>
      <c r="H2652" t="s">
        <v>47</v>
      </c>
      <c r="I2652" t="s">
        <v>11</v>
      </c>
      <c r="J2652" t="s">
        <v>6</v>
      </c>
      <c r="K2652" t="s">
        <v>35</v>
      </c>
      <c r="L2652" t="s">
        <v>43</v>
      </c>
      <c r="M2652" t="s">
        <v>19</v>
      </c>
      <c r="N2652">
        <v>21</v>
      </c>
      <c r="O2652">
        <v>2</v>
      </c>
      <c r="P2652">
        <v>12982.210000000001</v>
      </c>
      <c r="Q2652">
        <v>12791.74</v>
      </c>
    </row>
    <row r="2653" spans="7:17" x14ac:dyDescent="0.25">
      <c r="G2653" t="str">
        <f t="shared" si="41"/>
        <v/>
      </c>
      <c r="H2653" t="s">
        <v>47</v>
      </c>
      <c r="I2653" t="s">
        <v>11</v>
      </c>
      <c r="J2653" t="s">
        <v>6</v>
      </c>
      <c r="K2653" t="s">
        <v>35</v>
      </c>
      <c r="L2653" t="s">
        <v>43</v>
      </c>
      <c r="M2653" t="s">
        <v>20</v>
      </c>
      <c r="N2653">
        <v>27</v>
      </c>
      <c r="O2653">
        <v>9</v>
      </c>
      <c r="P2653">
        <v>12069.269999999999</v>
      </c>
      <c r="Q2653">
        <v>0</v>
      </c>
    </row>
    <row r="2654" spans="7:17" x14ac:dyDescent="0.25">
      <c r="G2654" t="str">
        <f t="shared" si="41"/>
        <v/>
      </c>
      <c r="H2654" t="s">
        <v>47</v>
      </c>
      <c r="I2654" t="s">
        <v>11</v>
      </c>
      <c r="J2654" t="s">
        <v>6</v>
      </c>
      <c r="K2654" t="s">
        <v>35</v>
      </c>
      <c r="L2654" t="s">
        <v>44</v>
      </c>
      <c r="M2654" t="s">
        <v>19</v>
      </c>
      <c r="N2654">
        <v>9</v>
      </c>
      <c r="O2654">
        <v>3</v>
      </c>
      <c r="P2654">
        <v>6920.37</v>
      </c>
      <c r="Q2654">
        <v>6914.78</v>
      </c>
    </row>
    <row r="2655" spans="7:17" x14ac:dyDescent="0.25">
      <c r="G2655" t="str">
        <f t="shared" si="41"/>
        <v/>
      </c>
      <c r="H2655" t="s">
        <v>47</v>
      </c>
      <c r="I2655" t="s">
        <v>11</v>
      </c>
      <c r="J2655" t="s">
        <v>6</v>
      </c>
      <c r="K2655" t="s">
        <v>35</v>
      </c>
      <c r="L2655" t="s">
        <v>44</v>
      </c>
      <c r="M2655" t="s">
        <v>20</v>
      </c>
      <c r="N2655">
        <v>3</v>
      </c>
      <c r="O2655">
        <v>2</v>
      </c>
      <c r="P2655">
        <v>1568.44</v>
      </c>
      <c r="Q2655">
        <v>0</v>
      </c>
    </row>
    <row r="2656" spans="7:17" x14ac:dyDescent="0.25">
      <c r="G2656" t="str">
        <f t="shared" si="41"/>
        <v/>
      </c>
      <c r="H2656" t="s">
        <v>47</v>
      </c>
      <c r="I2656" t="s">
        <v>11</v>
      </c>
      <c r="J2656" t="s">
        <v>6</v>
      </c>
      <c r="K2656" t="s">
        <v>35</v>
      </c>
      <c r="L2656" t="s">
        <v>39</v>
      </c>
      <c r="M2656" t="s">
        <v>19</v>
      </c>
      <c r="N2656">
        <v>38</v>
      </c>
      <c r="O2656">
        <v>5</v>
      </c>
      <c r="P2656">
        <v>24353.23</v>
      </c>
      <c r="Q2656">
        <v>16836.300000000003</v>
      </c>
    </row>
    <row r="2657" spans="7:17" x14ac:dyDescent="0.25">
      <c r="G2657" t="str">
        <f t="shared" si="41"/>
        <v/>
      </c>
      <c r="H2657" t="s">
        <v>47</v>
      </c>
      <c r="I2657" t="s">
        <v>11</v>
      </c>
      <c r="J2657" t="s">
        <v>6</v>
      </c>
      <c r="K2657" t="s">
        <v>35</v>
      </c>
      <c r="L2657" t="s">
        <v>39</v>
      </c>
      <c r="M2657" t="s">
        <v>20</v>
      </c>
      <c r="N2657">
        <v>7</v>
      </c>
      <c r="O2657">
        <v>5</v>
      </c>
      <c r="P2657">
        <v>2314.44</v>
      </c>
      <c r="Q2657">
        <v>0</v>
      </c>
    </row>
    <row r="2658" spans="7:17" x14ac:dyDescent="0.25">
      <c r="G2658" t="str">
        <f t="shared" si="41"/>
        <v/>
      </c>
      <c r="H2658" t="s">
        <v>47</v>
      </c>
      <c r="I2658" t="s">
        <v>11</v>
      </c>
      <c r="J2658" t="s">
        <v>6</v>
      </c>
      <c r="K2658" t="s">
        <v>35</v>
      </c>
      <c r="L2658" t="s">
        <v>40</v>
      </c>
      <c r="M2658" t="s">
        <v>19</v>
      </c>
      <c r="N2658">
        <v>14</v>
      </c>
      <c r="O2658">
        <v>1</v>
      </c>
      <c r="P2658">
        <v>7226.1</v>
      </c>
      <c r="Q2658">
        <v>5189.1900000000005</v>
      </c>
    </row>
    <row r="2659" spans="7:17" x14ac:dyDescent="0.25">
      <c r="G2659" t="str">
        <f t="shared" si="41"/>
        <v/>
      </c>
      <c r="H2659" t="s">
        <v>47</v>
      </c>
      <c r="I2659" t="s">
        <v>11</v>
      </c>
      <c r="J2659" t="s">
        <v>6</v>
      </c>
      <c r="K2659" t="s">
        <v>35</v>
      </c>
      <c r="L2659" t="s">
        <v>40</v>
      </c>
      <c r="M2659" t="s">
        <v>20</v>
      </c>
      <c r="N2659">
        <v>4</v>
      </c>
      <c r="O2659">
        <v>0</v>
      </c>
      <c r="P2659">
        <v>2717.43</v>
      </c>
      <c r="Q2659">
        <v>0</v>
      </c>
    </row>
    <row r="2660" spans="7:17" x14ac:dyDescent="0.25">
      <c r="G2660" t="str">
        <f t="shared" si="41"/>
        <v/>
      </c>
      <c r="H2660" t="s">
        <v>47</v>
      </c>
      <c r="I2660" t="s">
        <v>11</v>
      </c>
      <c r="J2660" t="s">
        <v>6</v>
      </c>
      <c r="K2660" t="s">
        <v>35</v>
      </c>
      <c r="L2660" t="s">
        <v>41</v>
      </c>
      <c r="M2660" t="s">
        <v>19</v>
      </c>
      <c r="N2660">
        <v>1</v>
      </c>
      <c r="O2660">
        <v>0</v>
      </c>
      <c r="P2660">
        <v>278.06</v>
      </c>
      <c r="Q2660">
        <v>260</v>
      </c>
    </row>
    <row r="2661" spans="7:17" x14ac:dyDescent="0.25">
      <c r="G2661" t="str">
        <f t="shared" si="41"/>
        <v/>
      </c>
      <c r="H2661" t="s">
        <v>47</v>
      </c>
      <c r="I2661" t="s">
        <v>11</v>
      </c>
      <c r="J2661" t="s">
        <v>6</v>
      </c>
      <c r="K2661" t="s">
        <v>35</v>
      </c>
      <c r="L2661" t="s">
        <v>41</v>
      </c>
      <c r="M2661" t="s">
        <v>20</v>
      </c>
      <c r="N2661">
        <v>2</v>
      </c>
      <c r="O2661">
        <v>0</v>
      </c>
      <c r="P2661">
        <v>265.2</v>
      </c>
      <c r="Q2661">
        <v>0</v>
      </c>
    </row>
    <row r="2662" spans="7:17" x14ac:dyDescent="0.25">
      <c r="G2662" t="str">
        <f t="shared" si="41"/>
        <v/>
      </c>
      <c r="H2662" t="s">
        <v>47</v>
      </c>
      <c r="I2662" t="s">
        <v>11</v>
      </c>
      <c r="J2662" t="s">
        <v>6</v>
      </c>
      <c r="K2662" t="s">
        <v>35</v>
      </c>
      <c r="L2662" t="s">
        <v>45</v>
      </c>
      <c r="M2662" t="s">
        <v>20</v>
      </c>
      <c r="N2662">
        <v>36</v>
      </c>
      <c r="O2662">
        <v>9</v>
      </c>
      <c r="P2662">
        <v>9760.5300000000007</v>
      </c>
      <c r="Q2662">
        <v>0</v>
      </c>
    </row>
    <row r="2663" spans="7:17" x14ac:dyDescent="0.25">
      <c r="G2663" t="str">
        <f t="shared" si="41"/>
        <v/>
      </c>
      <c r="H2663" t="s">
        <v>47</v>
      </c>
      <c r="I2663" t="s">
        <v>11</v>
      </c>
      <c r="J2663" t="s">
        <v>6</v>
      </c>
      <c r="K2663" t="s">
        <v>36</v>
      </c>
      <c r="L2663" t="s">
        <v>42</v>
      </c>
      <c r="M2663" t="s">
        <v>19</v>
      </c>
      <c r="N2663">
        <v>349</v>
      </c>
      <c r="O2663">
        <v>10</v>
      </c>
      <c r="P2663">
        <v>125597.67000000041</v>
      </c>
      <c r="Q2663">
        <v>125253.89000000041</v>
      </c>
    </row>
    <row r="2664" spans="7:17" x14ac:dyDescent="0.25">
      <c r="G2664" t="str">
        <f t="shared" si="41"/>
        <v/>
      </c>
      <c r="H2664" t="s">
        <v>47</v>
      </c>
      <c r="I2664" t="s">
        <v>11</v>
      </c>
      <c r="J2664" t="s">
        <v>6</v>
      </c>
      <c r="K2664" t="s">
        <v>36</v>
      </c>
      <c r="L2664" t="s">
        <v>42</v>
      </c>
      <c r="M2664" t="s">
        <v>20</v>
      </c>
      <c r="N2664">
        <v>404</v>
      </c>
      <c r="O2664">
        <v>36</v>
      </c>
      <c r="P2664">
        <v>59279.27</v>
      </c>
      <c r="Q2664">
        <v>0</v>
      </c>
    </row>
    <row r="2665" spans="7:17" x14ac:dyDescent="0.25">
      <c r="G2665" t="str">
        <f t="shared" si="41"/>
        <v/>
      </c>
      <c r="H2665" t="s">
        <v>47</v>
      </c>
      <c r="I2665" t="s">
        <v>11</v>
      </c>
      <c r="J2665" t="s">
        <v>6</v>
      </c>
      <c r="K2665" t="s">
        <v>36</v>
      </c>
      <c r="L2665" t="s">
        <v>43</v>
      </c>
      <c r="M2665" t="s">
        <v>19</v>
      </c>
      <c r="N2665">
        <v>53</v>
      </c>
      <c r="O2665">
        <v>5</v>
      </c>
      <c r="P2665">
        <v>25607.349999999991</v>
      </c>
      <c r="Q2665">
        <v>23305.939999999991</v>
      </c>
    </row>
    <row r="2666" spans="7:17" x14ac:dyDescent="0.25">
      <c r="G2666" t="str">
        <f t="shared" si="41"/>
        <v/>
      </c>
      <c r="H2666" t="s">
        <v>47</v>
      </c>
      <c r="I2666" t="s">
        <v>11</v>
      </c>
      <c r="J2666" t="s">
        <v>6</v>
      </c>
      <c r="K2666" t="s">
        <v>36</v>
      </c>
      <c r="L2666" t="s">
        <v>43</v>
      </c>
      <c r="M2666" t="s">
        <v>20</v>
      </c>
      <c r="N2666">
        <v>102</v>
      </c>
      <c r="O2666">
        <v>6</v>
      </c>
      <c r="P2666">
        <v>36523.69999999999</v>
      </c>
      <c r="Q2666">
        <v>0</v>
      </c>
    </row>
    <row r="2667" spans="7:17" x14ac:dyDescent="0.25">
      <c r="G2667" t="str">
        <f t="shared" si="41"/>
        <v/>
      </c>
      <c r="H2667" t="s">
        <v>47</v>
      </c>
      <c r="I2667" t="s">
        <v>11</v>
      </c>
      <c r="J2667" t="s">
        <v>6</v>
      </c>
      <c r="K2667" t="s">
        <v>36</v>
      </c>
      <c r="L2667" t="s">
        <v>44</v>
      </c>
      <c r="M2667" t="s">
        <v>19</v>
      </c>
      <c r="N2667">
        <v>25</v>
      </c>
      <c r="O2667">
        <v>3</v>
      </c>
      <c r="P2667">
        <v>29975.680000000004</v>
      </c>
      <c r="Q2667">
        <v>28657.499999999996</v>
      </c>
    </row>
    <row r="2668" spans="7:17" x14ac:dyDescent="0.25">
      <c r="G2668" t="str">
        <f t="shared" si="41"/>
        <v/>
      </c>
      <c r="H2668" t="s">
        <v>47</v>
      </c>
      <c r="I2668" t="s">
        <v>11</v>
      </c>
      <c r="J2668" t="s">
        <v>6</v>
      </c>
      <c r="K2668" t="s">
        <v>36</v>
      </c>
      <c r="L2668" t="s">
        <v>44</v>
      </c>
      <c r="M2668" t="s">
        <v>20</v>
      </c>
      <c r="N2668">
        <v>15</v>
      </c>
      <c r="O2668">
        <v>3</v>
      </c>
      <c r="P2668">
        <v>8481.25</v>
      </c>
      <c r="Q2668">
        <v>0</v>
      </c>
    </row>
    <row r="2669" spans="7:17" x14ac:dyDescent="0.25">
      <c r="G2669" t="str">
        <f t="shared" si="41"/>
        <v/>
      </c>
      <c r="H2669" t="s">
        <v>47</v>
      </c>
      <c r="I2669" t="s">
        <v>11</v>
      </c>
      <c r="J2669" t="s">
        <v>6</v>
      </c>
      <c r="K2669" t="s">
        <v>36</v>
      </c>
      <c r="L2669" t="s">
        <v>39</v>
      </c>
      <c r="M2669" t="s">
        <v>19</v>
      </c>
      <c r="N2669">
        <v>13</v>
      </c>
      <c r="O2669">
        <v>5</v>
      </c>
      <c r="P2669">
        <v>8928.0000000000018</v>
      </c>
      <c r="Q2669">
        <v>5296.7100000000019</v>
      </c>
    </row>
    <row r="2670" spans="7:17" x14ac:dyDescent="0.25">
      <c r="G2670" t="str">
        <f t="shared" si="41"/>
        <v/>
      </c>
      <c r="H2670" t="s">
        <v>47</v>
      </c>
      <c r="I2670" t="s">
        <v>11</v>
      </c>
      <c r="J2670" t="s">
        <v>6</v>
      </c>
      <c r="K2670" t="s">
        <v>36</v>
      </c>
      <c r="L2670" t="s">
        <v>39</v>
      </c>
      <c r="M2670" t="s">
        <v>20</v>
      </c>
      <c r="N2670">
        <v>16</v>
      </c>
      <c r="O2670">
        <v>13</v>
      </c>
      <c r="P2670">
        <v>8881.4599999999991</v>
      </c>
      <c r="Q2670">
        <v>0</v>
      </c>
    </row>
    <row r="2671" spans="7:17" x14ac:dyDescent="0.25">
      <c r="G2671" t="str">
        <f t="shared" si="41"/>
        <v/>
      </c>
      <c r="H2671" t="s">
        <v>47</v>
      </c>
      <c r="I2671" t="s">
        <v>11</v>
      </c>
      <c r="J2671" t="s">
        <v>6</v>
      </c>
      <c r="K2671" t="s">
        <v>36</v>
      </c>
      <c r="L2671" t="s">
        <v>40</v>
      </c>
      <c r="M2671" t="s">
        <v>19</v>
      </c>
      <c r="N2671">
        <v>5</v>
      </c>
      <c r="O2671">
        <v>0</v>
      </c>
      <c r="P2671">
        <v>582.69000000000005</v>
      </c>
      <c r="Q2671">
        <v>316.95</v>
      </c>
    </row>
    <row r="2672" spans="7:17" x14ac:dyDescent="0.25">
      <c r="G2672" t="str">
        <f t="shared" si="41"/>
        <v/>
      </c>
      <c r="H2672" t="s">
        <v>47</v>
      </c>
      <c r="I2672" t="s">
        <v>11</v>
      </c>
      <c r="J2672" t="s">
        <v>6</v>
      </c>
      <c r="K2672" t="s">
        <v>36</v>
      </c>
      <c r="L2672" t="s">
        <v>40</v>
      </c>
      <c r="M2672" t="s">
        <v>20</v>
      </c>
      <c r="N2672">
        <v>13</v>
      </c>
      <c r="O2672">
        <v>3</v>
      </c>
      <c r="P2672">
        <v>11758.27</v>
      </c>
      <c r="Q2672">
        <v>0</v>
      </c>
    </row>
    <row r="2673" spans="7:17" x14ac:dyDescent="0.25">
      <c r="G2673" t="str">
        <f t="shared" si="41"/>
        <v/>
      </c>
      <c r="H2673" t="s">
        <v>47</v>
      </c>
      <c r="I2673" t="s">
        <v>11</v>
      </c>
      <c r="J2673" t="s">
        <v>6</v>
      </c>
      <c r="K2673" t="s">
        <v>36</v>
      </c>
      <c r="L2673" t="s">
        <v>41</v>
      </c>
      <c r="M2673" t="s">
        <v>19</v>
      </c>
      <c r="N2673">
        <v>1</v>
      </c>
      <c r="O2673">
        <v>0</v>
      </c>
      <c r="P2673">
        <v>12.77</v>
      </c>
      <c r="Q2673">
        <v>12.77</v>
      </c>
    </row>
    <row r="2674" spans="7:17" x14ac:dyDescent="0.25">
      <c r="G2674" t="str">
        <f t="shared" si="41"/>
        <v/>
      </c>
      <c r="H2674" t="s">
        <v>47</v>
      </c>
      <c r="I2674" t="s">
        <v>11</v>
      </c>
      <c r="J2674" t="s">
        <v>6</v>
      </c>
      <c r="K2674" t="s">
        <v>36</v>
      </c>
      <c r="L2674" t="s">
        <v>41</v>
      </c>
      <c r="M2674" t="s">
        <v>20</v>
      </c>
      <c r="N2674">
        <v>9</v>
      </c>
      <c r="O2674">
        <v>0</v>
      </c>
      <c r="P2674">
        <v>4370.12</v>
      </c>
      <c r="Q2674">
        <v>0</v>
      </c>
    </row>
    <row r="2675" spans="7:17" x14ac:dyDescent="0.25">
      <c r="G2675" t="str">
        <f t="shared" si="41"/>
        <v/>
      </c>
      <c r="H2675" t="s">
        <v>47</v>
      </c>
      <c r="I2675" t="s">
        <v>11</v>
      </c>
      <c r="J2675" t="s">
        <v>6</v>
      </c>
      <c r="K2675" t="s">
        <v>36</v>
      </c>
      <c r="L2675" t="s">
        <v>45</v>
      </c>
      <c r="M2675" t="s">
        <v>19</v>
      </c>
      <c r="N2675">
        <v>1</v>
      </c>
      <c r="O2675">
        <v>1</v>
      </c>
      <c r="P2675">
        <v>418.44</v>
      </c>
      <c r="Q2675">
        <v>418.44</v>
      </c>
    </row>
    <row r="2676" spans="7:17" x14ac:dyDescent="0.25">
      <c r="G2676" t="str">
        <f t="shared" si="41"/>
        <v/>
      </c>
      <c r="H2676" t="s">
        <v>47</v>
      </c>
      <c r="I2676" t="s">
        <v>11</v>
      </c>
      <c r="J2676" t="s">
        <v>6</v>
      </c>
      <c r="K2676" t="s">
        <v>36</v>
      </c>
      <c r="L2676" t="s">
        <v>45</v>
      </c>
      <c r="M2676" t="s">
        <v>20</v>
      </c>
      <c r="N2676">
        <v>30</v>
      </c>
      <c r="O2676">
        <v>4</v>
      </c>
      <c r="P2676">
        <v>4196.8600000000015</v>
      </c>
      <c r="Q2676">
        <v>0</v>
      </c>
    </row>
    <row r="2677" spans="7:17" x14ac:dyDescent="0.25">
      <c r="G2677" t="str">
        <f t="shared" si="41"/>
        <v/>
      </c>
      <c r="H2677" t="s">
        <v>47</v>
      </c>
      <c r="I2677" t="s">
        <v>11</v>
      </c>
      <c r="J2677" t="s">
        <v>6</v>
      </c>
      <c r="K2677" t="s">
        <v>37</v>
      </c>
      <c r="L2677" t="s">
        <v>42</v>
      </c>
      <c r="M2677" t="s">
        <v>19</v>
      </c>
      <c r="N2677">
        <v>239</v>
      </c>
      <c r="O2677">
        <v>2</v>
      </c>
      <c r="P2677">
        <v>74674.60000000002</v>
      </c>
      <c r="Q2677">
        <v>73440.639999999999</v>
      </c>
    </row>
    <row r="2678" spans="7:17" x14ac:dyDescent="0.25">
      <c r="G2678" t="str">
        <f t="shared" si="41"/>
        <v/>
      </c>
      <c r="H2678" t="s">
        <v>47</v>
      </c>
      <c r="I2678" t="s">
        <v>11</v>
      </c>
      <c r="J2678" t="s">
        <v>6</v>
      </c>
      <c r="K2678" t="s">
        <v>37</v>
      </c>
      <c r="L2678" t="s">
        <v>42</v>
      </c>
      <c r="M2678" t="s">
        <v>20</v>
      </c>
      <c r="N2678">
        <v>97</v>
      </c>
      <c r="O2678">
        <v>17</v>
      </c>
      <c r="P2678">
        <v>18357.009999999995</v>
      </c>
      <c r="Q2678">
        <v>0</v>
      </c>
    </row>
    <row r="2679" spans="7:17" x14ac:dyDescent="0.25">
      <c r="G2679" t="str">
        <f t="shared" si="41"/>
        <v/>
      </c>
      <c r="H2679" t="s">
        <v>47</v>
      </c>
      <c r="I2679" t="s">
        <v>11</v>
      </c>
      <c r="J2679" t="s">
        <v>6</v>
      </c>
      <c r="K2679" t="s">
        <v>37</v>
      </c>
      <c r="L2679" t="s">
        <v>43</v>
      </c>
      <c r="M2679" t="s">
        <v>19</v>
      </c>
      <c r="N2679">
        <v>171</v>
      </c>
      <c r="O2679">
        <v>7</v>
      </c>
      <c r="P2679">
        <v>66734.000000000044</v>
      </c>
      <c r="Q2679">
        <v>59702.09</v>
      </c>
    </row>
    <row r="2680" spans="7:17" x14ac:dyDescent="0.25">
      <c r="G2680" t="str">
        <f t="shared" si="41"/>
        <v/>
      </c>
      <c r="H2680" t="s">
        <v>47</v>
      </c>
      <c r="I2680" t="s">
        <v>11</v>
      </c>
      <c r="J2680" t="s">
        <v>6</v>
      </c>
      <c r="K2680" t="s">
        <v>37</v>
      </c>
      <c r="L2680" t="s">
        <v>43</v>
      </c>
      <c r="M2680" t="s">
        <v>20</v>
      </c>
      <c r="N2680">
        <v>25</v>
      </c>
      <c r="O2680">
        <v>8</v>
      </c>
      <c r="P2680">
        <v>9581.1299999999992</v>
      </c>
      <c r="Q2680">
        <v>0</v>
      </c>
    </row>
    <row r="2681" spans="7:17" x14ac:dyDescent="0.25">
      <c r="G2681" t="str">
        <f t="shared" si="41"/>
        <v/>
      </c>
      <c r="H2681" t="s">
        <v>47</v>
      </c>
      <c r="I2681" t="s">
        <v>11</v>
      </c>
      <c r="J2681" t="s">
        <v>6</v>
      </c>
      <c r="K2681" t="s">
        <v>37</v>
      </c>
      <c r="L2681" t="s">
        <v>44</v>
      </c>
      <c r="M2681" t="s">
        <v>19</v>
      </c>
      <c r="N2681">
        <v>23</v>
      </c>
      <c r="O2681">
        <v>7</v>
      </c>
      <c r="P2681">
        <v>17253.079999999998</v>
      </c>
      <c r="Q2681">
        <v>16226.730000000003</v>
      </c>
    </row>
    <row r="2682" spans="7:17" x14ac:dyDescent="0.25">
      <c r="G2682" t="str">
        <f t="shared" si="41"/>
        <v/>
      </c>
      <c r="H2682" t="s">
        <v>47</v>
      </c>
      <c r="I2682" t="s">
        <v>11</v>
      </c>
      <c r="J2682" t="s">
        <v>6</v>
      </c>
      <c r="K2682" t="s">
        <v>37</v>
      </c>
      <c r="L2682" t="s">
        <v>44</v>
      </c>
      <c r="M2682" t="s">
        <v>20</v>
      </c>
      <c r="N2682">
        <v>7</v>
      </c>
      <c r="O2682">
        <v>7</v>
      </c>
      <c r="P2682">
        <v>3680.4500000000003</v>
      </c>
      <c r="Q2682">
        <v>0</v>
      </c>
    </row>
    <row r="2683" spans="7:17" x14ac:dyDescent="0.25">
      <c r="G2683" t="str">
        <f t="shared" si="41"/>
        <v/>
      </c>
      <c r="H2683" t="s">
        <v>47</v>
      </c>
      <c r="I2683" t="s">
        <v>11</v>
      </c>
      <c r="J2683" t="s">
        <v>6</v>
      </c>
      <c r="K2683" t="s">
        <v>37</v>
      </c>
      <c r="L2683" t="s">
        <v>39</v>
      </c>
      <c r="M2683" t="s">
        <v>20</v>
      </c>
      <c r="N2683">
        <v>6</v>
      </c>
      <c r="O2683">
        <v>3</v>
      </c>
      <c r="P2683">
        <v>421.24</v>
      </c>
      <c r="Q2683">
        <v>0</v>
      </c>
    </row>
    <row r="2684" spans="7:17" x14ac:dyDescent="0.25">
      <c r="G2684" t="str">
        <f t="shared" si="41"/>
        <v/>
      </c>
      <c r="H2684" t="s">
        <v>47</v>
      </c>
      <c r="I2684" t="s">
        <v>11</v>
      </c>
      <c r="J2684" t="s">
        <v>6</v>
      </c>
      <c r="K2684" t="s">
        <v>37</v>
      </c>
      <c r="L2684" t="s">
        <v>40</v>
      </c>
      <c r="M2684" t="s">
        <v>19</v>
      </c>
      <c r="N2684">
        <v>3</v>
      </c>
      <c r="O2684">
        <v>1</v>
      </c>
      <c r="P2684">
        <v>5199.25</v>
      </c>
      <c r="Q2684">
        <v>4713.1499999999996</v>
      </c>
    </row>
    <row r="2685" spans="7:17" x14ac:dyDescent="0.25">
      <c r="G2685" t="str">
        <f t="shared" si="41"/>
        <v/>
      </c>
      <c r="H2685" t="s">
        <v>47</v>
      </c>
      <c r="I2685" t="s">
        <v>11</v>
      </c>
      <c r="J2685" t="s">
        <v>6</v>
      </c>
      <c r="K2685" t="s">
        <v>37</v>
      </c>
      <c r="L2685" t="s">
        <v>40</v>
      </c>
      <c r="M2685" t="s">
        <v>20</v>
      </c>
      <c r="N2685">
        <v>5</v>
      </c>
      <c r="O2685">
        <v>0</v>
      </c>
      <c r="P2685">
        <v>5845.4400000000005</v>
      </c>
      <c r="Q2685">
        <v>0</v>
      </c>
    </row>
    <row r="2686" spans="7:17" x14ac:dyDescent="0.25">
      <c r="G2686" t="str">
        <f t="shared" si="41"/>
        <v/>
      </c>
      <c r="H2686" t="s">
        <v>47</v>
      </c>
      <c r="I2686" t="s">
        <v>11</v>
      </c>
      <c r="J2686" t="s">
        <v>6</v>
      </c>
      <c r="K2686" t="s">
        <v>37</v>
      </c>
      <c r="L2686" t="s">
        <v>41</v>
      </c>
      <c r="M2686" t="s">
        <v>19</v>
      </c>
      <c r="N2686">
        <v>1</v>
      </c>
      <c r="O2686">
        <v>0</v>
      </c>
      <c r="P2686">
        <v>1826.67</v>
      </c>
      <c r="Q2686">
        <v>220</v>
      </c>
    </row>
    <row r="2687" spans="7:17" x14ac:dyDescent="0.25">
      <c r="G2687" t="str">
        <f t="shared" si="41"/>
        <v/>
      </c>
      <c r="H2687" t="s">
        <v>47</v>
      </c>
      <c r="I2687" t="s">
        <v>11</v>
      </c>
      <c r="J2687" t="s">
        <v>6</v>
      </c>
      <c r="K2687" t="s">
        <v>37</v>
      </c>
      <c r="L2687" t="s">
        <v>41</v>
      </c>
      <c r="M2687" t="s">
        <v>20</v>
      </c>
      <c r="N2687">
        <v>4</v>
      </c>
      <c r="O2687">
        <v>3</v>
      </c>
      <c r="P2687">
        <v>2507.8299999999995</v>
      </c>
      <c r="Q2687">
        <v>0</v>
      </c>
    </row>
    <row r="2688" spans="7:17" x14ac:dyDescent="0.25">
      <c r="G2688" t="str">
        <f t="shared" si="41"/>
        <v/>
      </c>
      <c r="H2688" t="s">
        <v>47</v>
      </c>
      <c r="I2688" t="s">
        <v>11</v>
      </c>
      <c r="J2688" t="s">
        <v>6</v>
      </c>
      <c r="K2688" t="s">
        <v>37</v>
      </c>
      <c r="L2688" t="s">
        <v>45</v>
      </c>
      <c r="M2688" t="s">
        <v>19</v>
      </c>
      <c r="N2688">
        <v>1</v>
      </c>
      <c r="O2688">
        <v>0</v>
      </c>
      <c r="P2688">
        <v>1015.85</v>
      </c>
      <c r="Q2688">
        <v>620</v>
      </c>
    </row>
    <row r="2689" spans="7:17" x14ac:dyDescent="0.25">
      <c r="G2689" t="str">
        <f t="shared" si="41"/>
        <v/>
      </c>
      <c r="H2689" t="s">
        <v>47</v>
      </c>
      <c r="I2689" t="s">
        <v>11</v>
      </c>
      <c r="J2689" t="s">
        <v>6</v>
      </c>
      <c r="K2689" t="s">
        <v>37</v>
      </c>
      <c r="L2689" t="s">
        <v>45</v>
      </c>
      <c r="M2689" t="s">
        <v>20</v>
      </c>
      <c r="N2689">
        <v>84</v>
      </c>
      <c r="O2689">
        <v>12</v>
      </c>
      <c r="P2689">
        <v>15215.79</v>
      </c>
      <c r="Q2689">
        <v>0</v>
      </c>
    </row>
    <row r="2690" spans="7:17" x14ac:dyDescent="0.25">
      <c r="G2690" t="str">
        <f t="shared" ref="G2690:G2753" si="42">IF(G$1="Overall","Overall",IF(G$1=L2690,L2690,""))</f>
        <v/>
      </c>
      <c r="H2690" t="s">
        <v>47</v>
      </c>
      <c r="I2690" t="s">
        <v>11</v>
      </c>
      <c r="J2690" t="s">
        <v>6</v>
      </c>
      <c r="K2690" t="s">
        <v>38</v>
      </c>
      <c r="L2690" t="s">
        <v>42</v>
      </c>
      <c r="M2690" t="s">
        <v>19</v>
      </c>
      <c r="N2690">
        <v>207</v>
      </c>
      <c r="O2690">
        <v>4</v>
      </c>
      <c r="P2690">
        <v>126968.35000000009</v>
      </c>
      <c r="Q2690">
        <v>126957.60000000006</v>
      </c>
    </row>
    <row r="2691" spans="7:17" x14ac:dyDescent="0.25">
      <c r="G2691" t="str">
        <f t="shared" si="42"/>
        <v/>
      </c>
      <c r="H2691" t="s">
        <v>47</v>
      </c>
      <c r="I2691" t="s">
        <v>11</v>
      </c>
      <c r="J2691" t="s">
        <v>6</v>
      </c>
      <c r="K2691" t="s">
        <v>38</v>
      </c>
      <c r="L2691" t="s">
        <v>42</v>
      </c>
      <c r="M2691" t="s">
        <v>20</v>
      </c>
      <c r="N2691">
        <v>36</v>
      </c>
      <c r="O2691">
        <v>3</v>
      </c>
      <c r="P2691">
        <v>29809.649999999998</v>
      </c>
      <c r="Q2691">
        <v>0</v>
      </c>
    </row>
    <row r="2692" spans="7:17" x14ac:dyDescent="0.25">
      <c r="G2692" t="str">
        <f t="shared" si="42"/>
        <v/>
      </c>
      <c r="H2692" t="s">
        <v>47</v>
      </c>
      <c r="I2692" t="s">
        <v>11</v>
      </c>
      <c r="J2692" t="s">
        <v>6</v>
      </c>
      <c r="K2692" t="s">
        <v>38</v>
      </c>
      <c r="L2692" t="s">
        <v>43</v>
      </c>
      <c r="M2692" t="s">
        <v>19</v>
      </c>
      <c r="N2692">
        <v>71</v>
      </c>
      <c r="O2692">
        <v>6</v>
      </c>
      <c r="P2692">
        <v>38866.549999999988</v>
      </c>
      <c r="Q2692">
        <v>38026.869999999995</v>
      </c>
    </row>
    <row r="2693" spans="7:17" x14ac:dyDescent="0.25">
      <c r="G2693" t="str">
        <f t="shared" si="42"/>
        <v/>
      </c>
      <c r="H2693" t="s">
        <v>47</v>
      </c>
      <c r="I2693" t="s">
        <v>11</v>
      </c>
      <c r="J2693" t="s">
        <v>6</v>
      </c>
      <c r="K2693" t="s">
        <v>38</v>
      </c>
      <c r="L2693" t="s">
        <v>43</v>
      </c>
      <c r="M2693" t="s">
        <v>20</v>
      </c>
      <c r="N2693">
        <v>47</v>
      </c>
      <c r="O2693">
        <v>9</v>
      </c>
      <c r="P2693">
        <v>9520.5300000000007</v>
      </c>
      <c r="Q2693">
        <v>0</v>
      </c>
    </row>
    <row r="2694" spans="7:17" x14ac:dyDescent="0.25">
      <c r="G2694" t="str">
        <f t="shared" si="42"/>
        <v/>
      </c>
      <c r="H2694" t="s">
        <v>47</v>
      </c>
      <c r="I2694" t="s">
        <v>11</v>
      </c>
      <c r="J2694" t="s">
        <v>6</v>
      </c>
      <c r="K2694" t="s">
        <v>38</v>
      </c>
      <c r="L2694" t="s">
        <v>44</v>
      </c>
      <c r="M2694" t="s">
        <v>19</v>
      </c>
      <c r="N2694">
        <v>1</v>
      </c>
      <c r="O2694">
        <v>0</v>
      </c>
      <c r="P2694">
        <v>953</v>
      </c>
      <c r="Q2694">
        <v>953</v>
      </c>
    </row>
    <row r="2695" spans="7:17" x14ac:dyDescent="0.25">
      <c r="G2695" t="str">
        <f t="shared" si="42"/>
        <v/>
      </c>
      <c r="H2695" t="s">
        <v>47</v>
      </c>
      <c r="I2695" t="s">
        <v>11</v>
      </c>
      <c r="J2695" t="s">
        <v>6</v>
      </c>
      <c r="K2695" t="s">
        <v>38</v>
      </c>
      <c r="L2695" t="s">
        <v>44</v>
      </c>
      <c r="M2695" t="s">
        <v>20</v>
      </c>
      <c r="N2695">
        <v>15</v>
      </c>
      <c r="O2695">
        <v>5</v>
      </c>
      <c r="P2695">
        <v>13414.249999999998</v>
      </c>
      <c r="Q2695">
        <v>0</v>
      </c>
    </row>
    <row r="2696" spans="7:17" x14ac:dyDescent="0.25">
      <c r="G2696" t="str">
        <f t="shared" si="42"/>
        <v/>
      </c>
      <c r="H2696" t="s">
        <v>47</v>
      </c>
      <c r="I2696" t="s">
        <v>11</v>
      </c>
      <c r="J2696" t="s">
        <v>6</v>
      </c>
      <c r="K2696" t="s">
        <v>38</v>
      </c>
      <c r="L2696" t="s">
        <v>39</v>
      </c>
      <c r="M2696" t="s">
        <v>20</v>
      </c>
      <c r="N2696">
        <v>2</v>
      </c>
      <c r="O2696">
        <v>1</v>
      </c>
      <c r="P2696">
        <v>1885.24</v>
      </c>
      <c r="Q2696">
        <v>0</v>
      </c>
    </row>
    <row r="2697" spans="7:17" x14ac:dyDescent="0.25">
      <c r="G2697" t="str">
        <f t="shared" si="42"/>
        <v/>
      </c>
      <c r="H2697" t="s">
        <v>47</v>
      </c>
      <c r="I2697" t="s">
        <v>11</v>
      </c>
      <c r="J2697" t="s">
        <v>6</v>
      </c>
      <c r="K2697" t="s">
        <v>38</v>
      </c>
      <c r="L2697" t="s">
        <v>41</v>
      </c>
      <c r="M2697" t="s">
        <v>20</v>
      </c>
      <c r="N2697">
        <v>5</v>
      </c>
      <c r="O2697">
        <v>2</v>
      </c>
      <c r="P2697">
        <v>2122.17</v>
      </c>
      <c r="Q2697">
        <v>0</v>
      </c>
    </row>
    <row r="2698" spans="7:17" x14ac:dyDescent="0.25">
      <c r="G2698" t="str">
        <f t="shared" si="42"/>
        <v/>
      </c>
      <c r="H2698" t="s">
        <v>47</v>
      </c>
      <c r="I2698" t="s">
        <v>11</v>
      </c>
      <c r="J2698" t="s">
        <v>6</v>
      </c>
      <c r="K2698" t="s">
        <v>38</v>
      </c>
      <c r="L2698" t="s">
        <v>45</v>
      </c>
      <c r="M2698" t="s">
        <v>20</v>
      </c>
      <c r="N2698">
        <v>13</v>
      </c>
      <c r="O2698">
        <v>3</v>
      </c>
      <c r="P2698">
        <v>17323.179999999997</v>
      </c>
      <c r="Q2698">
        <v>0</v>
      </c>
    </row>
    <row r="2699" spans="7:17" x14ac:dyDescent="0.25">
      <c r="G2699" t="str">
        <f t="shared" si="42"/>
        <v/>
      </c>
      <c r="H2699" t="s">
        <v>47</v>
      </c>
      <c r="I2699" t="s">
        <v>11</v>
      </c>
      <c r="J2699" t="s">
        <v>3</v>
      </c>
      <c r="K2699" t="s">
        <v>23</v>
      </c>
      <c r="L2699" t="s">
        <v>42</v>
      </c>
      <c r="M2699" t="s">
        <v>19</v>
      </c>
      <c r="N2699">
        <v>860</v>
      </c>
      <c r="O2699">
        <v>27</v>
      </c>
      <c r="P2699">
        <v>81080.700000000055</v>
      </c>
      <c r="Q2699">
        <v>79694.360000000059</v>
      </c>
    </row>
    <row r="2700" spans="7:17" x14ac:dyDescent="0.25">
      <c r="G2700" t="str">
        <f t="shared" si="42"/>
        <v/>
      </c>
      <c r="H2700" t="s">
        <v>47</v>
      </c>
      <c r="I2700" t="s">
        <v>11</v>
      </c>
      <c r="J2700" t="s">
        <v>3</v>
      </c>
      <c r="K2700" t="s">
        <v>23</v>
      </c>
      <c r="L2700" t="s">
        <v>42</v>
      </c>
      <c r="M2700" t="s">
        <v>20</v>
      </c>
      <c r="N2700">
        <v>484</v>
      </c>
      <c r="O2700">
        <v>7</v>
      </c>
      <c r="P2700">
        <v>59755.950000000026</v>
      </c>
      <c r="Q2700">
        <v>0</v>
      </c>
    </row>
    <row r="2701" spans="7:17" x14ac:dyDescent="0.25">
      <c r="G2701" t="str">
        <f t="shared" si="42"/>
        <v/>
      </c>
      <c r="H2701" t="s">
        <v>47</v>
      </c>
      <c r="I2701" t="s">
        <v>11</v>
      </c>
      <c r="J2701" t="s">
        <v>3</v>
      </c>
      <c r="K2701" t="s">
        <v>23</v>
      </c>
      <c r="L2701" t="s">
        <v>43</v>
      </c>
      <c r="M2701" t="s">
        <v>19</v>
      </c>
      <c r="N2701">
        <v>160</v>
      </c>
      <c r="O2701">
        <v>13</v>
      </c>
      <c r="P2701">
        <v>105046.56999999996</v>
      </c>
      <c r="Q2701">
        <v>94392.699999999983</v>
      </c>
    </row>
    <row r="2702" spans="7:17" x14ac:dyDescent="0.25">
      <c r="G2702" t="str">
        <f t="shared" si="42"/>
        <v/>
      </c>
      <c r="H2702" t="s">
        <v>47</v>
      </c>
      <c r="I2702" t="s">
        <v>11</v>
      </c>
      <c r="J2702" t="s">
        <v>3</v>
      </c>
      <c r="K2702" t="s">
        <v>23</v>
      </c>
      <c r="L2702" t="s">
        <v>43</v>
      </c>
      <c r="M2702" t="s">
        <v>20</v>
      </c>
      <c r="N2702">
        <v>35</v>
      </c>
      <c r="O2702">
        <v>8</v>
      </c>
      <c r="P2702">
        <v>29246.36</v>
      </c>
      <c r="Q2702">
        <v>0</v>
      </c>
    </row>
    <row r="2703" spans="7:17" x14ac:dyDescent="0.25">
      <c r="G2703" t="str">
        <f t="shared" si="42"/>
        <v/>
      </c>
      <c r="H2703" t="s">
        <v>47</v>
      </c>
      <c r="I2703" t="s">
        <v>11</v>
      </c>
      <c r="J2703" t="s">
        <v>3</v>
      </c>
      <c r="K2703" t="s">
        <v>23</v>
      </c>
      <c r="L2703" t="s">
        <v>44</v>
      </c>
      <c r="M2703" t="s">
        <v>19</v>
      </c>
      <c r="N2703">
        <v>147</v>
      </c>
      <c r="O2703">
        <v>11</v>
      </c>
      <c r="P2703">
        <v>145703.59000000005</v>
      </c>
      <c r="Q2703">
        <v>115720.04000000002</v>
      </c>
    </row>
    <row r="2704" spans="7:17" x14ac:dyDescent="0.25">
      <c r="G2704" t="str">
        <f t="shared" si="42"/>
        <v/>
      </c>
      <c r="H2704" t="s">
        <v>47</v>
      </c>
      <c r="I2704" t="s">
        <v>11</v>
      </c>
      <c r="J2704" t="s">
        <v>3</v>
      </c>
      <c r="K2704" t="s">
        <v>23</v>
      </c>
      <c r="L2704" t="s">
        <v>44</v>
      </c>
      <c r="M2704" t="s">
        <v>20</v>
      </c>
      <c r="N2704">
        <v>30</v>
      </c>
      <c r="O2704">
        <v>10</v>
      </c>
      <c r="P2704">
        <v>52848.49</v>
      </c>
      <c r="Q2704">
        <v>0</v>
      </c>
    </row>
    <row r="2705" spans="7:17" x14ac:dyDescent="0.25">
      <c r="G2705" t="str">
        <f t="shared" si="42"/>
        <v/>
      </c>
      <c r="H2705" t="s">
        <v>47</v>
      </c>
      <c r="I2705" t="s">
        <v>11</v>
      </c>
      <c r="J2705" t="s">
        <v>3</v>
      </c>
      <c r="K2705" t="s">
        <v>23</v>
      </c>
      <c r="L2705" t="s">
        <v>39</v>
      </c>
      <c r="M2705" t="s">
        <v>19</v>
      </c>
      <c r="N2705">
        <v>39</v>
      </c>
      <c r="O2705">
        <v>13</v>
      </c>
      <c r="P2705">
        <v>43957.82</v>
      </c>
      <c r="Q2705">
        <v>23894.079999999991</v>
      </c>
    </row>
    <row r="2706" spans="7:17" x14ac:dyDescent="0.25">
      <c r="G2706" t="str">
        <f t="shared" si="42"/>
        <v/>
      </c>
      <c r="H2706" t="s">
        <v>47</v>
      </c>
      <c r="I2706" t="s">
        <v>11</v>
      </c>
      <c r="J2706" t="s">
        <v>3</v>
      </c>
      <c r="K2706" t="s">
        <v>23</v>
      </c>
      <c r="L2706" t="s">
        <v>39</v>
      </c>
      <c r="M2706" t="s">
        <v>20</v>
      </c>
      <c r="N2706">
        <v>33</v>
      </c>
      <c r="O2706">
        <v>12</v>
      </c>
      <c r="P2706">
        <v>25363.089999999993</v>
      </c>
      <c r="Q2706">
        <v>0</v>
      </c>
    </row>
    <row r="2707" spans="7:17" x14ac:dyDescent="0.25">
      <c r="G2707" t="str">
        <f t="shared" si="42"/>
        <v/>
      </c>
      <c r="H2707" t="s">
        <v>47</v>
      </c>
      <c r="I2707" t="s">
        <v>11</v>
      </c>
      <c r="J2707" t="s">
        <v>3</v>
      </c>
      <c r="K2707" t="s">
        <v>23</v>
      </c>
      <c r="L2707" t="s">
        <v>40</v>
      </c>
      <c r="M2707" t="s">
        <v>19</v>
      </c>
      <c r="N2707">
        <v>20</v>
      </c>
      <c r="O2707">
        <v>2</v>
      </c>
      <c r="P2707">
        <v>15865.48</v>
      </c>
      <c r="Q2707">
        <v>10080.059999999998</v>
      </c>
    </row>
    <row r="2708" spans="7:17" x14ac:dyDescent="0.25">
      <c r="G2708" t="str">
        <f t="shared" si="42"/>
        <v/>
      </c>
      <c r="H2708" t="s">
        <v>47</v>
      </c>
      <c r="I2708" t="s">
        <v>11</v>
      </c>
      <c r="J2708" t="s">
        <v>3</v>
      </c>
      <c r="K2708" t="s">
        <v>23</v>
      </c>
      <c r="L2708" t="s">
        <v>40</v>
      </c>
      <c r="M2708" t="s">
        <v>20</v>
      </c>
      <c r="N2708">
        <v>7</v>
      </c>
      <c r="O2708">
        <v>0</v>
      </c>
      <c r="P2708">
        <v>2695.48</v>
      </c>
      <c r="Q2708">
        <v>0</v>
      </c>
    </row>
    <row r="2709" spans="7:17" x14ac:dyDescent="0.25">
      <c r="G2709" t="str">
        <f t="shared" si="42"/>
        <v/>
      </c>
      <c r="H2709" t="s">
        <v>47</v>
      </c>
      <c r="I2709" t="s">
        <v>11</v>
      </c>
      <c r="J2709" t="s">
        <v>3</v>
      </c>
      <c r="K2709" t="s">
        <v>23</v>
      </c>
      <c r="L2709" t="s">
        <v>41</v>
      </c>
      <c r="M2709" t="s">
        <v>19</v>
      </c>
      <c r="N2709">
        <v>4</v>
      </c>
      <c r="O2709">
        <v>1</v>
      </c>
      <c r="P2709">
        <v>4085.8900000000003</v>
      </c>
      <c r="Q2709">
        <v>3728.2</v>
      </c>
    </row>
    <row r="2710" spans="7:17" x14ac:dyDescent="0.25">
      <c r="G2710" t="str">
        <f t="shared" si="42"/>
        <v/>
      </c>
      <c r="H2710" t="s">
        <v>47</v>
      </c>
      <c r="I2710" t="s">
        <v>11</v>
      </c>
      <c r="J2710" t="s">
        <v>3</v>
      </c>
      <c r="K2710" t="s">
        <v>23</v>
      </c>
      <c r="L2710" t="s">
        <v>41</v>
      </c>
      <c r="M2710" t="s">
        <v>20</v>
      </c>
      <c r="N2710">
        <v>18</v>
      </c>
      <c r="O2710">
        <v>1</v>
      </c>
      <c r="P2710">
        <v>9579.6699999999983</v>
      </c>
      <c r="Q2710">
        <v>0</v>
      </c>
    </row>
    <row r="2711" spans="7:17" x14ac:dyDescent="0.25">
      <c r="G2711" t="str">
        <f t="shared" si="42"/>
        <v/>
      </c>
      <c r="H2711" t="s">
        <v>47</v>
      </c>
      <c r="I2711" t="s">
        <v>11</v>
      </c>
      <c r="J2711" t="s">
        <v>3</v>
      </c>
      <c r="K2711" t="s">
        <v>23</v>
      </c>
      <c r="L2711" t="s">
        <v>45</v>
      </c>
      <c r="M2711" t="s">
        <v>19</v>
      </c>
      <c r="N2711">
        <v>5</v>
      </c>
      <c r="O2711">
        <v>2</v>
      </c>
      <c r="P2711">
        <v>4658.46</v>
      </c>
      <c r="Q2711">
        <v>2873.7</v>
      </c>
    </row>
    <row r="2712" spans="7:17" x14ac:dyDescent="0.25">
      <c r="G2712" t="str">
        <f t="shared" si="42"/>
        <v/>
      </c>
      <c r="H2712" t="s">
        <v>47</v>
      </c>
      <c r="I2712" t="s">
        <v>11</v>
      </c>
      <c r="J2712" t="s">
        <v>3</v>
      </c>
      <c r="K2712" t="s">
        <v>23</v>
      </c>
      <c r="L2712" t="s">
        <v>45</v>
      </c>
      <c r="M2712" t="s">
        <v>20</v>
      </c>
      <c r="N2712">
        <v>194</v>
      </c>
      <c r="O2712">
        <v>33</v>
      </c>
      <c r="P2712">
        <v>125837.83000000009</v>
      </c>
      <c r="Q2712">
        <v>0</v>
      </c>
    </row>
    <row r="2713" spans="7:17" x14ac:dyDescent="0.25">
      <c r="G2713" t="str">
        <f t="shared" si="42"/>
        <v/>
      </c>
      <c r="H2713" t="s">
        <v>47</v>
      </c>
      <c r="I2713" t="s">
        <v>11</v>
      </c>
      <c r="J2713" t="s">
        <v>3</v>
      </c>
      <c r="K2713" t="s">
        <v>24</v>
      </c>
      <c r="L2713" t="s">
        <v>42</v>
      </c>
      <c r="M2713" t="s">
        <v>19</v>
      </c>
      <c r="N2713">
        <v>205</v>
      </c>
      <c r="O2713">
        <v>8</v>
      </c>
      <c r="P2713">
        <v>75626.550000000061</v>
      </c>
      <c r="Q2713">
        <v>75025.740000000063</v>
      </c>
    </row>
    <row r="2714" spans="7:17" x14ac:dyDescent="0.25">
      <c r="G2714" t="str">
        <f t="shared" si="42"/>
        <v/>
      </c>
      <c r="H2714" t="s">
        <v>47</v>
      </c>
      <c r="I2714" t="s">
        <v>11</v>
      </c>
      <c r="J2714" t="s">
        <v>3</v>
      </c>
      <c r="K2714" t="s">
        <v>24</v>
      </c>
      <c r="L2714" t="s">
        <v>42</v>
      </c>
      <c r="M2714" t="s">
        <v>20</v>
      </c>
      <c r="N2714">
        <v>38</v>
      </c>
      <c r="O2714">
        <v>5</v>
      </c>
      <c r="P2714">
        <v>13506.49</v>
      </c>
      <c r="Q2714">
        <v>0</v>
      </c>
    </row>
    <row r="2715" spans="7:17" x14ac:dyDescent="0.25">
      <c r="G2715" t="str">
        <f t="shared" si="42"/>
        <v/>
      </c>
      <c r="H2715" t="s">
        <v>47</v>
      </c>
      <c r="I2715" t="s">
        <v>11</v>
      </c>
      <c r="J2715" t="s">
        <v>3</v>
      </c>
      <c r="K2715" t="s">
        <v>24</v>
      </c>
      <c r="L2715" t="s">
        <v>43</v>
      </c>
      <c r="M2715" t="s">
        <v>19</v>
      </c>
      <c r="N2715">
        <v>109</v>
      </c>
      <c r="O2715">
        <v>9</v>
      </c>
      <c r="P2715">
        <v>75265.470000000016</v>
      </c>
      <c r="Q2715">
        <v>52449.810000000012</v>
      </c>
    </row>
    <row r="2716" spans="7:17" x14ac:dyDescent="0.25">
      <c r="G2716" t="str">
        <f t="shared" si="42"/>
        <v/>
      </c>
      <c r="H2716" t="s">
        <v>47</v>
      </c>
      <c r="I2716" t="s">
        <v>11</v>
      </c>
      <c r="J2716" t="s">
        <v>3</v>
      </c>
      <c r="K2716" t="s">
        <v>24</v>
      </c>
      <c r="L2716" t="s">
        <v>43</v>
      </c>
      <c r="M2716" t="s">
        <v>20</v>
      </c>
      <c r="N2716">
        <v>32</v>
      </c>
      <c r="O2716">
        <v>5</v>
      </c>
      <c r="P2716">
        <v>9962.9699999999993</v>
      </c>
      <c r="Q2716">
        <v>0</v>
      </c>
    </row>
    <row r="2717" spans="7:17" x14ac:dyDescent="0.25">
      <c r="G2717" t="str">
        <f t="shared" si="42"/>
        <v/>
      </c>
      <c r="H2717" t="s">
        <v>47</v>
      </c>
      <c r="I2717" t="s">
        <v>11</v>
      </c>
      <c r="J2717" t="s">
        <v>3</v>
      </c>
      <c r="K2717" t="s">
        <v>24</v>
      </c>
      <c r="L2717" t="s">
        <v>44</v>
      </c>
      <c r="M2717" t="s">
        <v>19</v>
      </c>
      <c r="N2717">
        <v>83</v>
      </c>
      <c r="O2717">
        <v>4</v>
      </c>
      <c r="P2717">
        <v>97817.27999999997</v>
      </c>
      <c r="Q2717">
        <v>85522.299999999988</v>
      </c>
    </row>
    <row r="2718" spans="7:17" x14ac:dyDescent="0.25">
      <c r="G2718" t="str">
        <f t="shared" si="42"/>
        <v/>
      </c>
      <c r="H2718" t="s">
        <v>47</v>
      </c>
      <c r="I2718" t="s">
        <v>11</v>
      </c>
      <c r="J2718" t="s">
        <v>3</v>
      </c>
      <c r="K2718" t="s">
        <v>24</v>
      </c>
      <c r="L2718" t="s">
        <v>44</v>
      </c>
      <c r="M2718" t="s">
        <v>20</v>
      </c>
      <c r="N2718">
        <v>14</v>
      </c>
      <c r="O2718">
        <v>4</v>
      </c>
      <c r="P2718">
        <v>13068.680000000002</v>
      </c>
      <c r="Q2718">
        <v>0</v>
      </c>
    </row>
    <row r="2719" spans="7:17" x14ac:dyDescent="0.25">
      <c r="G2719" t="str">
        <f t="shared" si="42"/>
        <v/>
      </c>
      <c r="H2719" t="s">
        <v>47</v>
      </c>
      <c r="I2719" t="s">
        <v>11</v>
      </c>
      <c r="J2719" t="s">
        <v>3</v>
      </c>
      <c r="K2719" t="s">
        <v>24</v>
      </c>
      <c r="L2719" t="s">
        <v>39</v>
      </c>
      <c r="M2719" t="s">
        <v>19</v>
      </c>
      <c r="N2719">
        <v>30</v>
      </c>
      <c r="O2719">
        <v>5</v>
      </c>
      <c r="P2719">
        <v>27459.160000000003</v>
      </c>
      <c r="Q2719">
        <v>20313.570000000003</v>
      </c>
    </row>
    <row r="2720" spans="7:17" x14ac:dyDescent="0.25">
      <c r="G2720" t="str">
        <f t="shared" si="42"/>
        <v/>
      </c>
      <c r="H2720" t="s">
        <v>47</v>
      </c>
      <c r="I2720" t="s">
        <v>11</v>
      </c>
      <c r="J2720" t="s">
        <v>3</v>
      </c>
      <c r="K2720" t="s">
        <v>24</v>
      </c>
      <c r="L2720" t="s">
        <v>39</v>
      </c>
      <c r="M2720" t="s">
        <v>20</v>
      </c>
      <c r="N2720">
        <v>8</v>
      </c>
      <c r="O2720">
        <v>1</v>
      </c>
      <c r="P2720">
        <v>11734.03</v>
      </c>
      <c r="Q2720">
        <v>0</v>
      </c>
    </row>
    <row r="2721" spans="7:17" x14ac:dyDescent="0.25">
      <c r="G2721" t="str">
        <f t="shared" si="42"/>
        <v/>
      </c>
      <c r="H2721" t="s">
        <v>47</v>
      </c>
      <c r="I2721" t="s">
        <v>11</v>
      </c>
      <c r="J2721" t="s">
        <v>3</v>
      </c>
      <c r="K2721" t="s">
        <v>24</v>
      </c>
      <c r="L2721" t="s">
        <v>40</v>
      </c>
      <c r="M2721" t="s">
        <v>19</v>
      </c>
      <c r="N2721">
        <v>13</v>
      </c>
      <c r="O2721">
        <v>1</v>
      </c>
      <c r="P2721">
        <v>22795.84</v>
      </c>
      <c r="Q2721">
        <v>15101.619999999999</v>
      </c>
    </row>
    <row r="2722" spans="7:17" x14ac:dyDescent="0.25">
      <c r="G2722" t="str">
        <f t="shared" si="42"/>
        <v/>
      </c>
      <c r="H2722" t="s">
        <v>47</v>
      </c>
      <c r="I2722" t="s">
        <v>11</v>
      </c>
      <c r="J2722" t="s">
        <v>3</v>
      </c>
      <c r="K2722" t="s">
        <v>24</v>
      </c>
      <c r="L2722" t="s">
        <v>40</v>
      </c>
      <c r="M2722" t="s">
        <v>20</v>
      </c>
      <c r="N2722">
        <v>9</v>
      </c>
      <c r="O2722">
        <v>0</v>
      </c>
      <c r="P2722">
        <v>5027.8</v>
      </c>
      <c r="Q2722">
        <v>0</v>
      </c>
    </row>
    <row r="2723" spans="7:17" x14ac:dyDescent="0.25">
      <c r="G2723" t="str">
        <f t="shared" si="42"/>
        <v/>
      </c>
      <c r="H2723" t="s">
        <v>47</v>
      </c>
      <c r="I2723" t="s">
        <v>11</v>
      </c>
      <c r="J2723" t="s">
        <v>3</v>
      </c>
      <c r="K2723" t="s">
        <v>24</v>
      </c>
      <c r="L2723" t="s">
        <v>41</v>
      </c>
      <c r="M2723" t="s">
        <v>19</v>
      </c>
      <c r="N2723">
        <v>1</v>
      </c>
      <c r="O2723">
        <v>0</v>
      </c>
      <c r="P2723">
        <v>161.21</v>
      </c>
      <c r="Q2723">
        <v>83.82</v>
      </c>
    </row>
    <row r="2724" spans="7:17" x14ac:dyDescent="0.25">
      <c r="G2724" t="str">
        <f t="shared" si="42"/>
        <v/>
      </c>
      <c r="H2724" t="s">
        <v>47</v>
      </c>
      <c r="I2724" t="s">
        <v>11</v>
      </c>
      <c r="J2724" t="s">
        <v>3</v>
      </c>
      <c r="K2724" t="s">
        <v>24</v>
      </c>
      <c r="L2724" t="s">
        <v>41</v>
      </c>
      <c r="M2724" t="s">
        <v>20</v>
      </c>
      <c r="N2724">
        <v>7</v>
      </c>
      <c r="O2724">
        <v>1</v>
      </c>
      <c r="P2724">
        <v>3184.4</v>
      </c>
      <c r="Q2724">
        <v>0</v>
      </c>
    </row>
    <row r="2725" spans="7:17" x14ac:dyDescent="0.25">
      <c r="G2725" t="str">
        <f t="shared" si="42"/>
        <v/>
      </c>
      <c r="H2725" t="s">
        <v>47</v>
      </c>
      <c r="I2725" t="s">
        <v>11</v>
      </c>
      <c r="J2725" t="s">
        <v>3</v>
      </c>
      <c r="K2725" t="s">
        <v>24</v>
      </c>
      <c r="L2725" t="s">
        <v>45</v>
      </c>
      <c r="M2725" t="s">
        <v>19</v>
      </c>
      <c r="N2725">
        <v>3</v>
      </c>
      <c r="O2725">
        <v>1</v>
      </c>
      <c r="P2725">
        <v>3448.66</v>
      </c>
      <c r="Q2725">
        <v>362.66000000000008</v>
      </c>
    </row>
    <row r="2726" spans="7:17" x14ac:dyDescent="0.25">
      <c r="G2726" t="str">
        <f t="shared" si="42"/>
        <v/>
      </c>
      <c r="H2726" t="s">
        <v>47</v>
      </c>
      <c r="I2726" t="s">
        <v>11</v>
      </c>
      <c r="J2726" t="s">
        <v>3</v>
      </c>
      <c r="K2726" t="s">
        <v>24</v>
      </c>
      <c r="L2726" t="s">
        <v>45</v>
      </c>
      <c r="M2726" t="s">
        <v>20</v>
      </c>
      <c r="N2726">
        <v>144</v>
      </c>
      <c r="O2726">
        <v>15</v>
      </c>
      <c r="P2726">
        <v>100574.65999999999</v>
      </c>
      <c r="Q2726">
        <v>0</v>
      </c>
    </row>
    <row r="2727" spans="7:17" x14ac:dyDescent="0.25">
      <c r="G2727" t="str">
        <f t="shared" si="42"/>
        <v/>
      </c>
      <c r="H2727" t="s">
        <v>47</v>
      </c>
      <c r="I2727" t="s">
        <v>11</v>
      </c>
      <c r="J2727" t="s">
        <v>3</v>
      </c>
      <c r="K2727" t="s">
        <v>25</v>
      </c>
      <c r="L2727" t="s">
        <v>42</v>
      </c>
      <c r="M2727" t="s">
        <v>19</v>
      </c>
      <c r="N2727">
        <v>632</v>
      </c>
      <c r="O2727">
        <v>29</v>
      </c>
      <c r="P2727">
        <v>276694.14000000095</v>
      </c>
      <c r="Q2727">
        <v>276174.55000000098</v>
      </c>
    </row>
    <row r="2728" spans="7:17" x14ac:dyDescent="0.25">
      <c r="G2728" t="str">
        <f t="shared" si="42"/>
        <v/>
      </c>
      <c r="H2728" t="s">
        <v>47</v>
      </c>
      <c r="I2728" t="s">
        <v>11</v>
      </c>
      <c r="J2728" t="s">
        <v>3</v>
      </c>
      <c r="K2728" t="s">
        <v>25</v>
      </c>
      <c r="L2728" t="s">
        <v>42</v>
      </c>
      <c r="M2728" t="s">
        <v>20</v>
      </c>
      <c r="N2728">
        <v>191</v>
      </c>
      <c r="O2728">
        <v>17</v>
      </c>
      <c r="P2728">
        <v>68046.759999999995</v>
      </c>
      <c r="Q2728">
        <v>0</v>
      </c>
    </row>
    <row r="2729" spans="7:17" x14ac:dyDescent="0.25">
      <c r="G2729" t="str">
        <f t="shared" si="42"/>
        <v/>
      </c>
      <c r="H2729" t="s">
        <v>47</v>
      </c>
      <c r="I2729" t="s">
        <v>11</v>
      </c>
      <c r="J2729" t="s">
        <v>3</v>
      </c>
      <c r="K2729" t="s">
        <v>25</v>
      </c>
      <c r="L2729" t="s">
        <v>43</v>
      </c>
      <c r="M2729" t="s">
        <v>19</v>
      </c>
      <c r="N2729">
        <v>126</v>
      </c>
      <c r="O2729">
        <v>20</v>
      </c>
      <c r="P2729">
        <v>100549.64</v>
      </c>
      <c r="Q2729">
        <v>88274.809999999969</v>
      </c>
    </row>
    <row r="2730" spans="7:17" x14ac:dyDescent="0.25">
      <c r="G2730" t="str">
        <f t="shared" si="42"/>
        <v/>
      </c>
      <c r="H2730" t="s">
        <v>47</v>
      </c>
      <c r="I2730" t="s">
        <v>11</v>
      </c>
      <c r="J2730" t="s">
        <v>3</v>
      </c>
      <c r="K2730" t="s">
        <v>25</v>
      </c>
      <c r="L2730" t="s">
        <v>43</v>
      </c>
      <c r="M2730" t="s">
        <v>20</v>
      </c>
      <c r="N2730">
        <v>66</v>
      </c>
      <c r="O2730">
        <v>17</v>
      </c>
      <c r="P2730">
        <v>23211.300000000007</v>
      </c>
      <c r="Q2730">
        <v>0</v>
      </c>
    </row>
    <row r="2731" spans="7:17" x14ac:dyDescent="0.25">
      <c r="G2731" t="str">
        <f t="shared" si="42"/>
        <v/>
      </c>
      <c r="H2731" t="s">
        <v>47</v>
      </c>
      <c r="I2731" t="s">
        <v>11</v>
      </c>
      <c r="J2731" t="s">
        <v>3</v>
      </c>
      <c r="K2731" t="s">
        <v>25</v>
      </c>
      <c r="L2731" t="s">
        <v>44</v>
      </c>
      <c r="M2731" t="s">
        <v>19</v>
      </c>
      <c r="N2731">
        <v>62</v>
      </c>
      <c r="O2731">
        <v>7</v>
      </c>
      <c r="P2731">
        <v>67623.849999999991</v>
      </c>
      <c r="Q2731">
        <v>64497.89</v>
      </c>
    </row>
    <row r="2732" spans="7:17" x14ac:dyDescent="0.25">
      <c r="G2732" t="str">
        <f t="shared" si="42"/>
        <v/>
      </c>
      <c r="H2732" t="s">
        <v>47</v>
      </c>
      <c r="I2732" t="s">
        <v>11</v>
      </c>
      <c r="J2732" t="s">
        <v>3</v>
      </c>
      <c r="K2732" t="s">
        <v>25</v>
      </c>
      <c r="L2732" t="s">
        <v>44</v>
      </c>
      <c r="M2732" t="s">
        <v>20</v>
      </c>
      <c r="N2732">
        <v>71</v>
      </c>
      <c r="O2732">
        <v>17</v>
      </c>
      <c r="P2732">
        <v>43803.829999999994</v>
      </c>
      <c r="Q2732">
        <v>0</v>
      </c>
    </row>
    <row r="2733" spans="7:17" x14ac:dyDescent="0.25">
      <c r="G2733" t="str">
        <f t="shared" si="42"/>
        <v/>
      </c>
      <c r="H2733" t="s">
        <v>47</v>
      </c>
      <c r="I2733" t="s">
        <v>11</v>
      </c>
      <c r="J2733" t="s">
        <v>3</v>
      </c>
      <c r="K2733" t="s">
        <v>25</v>
      </c>
      <c r="L2733" t="s">
        <v>39</v>
      </c>
      <c r="M2733" t="s">
        <v>19</v>
      </c>
      <c r="N2733">
        <v>85</v>
      </c>
      <c r="O2733">
        <v>18</v>
      </c>
      <c r="P2733">
        <v>121092.08000000006</v>
      </c>
      <c r="Q2733">
        <v>93915.9399999999</v>
      </c>
    </row>
    <row r="2734" spans="7:17" x14ac:dyDescent="0.25">
      <c r="G2734" t="str">
        <f t="shared" si="42"/>
        <v/>
      </c>
      <c r="H2734" t="s">
        <v>47</v>
      </c>
      <c r="I2734" t="s">
        <v>11</v>
      </c>
      <c r="J2734" t="s">
        <v>3</v>
      </c>
      <c r="K2734" t="s">
        <v>25</v>
      </c>
      <c r="L2734" t="s">
        <v>39</v>
      </c>
      <c r="M2734" t="s">
        <v>20</v>
      </c>
      <c r="N2734">
        <v>53</v>
      </c>
      <c r="O2734">
        <v>20</v>
      </c>
      <c r="P2734">
        <v>53797.49</v>
      </c>
      <c r="Q2734">
        <v>0</v>
      </c>
    </row>
    <row r="2735" spans="7:17" x14ac:dyDescent="0.25">
      <c r="G2735" t="str">
        <f t="shared" si="42"/>
        <v/>
      </c>
      <c r="H2735" t="s">
        <v>47</v>
      </c>
      <c r="I2735" t="s">
        <v>11</v>
      </c>
      <c r="J2735" t="s">
        <v>3</v>
      </c>
      <c r="K2735" t="s">
        <v>25</v>
      </c>
      <c r="L2735" t="s">
        <v>40</v>
      </c>
      <c r="M2735" t="s">
        <v>19</v>
      </c>
      <c r="N2735">
        <v>24</v>
      </c>
      <c r="O2735">
        <v>0</v>
      </c>
      <c r="P2735">
        <v>49631.82</v>
      </c>
      <c r="Q2735">
        <v>32542.379999999994</v>
      </c>
    </row>
    <row r="2736" spans="7:17" x14ac:dyDescent="0.25">
      <c r="G2736" t="str">
        <f t="shared" si="42"/>
        <v/>
      </c>
      <c r="H2736" t="s">
        <v>47</v>
      </c>
      <c r="I2736" t="s">
        <v>11</v>
      </c>
      <c r="J2736" t="s">
        <v>3</v>
      </c>
      <c r="K2736" t="s">
        <v>25</v>
      </c>
      <c r="L2736" t="s">
        <v>40</v>
      </c>
      <c r="M2736" t="s">
        <v>20</v>
      </c>
      <c r="N2736">
        <v>74</v>
      </c>
      <c r="O2736">
        <v>5</v>
      </c>
      <c r="P2736">
        <v>95656.280000000013</v>
      </c>
      <c r="Q2736">
        <v>0</v>
      </c>
    </row>
    <row r="2737" spans="7:17" x14ac:dyDescent="0.25">
      <c r="G2737" t="str">
        <f t="shared" si="42"/>
        <v/>
      </c>
      <c r="H2737" t="s">
        <v>47</v>
      </c>
      <c r="I2737" t="s">
        <v>11</v>
      </c>
      <c r="J2737" t="s">
        <v>3</v>
      </c>
      <c r="K2737" t="s">
        <v>25</v>
      </c>
      <c r="L2737" t="s">
        <v>41</v>
      </c>
      <c r="M2737" t="s">
        <v>19</v>
      </c>
      <c r="N2737">
        <v>7</v>
      </c>
      <c r="O2737">
        <v>0</v>
      </c>
      <c r="P2737">
        <v>11907.42</v>
      </c>
      <c r="Q2737">
        <v>7207.4299999999994</v>
      </c>
    </row>
    <row r="2738" spans="7:17" x14ac:dyDescent="0.25">
      <c r="G2738" t="str">
        <f t="shared" si="42"/>
        <v/>
      </c>
      <c r="H2738" t="s">
        <v>47</v>
      </c>
      <c r="I2738" t="s">
        <v>11</v>
      </c>
      <c r="J2738" t="s">
        <v>3</v>
      </c>
      <c r="K2738" t="s">
        <v>25</v>
      </c>
      <c r="L2738" t="s">
        <v>41</v>
      </c>
      <c r="M2738" t="s">
        <v>20</v>
      </c>
      <c r="N2738">
        <v>14</v>
      </c>
      <c r="O2738">
        <v>1</v>
      </c>
      <c r="P2738">
        <v>52906.81</v>
      </c>
      <c r="Q2738">
        <v>0</v>
      </c>
    </row>
    <row r="2739" spans="7:17" x14ac:dyDescent="0.25">
      <c r="G2739" t="str">
        <f t="shared" si="42"/>
        <v/>
      </c>
      <c r="H2739" t="s">
        <v>47</v>
      </c>
      <c r="I2739" t="s">
        <v>11</v>
      </c>
      <c r="J2739" t="s">
        <v>3</v>
      </c>
      <c r="K2739" t="s">
        <v>25</v>
      </c>
      <c r="L2739" t="s">
        <v>45</v>
      </c>
      <c r="M2739" t="s">
        <v>19</v>
      </c>
      <c r="N2739">
        <v>34</v>
      </c>
      <c r="O2739">
        <v>1</v>
      </c>
      <c r="P2739">
        <v>43329.96</v>
      </c>
      <c r="Q2739">
        <v>41323.820000000007</v>
      </c>
    </row>
    <row r="2740" spans="7:17" x14ac:dyDescent="0.25">
      <c r="G2740" t="str">
        <f t="shared" si="42"/>
        <v/>
      </c>
      <c r="H2740" t="s">
        <v>47</v>
      </c>
      <c r="I2740" t="s">
        <v>11</v>
      </c>
      <c r="J2740" t="s">
        <v>3</v>
      </c>
      <c r="K2740" t="s">
        <v>25</v>
      </c>
      <c r="L2740" t="s">
        <v>45</v>
      </c>
      <c r="M2740" t="s">
        <v>20</v>
      </c>
      <c r="N2740">
        <v>217</v>
      </c>
      <c r="O2740">
        <v>45</v>
      </c>
      <c r="P2740">
        <v>268891.06</v>
      </c>
      <c r="Q2740">
        <v>0</v>
      </c>
    </row>
    <row r="2741" spans="7:17" x14ac:dyDescent="0.25">
      <c r="G2741" t="str">
        <f t="shared" si="42"/>
        <v/>
      </c>
      <c r="H2741" t="s">
        <v>47</v>
      </c>
      <c r="I2741" t="s">
        <v>11</v>
      </c>
      <c r="J2741" t="s">
        <v>3</v>
      </c>
      <c r="K2741" t="s">
        <v>26</v>
      </c>
      <c r="L2741" t="s">
        <v>42</v>
      </c>
      <c r="M2741" t="s">
        <v>19</v>
      </c>
      <c r="N2741">
        <v>717</v>
      </c>
      <c r="O2741">
        <v>59</v>
      </c>
      <c r="P2741">
        <v>103739.67000000004</v>
      </c>
      <c r="Q2741">
        <v>102077.83000000003</v>
      </c>
    </row>
    <row r="2742" spans="7:17" x14ac:dyDescent="0.25">
      <c r="G2742" t="str">
        <f t="shared" si="42"/>
        <v/>
      </c>
      <c r="H2742" t="s">
        <v>47</v>
      </c>
      <c r="I2742" t="s">
        <v>11</v>
      </c>
      <c r="J2742" t="s">
        <v>3</v>
      </c>
      <c r="K2742" t="s">
        <v>26</v>
      </c>
      <c r="L2742" t="s">
        <v>42</v>
      </c>
      <c r="M2742" t="s">
        <v>20</v>
      </c>
      <c r="N2742">
        <v>69</v>
      </c>
      <c r="O2742">
        <v>3</v>
      </c>
      <c r="P2742">
        <v>16369.589999999997</v>
      </c>
      <c r="Q2742">
        <v>0</v>
      </c>
    </row>
    <row r="2743" spans="7:17" x14ac:dyDescent="0.25">
      <c r="G2743" t="str">
        <f t="shared" si="42"/>
        <v/>
      </c>
      <c r="H2743" t="s">
        <v>47</v>
      </c>
      <c r="I2743" t="s">
        <v>11</v>
      </c>
      <c r="J2743" t="s">
        <v>3</v>
      </c>
      <c r="K2743" t="s">
        <v>26</v>
      </c>
      <c r="L2743" t="s">
        <v>43</v>
      </c>
      <c r="M2743" t="s">
        <v>19</v>
      </c>
      <c r="N2743">
        <v>280</v>
      </c>
      <c r="O2743">
        <v>16</v>
      </c>
      <c r="P2743">
        <v>169728.60000000006</v>
      </c>
      <c r="Q2743">
        <v>159344.39000000025</v>
      </c>
    </row>
    <row r="2744" spans="7:17" x14ac:dyDescent="0.25">
      <c r="G2744" t="str">
        <f t="shared" si="42"/>
        <v/>
      </c>
      <c r="H2744" t="s">
        <v>47</v>
      </c>
      <c r="I2744" t="s">
        <v>11</v>
      </c>
      <c r="J2744" t="s">
        <v>3</v>
      </c>
      <c r="K2744" t="s">
        <v>26</v>
      </c>
      <c r="L2744" t="s">
        <v>43</v>
      </c>
      <c r="M2744" t="s">
        <v>20</v>
      </c>
      <c r="N2744">
        <v>111</v>
      </c>
      <c r="O2744">
        <v>13</v>
      </c>
      <c r="P2744">
        <v>59188.439999999988</v>
      </c>
      <c r="Q2744">
        <v>0</v>
      </c>
    </row>
    <row r="2745" spans="7:17" x14ac:dyDescent="0.25">
      <c r="G2745" t="str">
        <f t="shared" si="42"/>
        <v/>
      </c>
      <c r="H2745" t="s">
        <v>47</v>
      </c>
      <c r="I2745" t="s">
        <v>11</v>
      </c>
      <c r="J2745" t="s">
        <v>3</v>
      </c>
      <c r="K2745" t="s">
        <v>26</v>
      </c>
      <c r="L2745" t="s">
        <v>44</v>
      </c>
      <c r="M2745" t="s">
        <v>19</v>
      </c>
      <c r="N2745">
        <v>332</v>
      </c>
      <c r="O2745">
        <v>9</v>
      </c>
      <c r="P2745">
        <v>274764.75</v>
      </c>
      <c r="Q2745">
        <v>101580.43999999997</v>
      </c>
    </row>
    <row r="2746" spans="7:17" x14ac:dyDescent="0.25">
      <c r="G2746" t="str">
        <f t="shared" si="42"/>
        <v/>
      </c>
      <c r="H2746" t="s">
        <v>47</v>
      </c>
      <c r="I2746" t="s">
        <v>11</v>
      </c>
      <c r="J2746" t="s">
        <v>3</v>
      </c>
      <c r="K2746" t="s">
        <v>26</v>
      </c>
      <c r="L2746" t="s">
        <v>44</v>
      </c>
      <c r="M2746" t="s">
        <v>20</v>
      </c>
      <c r="N2746">
        <v>98</v>
      </c>
      <c r="O2746">
        <v>15</v>
      </c>
      <c r="P2746">
        <v>67223.229999999981</v>
      </c>
      <c r="Q2746">
        <v>0</v>
      </c>
    </row>
    <row r="2747" spans="7:17" x14ac:dyDescent="0.25">
      <c r="G2747" t="str">
        <f t="shared" si="42"/>
        <v/>
      </c>
      <c r="H2747" t="s">
        <v>47</v>
      </c>
      <c r="I2747" t="s">
        <v>11</v>
      </c>
      <c r="J2747" t="s">
        <v>3</v>
      </c>
      <c r="K2747" t="s">
        <v>26</v>
      </c>
      <c r="L2747" t="s">
        <v>39</v>
      </c>
      <c r="M2747" t="s">
        <v>19</v>
      </c>
      <c r="N2747">
        <v>23</v>
      </c>
      <c r="O2747">
        <v>11</v>
      </c>
      <c r="P2747">
        <v>32247.479999999996</v>
      </c>
      <c r="Q2747">
        <v>20483.859999999993</v>
      </c>
    </row>
    <row r="2748" spans="7:17" x14ac:dyDescent="0.25">
      <c r="G2748" t="str">
        <f t="shared" si="42"/>
        <v/>
      </c>
      <c r="H2748" t="s">
        <v>47</v>
      </c>
      <c r="I2748" t="s">
        <v>11</v>
      </c>
      <c r="J2748" t="s">
        <v>3</v>
      </c>
      <c r="K2748" t="s">
        <v>26</v>
      </c>
      <c r="L2748" t="s">
        <v>39</v>
      </c>
      <c r="M2748" t="s">
        <v>20</v>
      </c>
      <c r="N2748">
        <v>43</v>
      </c>
      <c r="O2748">
        <v>16</v>
      </c>
      <c r="P2748">
        <v>43497.500000000015</v>
      </c>
      <c r="Q2748">
        <v>0</v>
      </c>
    </row>
    <row r="2749" spans="7:17" x14ac:dyDescent="0.25">
      <c r="G2749" t="str">
        <f t="shared" si="42"/>
        <v/>
      </c>
      <c r="H2749" t="s">
        <v>47</v>
      </c>
      <c r="I2749" t="s">
        <v>11</v>
      </c>
      <c r="J2749" t="s">
        <v>3</v>
      </c>
      <c r="K2749" t="s">
        <v>26</v>
      </c>
      <c r="L2749" t="s">
        <v>40</v>
      </c>
      <c r="M2749" t="s">
        <v>19</v>
      </c>
      <c r="N2749">
        <v>3</v>
      </c>
      <c r="O2749">
        <v>1</v>
      </c>
      <c r="P2749">
        <v>2341.34</v>
      </c>
      <c r="Q2749">
        <v>1969.47</v>
      </c>
    </row>
    <row r="2750" spans="7:17" x14ac:dyDescent="0.25">
      <c r="G2750" t="str">
        <f t="shared" si="42"/>
        <v/>
      </c>
      <c r="H2750" t="s">
        <v>47</v>
      </c>
      <c r="I2750" t="s">
        <v>11</v>
      </c>
      <c r="J2750" t="s">
        <v>3</v>
      </c>
      <c r="K2750" t="s">
        <v>26</v>
      </c>
      <c r="L2750" t="s">
        <v>40</v>
      </c>
      <c r="M2750" t="s">
        <v>20</v>
      </c>
      <c r="N2750">
        <v>10</v>
      </c>
      <c r="O2750">
        <v>3</v>
      </c>
      <c r="P2750">
        <v>12698.7</v>
      </c>
      <c r="Q2750">
        <v>0</v>
      </c>
    </row>
    <row r="2751" spans="7:17" x14ac:dyDescent="0.25">
      <c r="G2751" t="str">
        <f t="shared" si="42"/>
        <v/>
      </c>
      <c r="H2751" t="s">
        <v>47</v>
      </c>
      <c r="I2751" t="s">
        <v>11</v>
      </c>
      <c r="J2751" t="s">
        <v>3</v>
      </c>
      <c r="K2751" t="s">
        <v>26</v>
      </c>
      <c r="L2751" t="s">
        <v>41</v>
      </c>
      <c r="M2751" t="s">
        <v>19</v>
      </c>
      <c r="N2751">
        <v>2</v>
      </c>
      <c r="O2751">
        <v>1</v>
      </c>
      <c r="P2751">
        <v>1.03</v>
      </c>
      <c r="Q2751">
        <v>1.03</v>
      </c>
    </row>
    <row r="2752" spans="7:17" x14ac:dyDescent="0.25">
      <c r="G2752" t="str">
        <f t="shared" si="42"/>
        <v/>
      </c>
      <c r="H2752" t="s">
        <v>47</v>
      </c>
      <c r="I2752" t="s">
        <v>11</v>
      </c>
      <c r="J2752" t="s">
        <v>3</v>
      </c>
      <c r="K2752" t="s">
        <v>26</v>
      </c>
      <c r="L2752" t="s">
        <v>41</v>
      </c>
      <c r="M2752" t="s">
        <v>20</v>
      </c>
      <c r="N2752">
        <v>7</v>
      </c>
      <c r="O2752">
        <v>1</v>
      </c>
      <c r="P2752">
        <v>6631.2699999999986</v>
      </c>
      <c r="Q2752">
        <v>0</v>
      </c>
    </row>
    <row r="2753" spans="7:17" x14ac:dyDescent="0.25">
      <c r="G2753" t="str">
        <f t="shared" si="42"/>
        <v/>
      </c>
      <c r="H2753" t="s">
        <v>47</v>
      </c>
      <c r="I2753" t="s">
        <v>11</v>
      </c>
      <c r="J2753" t="s">
        <v>3</v>
      </c>
      <c r="K2753" t="s">
        <v>26</v>
      </c>
      <c r="L2753" t="s">
        <v>45</v>
      </c>
      <c r="M2753" t="s">
        <v>20</v>
      </c>
      <c r="N2753">
        <v>95</v>
      </c>
      <c r="O2753">
        <v>24</v>
      </c>
      <c r="P2753">
        <v>46804.290000000008</v>
      </c>
      <c r="Q2753">
        <v>0</v>
      </c>
    </row>
    <row r="2754" spans="7:17" x14ac:dyDescent="0.25">
      <c r="G2754" t="str">
        <f t="shared" ref="G2754:G2817" si="43">IF(G$1="Overall","Overall",IF(G$1=L2754,L2754,""))</f>
        <v/>
      </c>
      <c r="H2754" t="s">
        <v>47</v>
      </c>
      <c r="I2754" t="s">
        <v>11</v>
      </c>
      <c r="J2754" t="s">
        <v>3</v>
      </c>
      <c r="K2754" t="s">
        <v>27</v>
      </c>
      <c r="L2754" t="s">
        <v>42</v>
      </c>
      <c r="M2754" t="s">
        <v>19</v>
      </c>
      <c r="N2754">
        <v>153</v>
      </c>
      <c r="O2754">
        <v>12</v>
      </c>
      <c r="P2754">
        <v>17526.809999999994</v>
      </c>
      <c r="Q2754">
        <v>16893.999999999993</v>
      </c>
    </row>
    <row r="2755" spans="7:17" x14ac:dyDescent="0.25">
      <c r="G2755" t="str">
        <f t="shared" si="43"/>
        <v/>
      </c>
      <c r="H2755" t="s">
        <v>47</v>
      </c>
      <c r="I2755" t="s">
        <v>11</v>
      </c>
      <c r="J2755" t="s">
        <v>3</v>
      </c>
      <c r="K2755" t="s">
        <v>27</v>
      </c>
      <c r="L2755" t="s">
        <v>42</v>
      </c>
      <c r="M2755" t="s">
        <v>20</v>
      </c>
      <c r="N2755">
        <v>10</v>
      </c>
      <c r="O2755">
        <v>1</v>
      </c>
      <c r="P2755">
        <v>2395.29</v>
      </c>
      <c r="Q2755">
        <v>0</v>
      </c>
    </row>
    <row r="2756" spans="7:17" x14ac:dyDescent="0.25">
      <c r="G2756" t="str">
        <f t="shared" si="43"/>
        <v/>
      </c>
      <c r="H2756" t="s">
        <v>47</v>
      </c>
      <c r="I2756" t="s">
        <v>11</v>
      </c>
      <c r="J2756" t="s">
        <v>3</v>
      </c>
      <c r="K2756" t="s">
        <v>27</v>
      </c>
      <c r="L2756" t="s">
        <v>43</v>
      </c>
      <c r="M2756" t="s">
        <v>19</v>
      </c>
      <c r="N2756">
        <v>85</v>
      </c>
      <c r="O2756">
        <v>4</v>
      </c>
      <c r="P2756">
        <v>33131.310000000012</v>
      </c>
      <c r="Q2756">
        <v>28543.139999999996</v>
      </c>
    </row>
    <row r="2757" spans="7:17" x14ac:dyDescent="0.25">
      <c r="G2757" t="str">
        <f t="shared" si="43"/>
        <v/>
      </c>
      <c r="H2757" t="s">
        <v>47</v>
      </c>
      <c r="I2757" t="s">
        <v>11</v>
      </c>
      <c r="J2757" t="s">
        <v>3</v>
      </c>
      <c r="K2757" t="s">
        <v>27</v>
      </c>
      <c r="L2757" t="s">
        <v>43</v>
      </c>
      <c r="M2757" t="s">
        <v>20</v>
      </c>
      <c r="N2757">
        <v>3</v>
      </c>
      <c r="O2757">
        <v>3</v>
      </c>
      <c r="P2757">
        <v>613.86</v>
      </c>
      <c r="Q2757">
        <v>0</v>
      </c>
    </row>
    <row r="2758" spans="7:17" x14ac:dyDescent="0.25">
      <c r="G2758" t="str">
        <f t="shared" si="43"/>
        <v/>
      </c>
      <c r="H2758" t="s">
        <v>47</v>
      </c>
      <c r="I2758" t="s">
        <v>11</v>
      </c>
      <c r="J2758" t="s">
        <v>3</v>
      </c>
      <c r="K2758" t="s">
        <v>27</v>
      </c>
      <c r="L2758" t="s">
        <v>44</v>
      </c>
      <c r="M2758" t="s">
        <v>19</v>
      </c>
      <c r="N2758">
        <v>8</v>
      </c>
      <c r="O2758">
        <v>1</v>
      </c>
      <c r="P2758">
        <v>7679.9</v>
      </c>
      <c r="Q2758">
        <v>6203.32</v>
      </c>
    </row>
    <row r="2759" spans="7:17" x14ac:dyDescent="0.25">
      <c r="G2759" t="str">
        <f t="shared" si="43"/>
        <v/>
      </c>
      <c r="H2759" t="s">
        <v>47</v>
      </c>
      <c r="I2759" t="s">
        <v>11</v>
      </c>
      <c r="J2759" t="s">
        <v>3</v>
      </c>
      <c r="K2759" t="s">
        <v>27</v>
      </c>
      <c r="L2759" t="s">
        <v>44</v>
      </c>
      <c r="M2759" t="s">
        <v>20</v>
      </c>
      <c r="N2759">
        <v>10</v>
      </c>
      <c r="O2759">
        <v>3</v>
      </c>
      <c r="P2759">
        <v>876.9</v>
      </c>
      <c r="Q2759">
        <v>0</v>
      </c>
    </row>
    <row r="2760" spans="7:17" x14ac:dyDescent="0.25">
      <c r="G2760" t="str">
        <f t="shared" si="43"/>
        <v/>
      </c>
      <c r="H2760" t="s">
        <v>47</v>
      </c>
      <c r="I2760" t="s">
        <v>11</v>
      </c>
      <c r="J2760" t="s">
        <v>3</v>
      </c>
      <c r="K2760" t="s">
        <v>27</v>
      </c>
      <c r="L2760" t="s">
        <v>39</v>
      </c>
      <c r="M2760" t="s">
        <v>19</v>
      </c>
      <c r="N2760">
        <v>6</v>
      </c>
      <c r="O2760">
        <v>1</v>
      </c>
      <c r="P2760">
        <v>5819.53</v>
      </c>
      <c r="Q2760">
        <v>5459.41</v>
      </c>
    </row>
    <row r="2761" spans="7:17" x14ac:dyDescent="0.25">
      <c r="G2761" t="str">
        <f t="shared" si="43"/>
        <v/>
      </c>
      <c r="H2761" t="s">
        <v>47</v>
      </c>
      <c r="I2761" t="s">
        <v>11</v>
      </c>
      <c r="J2761" t="s">
        <v>3</v>
      </c>
      <c r="K2761" t="s">
        <v>27</v>
      </c>
      <c r="L2761" t="s">
        <v>39</v>
      </c>
      <c r="M2761" t="s">
        <v>20</v>
      </c>
      <c r="N2761">
        <v>24</v>
      </c>
      <c r="O2761">
        <v>5</v>
      </c>
      <c r="P2761">
        <v>5679.1399999999994</v>
      </c>
      <c r="Q2761">
        <v>0</v>
      </c>
    </row>
    <row r="2762" spans="7:17" x14ac:dyDescent="0.25">
      <c r="G2762" t="str">
        <f t="shared" si="43"/>
        <v/>
      </c>
      <c r="H2762" t="s">
        <v>47</v>
      </c>
      <c r="I2762" t="s">
        <v>11</v>
      </c>
      <c r="J2762" t="s">
        <v>3</v>
      </c>
      <c r="K2762" t="s">
        <v>27</v>
      </c>
      <c r="L2762" t="s">
        <v>40</v>
      </c>
      <c r="M2762" t="s">
        <v>19</v>
      </c>
      <c r="N2762">
        <v>3</v>
      </c>
      <c r="O2762">
        <v>0</v>
      </c>
      <c r="P2762">
        <v>944.94</v>
      </c>
      <c r="Q2762">
        <v>191.48</v>
      </c>
    </row>
    <row r="2763" spans="7:17" x14ac:dyDescent="0.25">
      <c r="G2763" t="str">
        <f t="shared" si="43"/>
        <v/>
      </c>
      <c r="H2763" t="s">
        <v>47</v>
      </c>
      <c r="I2763" t="s">
        <v>11</v>
      </c>
      <c r="J2763" t="s">
        <v>3</v>
      </c>
      <c r="K2763" t="s">
        <v>27</v>
      </c>
      <c r="L2763" t="s">
        <v>40</v>
      </c>
      <c r="M2763" t="s">
        <v>20</v>
      </c>
      <c r="N2763">
        <v>3</v>
      </c>
      <c r="O2763">
        <v>0</v>
      </c>
      <c r="P2763">
        <v>943.99</v>
      </c>
      <c r="Q2763">
        <v>0</v>
      </c>
    </row>
    <row r="2764" spans="7:17" x14ac:dyDescent="0.25">
      <c r="G2764" t="str">
        <f t="shared" si="43"/>
        <v/>
      </c>
      <c r="H2764" t="s">
        <v>47</v>
      </c>
      <c r="I2764" t="s">
        <v>11</v>
      </c>
      <c r="J2764" t="s">
        <v>3</v>
      </c>
      <c r="K2764" t="s">
        <v>27</v>
      </c>
      <c r="L2764" t="s">
        <v>41</v>
      </c>
      <c r="M2764" t="s">
        <v>19</v>
      </c>
      <c r="N2764">
        <v>1</v>
      </c>
      <c r="O2764">
        <v>0</v>
      </c>
      <c r="P2764">
        <v>1177.6400000000001</v>
      </c>
      <c r="Q2764">
        <v>97.46</v>
      </c>
    </row>
    <row r="2765" spans="7:17" x14ac:dyDescent="0.25">
      <c r="G2765" t="str">
        <f t="shared" si="43"/>
        <v/>
      </c>
      <c r="H2765" t="s">
        <v>47</v>
      </c>
      <c r="I2765" t="s">
        <v>11</v>
      </c>
      <c r="J2765" t="s">
        <v>3</v>
      </c>
      <c r="K2765" t="s">
        <v>27</v>
      </c>
      <c r="L2765" t="s">
        <v>41</v>
      </c>
      <c r="M2765" t="s">
        <v>20</v>
      </c>
      <c r="N2765">
        <v>2</v>
      </c>
      <c r="O2765">
        <v>0</v>
      </c>
      <c r="P2765">
        <v>483.5</v>
      </c>
      <c r="Q2765">
        <v>0</v>
      </c>
    </row>
    <row r="2766" spans="7:17" x14ac:dyDescent="0.25">
      <c r="G2766" t="str">
        <f t="shared" si="43"/>
        <v/>
      </c>
      <c r="H2766" t="s">
        <v>47</v>
      </c>
      <c r="I2766" t="s">
        <v>11</v>
      </c>
      <c r="J2766" t="s">
        <v>3</v>
      </c>
      <c r="K2766" t="s">
        <v>27</v>
      </c>
      <c r="L2766" t="s">
        <v>45</v>
      </c>
      <c r="M2766" t="s">
        <v>19</v>
      </c>
      <c r="N2766">
        <v>10</v>
      </c>
      <c r="O2766">
        <v>0</v>
      </c>
      <c r="P2766">
        <v>6725.94</v>
      </c>
      <c r="Q2766">
        <v>6299.2999999999993</v>
      </c>
    </row>
    <row r="2767" spans="7:17" x14ac:dyDescent="0.25">
      <c r="G2767" t="str">
        <f t="shared" si="43"/>
        <v/>
      </c>
      <c r="H2767" t="s">
        <v>47</v>
      </c>
      <c r="I2767" t="s">
        <v>11</v>
      </c>
      <c r="J2767" t="s">
        <v>3</v>
      </c>
      <c r="K2767" t="s">
        <v>27</v>
      </c>
      <c r="L2767" t="s">
        <v>45</v>
      </c>
      <c r="M2767" t="s">
        <v>20</v>
      </c>
      <c r="N2767">
        <v>16</v>
      </c>
      <c r="O2767">
        <v>5</v>
      </c>
      <c r="P2767">
        <v>2392.92</v>
      </c>
      <c r="Q2767">
        <v>0</v>
      </c>
    </row>
    <row r="2768" spans="7:17" x14ac:dyDescent="0.25">
      <c r="G2768" t="str">
        <f t="shared" si="43"/>
        <v/>
      </c>
      <c r="H2768" t="s">
        <v>47</v>
      </c>
      <c r="I2768" t="s">
        <v>11</v>
      </c>
      <c r="J2768" t="s">
        <v>3</v>
      </c>
      <c r="K2768" t="s">
        <v>28</v>
      </c>
      <c r="L2768" t="s">
        <v>42</v>
      </c>
      <c r="M2768" t="s">
        <v>19</v>
      </c>
      <c r="N2768">
        <v>522</v>
      </c>
      <c r="O2768">
        <v>16</v>
      </c>
      <c r="P2768">
        <v>159532.33000000028</v>
      </c>
      <c r="Q2768">
        <v>134037.66000000012</v>
      </c>
    </row>
    <row r="2769" spans="7:17" x14ac:dyDescent="0.25">
      <c r="G2769" t="str">
        <f t="shared" si="43"/>
        <v/>
      </c>
      <c r="H2769" t="s">
        <v>47</v>
      </c>
      <c r="I2769" t="s">
        <v>11</v>
      </c>
      <c r="J2769" t="s">
        <v>3</v>
      </c>
      <c r="K2769" t="s">
        <v>28</v>
      </c>
      <c r="L2769" t="s">
        <v>42</v>
      </c>
      <c r="M2769" t="s">
        <v>20</v>
      </c>
      <c r="N2769">
        <v>71</v>
      </c>
      <c r="O2769">
        <v>5</v>
      </c>
      <c r="P2769">
        <v>22289.619999999981</v>
      </c>
      <c r="Q2769">
        <v>0</v>
      </c>
    </row>
    <row r="2770" spans="7:17" x14ac:dyDescent="0.25">
      <c r="G2770" t="str">
        <f t="shared" si="43"/>
        <v/>
      </c>
      <c r="H2770" t="s">
        <v>47</v>
      </c>
      <c r="I2770" t="s">
        <v>11</v>
      </c>
      <c r="J2770" t="s">
        <v>3</v>
      </c>
      <c r="K2770" t="s">
        <v>28</v>
      </c>
      <c r="L2770" t="s">
        <v>43</v>
      </c>
      <c r="M2770" t="s">
        <v>19</v>
      </c>
      <c r="N2770">
        <v>86</v>
      </c>
      <c r="O2770">
        <v>8</v>
      </c>
      <c r="P2770">
        <v>53466.569999999992</v>
      </c>
      <c r="Q2770">
        <v>41560.43</v>
      </c>
    </row>
    <row r="2771" spans="7:17" x14ac:dyDescent="0.25">
      <c r="G2771" t="str">
        <f t="shared" si="43"/>
        <v/>
      </c>
      <c r="H2771" t="s">
        <v>47</v>
      </c>
      <c r="I2771" t="s">
        <v>11</v>
      </c>
      <c r="J2771" t="s">
        <v>3</v>
      </c>
      <c r="K2771" t="s">
        <v>28</v>
      </c>
      <c r="L2771" t="s">
        <v>43</v>
      </c>
      <c r="M2771" t="s">
        <v>20</v>
      </c>
      <c r="N2771">
        <v>48</v>
      </c>
      <c r="O2771">
        <v>8</v>
      </c>
      <c r="P2771">
        <v>4468.4699999999993</v>
      </c>
      <c r="Q2771">
        <v>0</v>
      </c>
    </row>
    <row r="2772" spans="7:17" x14ac:dyDescent="0.25">
      <c r="G2772" t="str">
        <f t="shared" si="43"/>
        <v/>
      </c>
      <c r="H2772" t="s">
        <v>47</v>
      </c>
      <c r="I2772" t="s">
        <v>11</v>
      </c>
      <c r="J2772" t="s">
        <v>3</v>
      </c>
      <c r="K2772" t="s">
        <v>28</v>
      </c>
      <c r="L2772" t="s">
        <v>44</v>
      </c>
      <c r="M2772" t="s">
        <v>19</v>
      </c>
      <c r="N2772">
        <v>29</v>
      </c>
      <c r="O2772">
        <v>7</v>
      </c>
      <c r="P2772">
        <v>30537.54</v>
      </c>
      <c r="Q2772">
        <v>22819.09</v>
      </c>
    </row>
    <row r="2773" spans="7:17" x14ac:dyDescent="0.25">
      <c r="G2773" t="str">
        <f t="shared" si="43"/>
        <v/>
      </c>
      <c r="H2773" t="s">
        <v>47</v>
      </c>
      <c r="I2773" t="s">
        <v>11</v>
      </c>
      <c r="J2773" t="s">
        <v>3</v>
      </c>
      <c r="K2773" t="s">
        <v>28</v>
      </c>
      <c r="L2773" t="s">
        <v>44</v>
      </c>
      <c r="M2773" t="s">
        <v>20</v>
      </c>
      <c r="N2773">
        <v>15</v>
      </c>
      <c r="O2773">
        <v>7</v>
      </c>
      <c r="P2773">
        <v>8495.9900000000016</v>
      </c>
      <c r="Q2773">
        <v>0</v>
      </c>
    </row>
    <row r="2774" spans="7:17" x14ac:dyDescent="0.25">
      <c r="G2774" t="str">
        <f t="shared" si="43"/>
        <v/>
      </c>
      <c r="H2774" t="s">
        <v>47</v>
      </c>
      <c r="I2774" t="s">
        <v>11</v>
      </c>
      <c r="J2774" t="s">
        <v>3</v>
      </c>
      <c r="K2774" t="s">
        <v>28</v>
      </c>
      <c r="L2774" t="s">
        <v>39</v>
      </c>
      <c r="M2774" t="s">
        <v>19</v>
      </c>
      <c r="N2774">
        <v>9</v>
      </c>
      <c r="O2774">
        <v>3</v>
      </c>
      <c r="P2774">
        <v>10432.64</v>
      </c>
      <c r="Q2774">
        <v>8244.98</v>
      </c>
    </row>
    <row r="2775" spans="7:17" x14ac:dyDescent="0.25">
      <c r="G2775" t="str">
        <f t="shared" si="43"/>
        <v/>
      </c>
      <c r="H2775" t="s">
        <v>47</v>
      </c>
      <c r="I2775" t="s">
        <v>11</v>
      </c>
      <c r="J2775" t="s">
        <v>3</v>
      </c>
      <c r="K2775" t="s">
        <v>28</v>
      </c>
      <c r="L2775" t="s">
        <v>39</v>
      </c>
      <c r="M2775" t="s">
        <v>20</v>
      </c>
      <c r="N2775">
        <v>12</v>
      </c>
      <c r="O2775">
        <v>8</v>
      </c>
      <c r="P2775">
        <v>13336.62</v>
      </c>
      <c r="Q2775">
        <v>0</v>
      </c>
    </row>
    <row r="2776" spans="7:17" x14ac:dyDescent="0.25">
      <c r="G2776" t="str">
        <f t="shared" si="43"/>
        <v/>
      </c>
      <c r="H2776" t="s">
        <v>47</v>
      </c>
      <c r="I2776" t="s">
        <v>11</v>
      </c>
      <c r="J2776" t="s">
        <v>3</v>
      </c>
      <c r="K2776" t="s">
        <v>28</v>
      </c>
      <c r="L2776" t="s">
        <v>40</v>
      </c>
      <c r="M2776" t="s">
        <v>19</v>
      </c>
      <c r="N2776">
        <v>1</v>
      </c>
      <c r="O2776">
        <v>0</v>
      </c>
      <c r="P2776">
        <v>1217.73</v>
      </c>
      <c r="Q2776">
        <v>320</v>
      </c>
    </row>
    <row r="2777" spans="7:17" x14ac:dyDescent="0.25">
      <c r="G2777" t="str">
        <f t="shared" si="43"/>
        <v/>
      </c>
      <c r="H2777" t="s">
        <v>47</v>
      </c>
      <c r="I2777" t="s">
        <v>11</v>
      </c>
      <c r="J2777" t="s">
        <v>3</v>
      </c>
      <c r="K2777" t="s">
        <v>28</v>
      </c>
      <c r="L2777" t="s">
        <v>40</v>
      </c>
      <c r="M2777" t="s">
        <v>20</v>
      </c>
      <c r="N2777">
        <v>4</v>
      </c>
      <c r="O2777">
        <v>0</v>
      </c>
      <c r="P2777">
        <v>4626.2</v>
      </c>
      <c r="Q2777">
        <v>0</v>
      </c>
    </row>
    <row r="2778" spans="7:17" x14ac:dyDescent="0.25">
      <c r="G2778" t="str">
        <f t="shared" si="43"/>
        <v/>
      </c>
      <c r="H2778" t="s">
        <v>47</v>
      </c>
      <c r="I2778" t="s">
        <v>11</v>
      </c>
      <c r="J2778" t="s">
        <v>3</v>
      </c>
      <c r="K2778" t="s">
        <v>28</v>
      </c>
      <c r="L2778" t="s">
        <v>41</v>
      </c>
      <c r="M2778" t="s">
        <v>20</v>
      </c>
      <c r="N2778">
        <v>7</v>
      </c>
      <c r="O2778">
        <v>2</v>
      </c>
      <c r="P2778">
        <v>2733.93</v>
      </c>
      <c r="Q2778">
        <v>0</v>
      </c>
    </row>
    <row r="2779" spans="7:17" x14ac:dyDescent="0.25">
      <c r="G2779" t="str">
        <f t="shared" si="43"/>
        <v/>
      </c>
      <c r="H2779" t="s">
        <v>47</v>
      </c>
      <c r="I2779" t="s">
        <v>11</v>
      </c>
      <c r="J2779" t="s">
        <v>3</v>
      </c>
      <c r="K2779" t="s">
        <v>28</v>
      </c>
      <c r="L2779" t="s">
        <v>45</v>
      </c>
      <c r="M2779" t="s">
        <v>20</v>
      </c>
      <c r="N2779">
        <v>36</v>
      </c>
      <c r="O2779">
        <v>8</v>
      </c>
      <c r="P2779">
        <v>24568.12</v>
      </c>
      <c r="Q2779">
        <v>0</v>
      </c>
    </row>
    <row r="2780" spans="7:17" x14ac:dyDescent="0.25">
      <c r="G2780" t="str">
        <f t="shared" si="43"/>
        <v/>
      </c>
      <c r="H2780" t="s">
        <v>47</v>
      </c>
      <c r="I2780" t="s">
        <v>11</v>
      </c>
      <c r="J2780" t="s">
        <v>3</v>
      </c>
      <c r="K2780" t="s">
        <v>29</v>
      </c>
      <c r="L2780" t="s">
        <v>42</v>
      </c>
      <c r="M2780" t="s">
        <v>19</v>
      </c>
      <c r="N2780">
        <v>226</v>
      </c>
      <c r="O2780">
        <v>10</v>
      </c>
      <c r="P2780">
        <v>50044.079999999987</v>
      </c>
      <c r="Q2780">
        <v>50034.229999999989</v>
      </c>
    </row>
    <row r="2781" spans="7:17" x14ac:dyDescent="0.25">
      <c r="G2781" t="str">
        <f t="shared" si="43"/>
        <v/>
      </c>
      <c r="H2781" t="s">
        <v>47</v>
      </c>
      <c r="I2781" t="s">
        <v>11</v>
      </c>
      <c r="J2781" t="s">
        <v>3</v>
      </c>
      <c r="K2781" t="s">
        <v>29</v>
      </c>
      <c r="L2781" t="s">
        <v>42</v>
      </c>
      <c r="M2781" t="s">
        <v>20</v>
      </c>
      <c r="N2781">
        <v>48</v>
      </c>
      <c r="O2781">
        <v>3</v>
      </c>
      <c r="P2781">
        <v>5349.5700000000061</v>
      </c>
      <c r="Q2781">
        <v>0</v>
      </c>
    </row>
    <row r="2782" spans="7:17" x14ac:dyDescent="0.25">
      <c r="G2782" t="str">
        <f t="shared" si="43"/>
        <v/>
      </c>
      <c r="H2782" t="s">
        <v>47</v>
      </c>
      <c r="I2782" t="s">
        <v>11</v>
      </c>
      <c r="J2782" t="s">
        <v>3</v>
      </c>
      <c r="K2782" t="s">
        <v>29</v>
      </c>
      <c r="L2782" t="s">
        <v>43</v>
      </c>
      <c r="M2782" t="s">
        <v>19</v>
      </c>
      <c r="N2782">
        <v>98</v>
      </c>
      <c r="O2782">
        <v>10</v>
      </c>
      <c r="P2782">
        <v>37510.480000000003</v>
      </c>
      <c r="Q2782">
        <v>36162.160000000003</v>
      </c>
    </row>
    <row r="2783" spans="7:17" x14ac:dyDescent="0.25">
      <c r="G2783" t="str">
        <f t="shared" si="43"/>
        <v/>
      </c>
      <c r="H2783" t="s">
        <v>47</v>
      </c>
      <c r="I2783" t="s">
        <v>11</v>
      </c>
      <c r="J2783" t="s">
        <v>3</v>
      </c>
      <c r="K2783" t="s">
        <v>29</v>
      </c>
      <c r="L2783" t="s">
        <v>43</v>
      </c>
      <c r="M2783" t="s">
        <v>20</v>
      </c>
      <c r="N2783">
        <v>73</v>
      </c>
      <c r="O2783">
        <v>4</v>
      </c>
      <c r="P2783">
        <v>19932.96</v>
      </c>
      <c r="Q2783">
        <v>0</v>
      </c>
    </row>
    <row r="2784" spans="7:17" x14ac:dyDescent="0.25">
      <c r="G2784" t="str">
        <f t="shared" si="43"/>
        <v/>
      </c>
      <c r="H2784" t="s">
        <v>47</v>
      </c>
      <c r="I2784" t="s">
        <v>11</v>
      </c>
      <c r="J2784" t="s">
        <v>3</v>
      </c>
      <c r="K2784" t="s">
        <v>29</v>
      </c>
      <c r="L2784" t="s">
        <v>44</v>
      </c>
      <c r="M2784" t="s">
        <v>19</v>
      </c>
      <c r="N2784">
        <v>15</v>
      </c>
      <c r="O2784">
        <v>4</v>
      </c>
      <c r="P2784">
        <v>18201.22</v>
      </c>
      <c r="Q2784">
        <v>7733.16</v>
      </c>
    </row>
    <row r="2785" spans="7:17" x14ac:dyDescent="0.25">
      <c r="G2785" t="str">
        <f t="shared" si="43"/>
        <v/>
      </c>
      <c r="H2785" t="s">
        <v>47</v>
      </c>
      <c r="I2785" t="s">
        <v>11</v>
      </c>
      <c r="J2785" t="s">
        <v>3</v>
      </c>
      <c r="K2785" t="s">
        <v>29</v>
      </c>
      <c r="L2785" t="s">
        <v>44</v>
      </c>
      <c r="M2785" t="s">
        <v>20</v>
      </c>
      <c r="N2785">
        <v>27</v>
      </c>
      <c r="O2785">
        <v>2</v>
      </c>
      <c r="P2785">
        <v>3006.429999999998</v>
      </c>
      <c r="Q2785">
        <v>0</v>
      </c>
    </row>
    <row r="2786" spans="7:17" x14ac:dyDescent="0.25">
      <c r="G2786" t="str">
        <f t="shared" si="43"/>
        <v/>
      </c>
      <c r="H2786" t="s">
        <v>47</v>
      </c>
      <c r="I2786" t="s">
        <v>11</v>
      </c>
      <c r="J2786" t="s">
        <v>3</v>
      </c>
      <c r="K2786" t="s">
        <v>29</v>
      </c>
      <c r="L2786" t="s">
        <v>39</v>
      </c>
      <c r="M2786" t="s">
        <v>19</v>
      </c>
      <c r="N2786">
        <v>6</v>
      </c>
      <c r="O2786">
        <v>5</v>
      </c>
      <c r="P2786">
        <v>9903.7999999999993</v>
      </c>
      <c r="Q2786">
        <v>9903.7999999999993</v>
      </c>
    </row>
    <row r="2787" spans="7:17" x14ac:dyDescent="0.25">
      <c r="G2787" t="str">
        <f t="shared" si="43"/>
        <v/>
      </c>
      <c r="H2787" t="s">
        <v>47</v>
      </c>
      <c r="I2787" t="s">
        <v>11</v>
      </c>
      <c r="J2787" t="s">
        <v>3</v>
      </c>
      <c r="K2787" t="s">
        <v>29</v>
      </c>
      <c r="L2787" t="s">
        <v>39</v>
      </c>
      <c r="M2787" t="s">
        <v>20</v>
      </c>
      <c r="N2787">
        <v>18</v>
      </c>
      <c r="O2787">
        <v>7</v>
      </c>
      <c r="P2787">
        <v>17085.190000000002</v>
      </c>
      <c r="Q2787">
        <v>0</v>
      </c>
    </row>
    <row r="2788" spans="7:17" x14ac:dyDescent="0.25">
      <c r="G2788" t="str">
        <f t="shared" si="43"/>
        <v/>
      </c>
      <c r="H2788" t="s">
        <v>47</v>
      </c>
      <c r="I2788" t="s">
        <v>11</v>
      </c>
      <c r="J2788" t="s">
        <v>3</v>
      </c>
      <c r="K2788" t="s">
        <v>29</v>
      </c>
      <c r="L2788" t="s">
        <v>40</v>
      </c>
      <c r="M2788" t="s">
        <v>20</v>
      </c>
      <c r="N2788">
        <v>7</v>
      </c>
      <c r="O2788">
        <v>0</v>
      </c>
      <c r="P2788">
        <v>4386.05</v>
      </c>
      <c r="Q2788">
        <v>0</v>
      </c>
    </row>
    <row r="2789" spans="7:17" x14ac:dyDescent="0.25">
      <c r="G2789" t="str">
        <f t="shared" si="43"/>
        <v/>
      </c>
      <c r="H2789" t="s">
        <v>47</v>
      </c>
      <c r="I2789" t="s">
        <v>11</v>
      </c>
      <c r="J2789" t="s">
        <v>3</v>
      </c>
      <c r="K2789" t="s">
        <v>29</v>
      </c>
      <c r="L2789" t="s">
        <v>45</v>
      </c>
      <c r="M2789" t="s">
        <v>19</v>
      </c>
      <c r="N2789">
        <v>2</v>
      </c>
      <c r="O2789">
        <v>1</v>
      </c>
      <c r="P2789">
        <v>1671.67</v>
      </c>
      <c r="Q2789">
        <v>1671.67</v>
      </c>
    </row>
    <row r="2790" spans="7:17" x14ac:dyDescent="0.25">
      <c r="G2790" t="str">
        <f t="shared" si="43"/>
        <v/>
      </c>
      <c r="H2790" t="s">
        <v>47</v>
      </c>
      <c r="I2790" t="s">
        <v>11</v>
      </c>
      <c r="J2790" t="s">
        <v>3</v>
      </c>
      <c r="K2790" t="s">
        <v>29</v>
      </c>
      <c r="L2790" t="s">
        <v>45</v>
      </c>
      <c r="M2790" t="s">
        <v>20</v>
      </c>
      <c r="N2790">
        <v>40</v>
      </c>
      <c r="O2790">
        <v>7</v>
      </c>
      <c r="P2790">
        <v>10606.929999999998</v>
      </c>
      <c r="Q2790">
        <v>0</v>
      </c>
    </row>
    <row r="2791" spans="7:17" x14ac:dyDescent="0.25">
      <c r="G2791" t="str">
        <f t="shared" si="43"/>
        <v/>
      </c>
      <c r="H2791" t="s">
        <v>47</v>
      </c>
      <c r="I2791" t="s">
        <v>11</v>
      </c>
      <c r="J2791" t="s">
        <v>3</v>
      </c>
      <c r="K2791" t="s">
        <v>30</v>
      </c>
      <c r="L2791" t="s">
        <v>42</v>
      </c>
      <c r="M2791" t="s">
        <v>19</v>
      </c>
      <c r="N2791">
        <v>27</v>
      </c>
      <c r="O2791">
        <v>2</v>
      </c>
      <c r="P2791">
        <v>7245.380000000001</v>
      </c>
      <c r="Q2791">
        <v>6041.6600000000017</v>
      </c>
    </row>
    <row r="2792" spans="7:17" x14ac:dyDescent="0.25">
      <c r="G2792" t="str">
        <f t="shared" si="43"/>
        <v/>
      </c>
      <c r="H2792" t="s">
        <v>47</v>
      </c>
      <c r="I2792" t="s">
        <v>11</v>
      </c>
      <c r="J2792" t="s">
        <v>3</v>
      </c>
      <c r="K2792" t="s">
        <v>30</v>
      </c>
      <c r="L2792" t="s">
        <v>42</v>
      </c>
      <c r="M2792" t="s">
        <v>20</v>
      </c>
      <c r="N2792">
        <v>9</v>
      </c>
      <c r="O2792">
        <v>0</v>
      </c>
      <c r="P2792">
        <v>4533.2299999999996</v>
      </c>
      <c r="Q2792">
        <v>0</v>
      </c>
    </row>
    <row r="2793" spans="7:17" x14ac:dyDescent="0.25">
      <c r="G2793" t="str">
        <f t="shared" si="43"/>
        <v/>
      </c>
      <c r="H2793" t="s">
        <v>47</v>
      </c>
      <c r="I2793" t="s">
        <v>11</v>
      </c>
      <c r="J2793" t="s">
        <v>3</v>
      </c>
      <c r="K2793" t="s">
        <v>30</v>
      </c>
      <c r="L2793" t="s">
        <v>43</v>
      </c>
      <c r="M2793" t="s">
        <v>19</v>
      </c>
      <c r="N2793">
        <v>26</v>
      </c>
      <c r="O2793">
        <v>0</v>
      </c>
      <c r="P2793">
        <v>25875.249999999993</v>
      </c>
      <c r="Q2793">
        <v>4628.83</v>
      </c>
    </row>
    <row r="2794" spans="7:17" x14ac:dyDescent="0.25">
      <c r="G2794" t="str">
        <f t="shared" si="43"/>
        <v/>
      </c>
      <c r="H2794" t="s">
        <v>47</v>
      </c>
      <c r="I2794" t="s">
        <v>11</v>
      </c>
      <c r="J2794" t="s">
        <v>3</v>
      </c>
      <c r="K2794" t="s">
        <v>30</v>
      </c>
      <c r="L2794" t="s">
        <v>43</v>
      </c>
      <c r="M2794" t="s">
        <v>20</v>
      </c>
      <c r="N2794">
        <v>5</v>
      </c>
      <c r="O2794">
        <v>1</v>
      </c>
      <c r="P2794">
        <v>6630.3499999999995</v>
      </c>
      <c r="Q2794">
        <v>0</v>
      </c>
    </row>
    <row r="2795" spans="7:17" x14ac:dyDescent="0.25">
      <c r="G2795" t="str">
        <f t="shared" si="43"/>
        <v/>
      </c>
      <c r="H2795" t="s">
        <v>47</v>
      </c>
      <c r="I2795" t="s">
        <v>11</v>
      </c>
      <c r="J2795" t="s">
        <v>3</v>
      </c>
      <c r="K2795" t="s">
        <v>30</v>
      </c>
      <c r="L2795" t="s">
        <v>44</v>
      </c>
      <c r="M2795" t="s">
        <v>19</v>
      </c>
      <c r="N2795">
        <v>1</v>
      </c>
      <c r="O2795">
        <v>0</v>
      </c>
      <c r="P2795">
        <v>1178.27</v>
      </c>
      <c r="Q2795">
        <v>1152.56</v>
      </c>
    </row>
    <row r="2796" spans="7:17" x14ac:dyDescent="0.25">
      <c r="G2796" t="str">
        <f t="shared" si="43"/>
        <v/>
      </c>
      <c r="H2796" t="s">
        <v>47</v>
      </c>
      <c r="I2796" t="s">
        <v>11</v>
      </c>
      <c r="J2796" t="s">
        <v>3</v>
      </c>
      <c r="K2796" t="s">
        <v>30</v>
      </c>
      <c r="L2796" t="s">
        <v>39</v>
      </c>
      <c r="M2796" t="s">
        <v>19</v>
      </c>
      <c r="N2796">
        <v>3</v>
      </c>
      <c r="O2796">
        <v>1</v>
      </c>
      <c r="P2796">
        <v>3559.46</v>
      </c>
      <c r="Q2796">
        <v>2017.96</v>
      </c>
    </row>
    <row r="2797" spans="7:17" x14ac:dyDescent="0.25">
      <c r="G2797" t="str">
        <f t="shared" si="43"/>
        <v/>
      </c>
      <c r="H2797" t="s">
        <v>47</v>
      </c>
      <c r="I2797" t="s">
        <v>11</v>
      </c>
      <c r="J2797" t="s">
        <v>3</v>
      </c>
      <c r="K2797" t="s">
        <v>30</v>
      </c>
      <c r="L2797" t="s">
        <v>41</v>
      </c>
      <c r="M2797" t="s">
        <v>20</v>
      </c>
      <c r="N2797">
        <v>1</v>
      </c>
      <c r="O2797">
        <v>0</v>
      </c>
      <c r="P2797">
        <v>7.0000000000000007E-2</v>
      </c>
      <c r="Q2797">
        <v>0</v>
      </c>
    </row>
    <row r="2798" spans="7:17" x14ac:dyDescent="0.25">
      <c r="G2798" t="str">
        <f t="shared" si="43"/>
        <v/>
      </c>
      <c r="H2798" t="s">
        <v>47</v>
      </c>
      <c r="I2798" t="s">
        <v>11</v>
      </c>
      <c r="J2798" t="s">
        <v>3</v>
      </c>
      <c r="K2798" t="s">
        <v>30</v>
      </c>
      <c r="L2798" t="s">
        <v>45</v>
      </c>
      <c r="M2798" t="s">
        <v>20</v>
      </c>
      <c r="N2798">
        <v>3</v>
      </c>
      <c r="O2798">
        <v>2</v>
      </c>
      <c r="P2798">
        <v>4143.08</v>
      </c>
      <c r="Q2798">
        <v>0</v>
      </c>
    </row>
    <row r="2799" spans="7:17" x14ac:dyDescent="0.25">
      <c r="G2799" t="str">
        <f t="shared" si="43"/>
        <v/>
      </c>
      <c r="H2799" t="s">
        <v>47</v>
      </c>
      <c r="I2799" t="s">
        <v>11</v>
      </c>
      <c r="J2799" t="s">
        <v>3</v>
      </c>
      <c r="K2799" t="s">
        <v>31</v>
      </c>
      <c r="L2799" t="s">
        <v>42</v>
      </c>
      <c r="M2799" t="s">
        <v>19</v>
      </c>
      <c r="N2799">
        <v>3</v>
      </c>
      <c r="O2799">
        <v>2</v>
      </c>
      <c r="P2799">
        <v>2229.37</v>
      </c>
      <c r="Q2799">
        <v>1539.62</v>
      </c>
    </row>
    <row r="2800" spans="7:17" x14ac:dyDescent="0.25">
      <c r="G2800" t="str">
        <f t="shared" si="43"/>
        <v/>
      </c>
      <c r="H2800" t="s">
        <v>47</v>
      </c>
      <c r="I2800" t="s">
        <v>11</v>
      </c>
      <c r="J2800" t="s">
        <v>3</v>
      </c>
      <c r="K2800" t="s">
        <v>31</v>
      </c>
      <c r="L2800" t="s">
        <v>42</v>
      </c>
      <c r="M2800" t="s">
        <v>20</v>
      </c>
      <c r="N2800">
        <v>7</v>
      </c>
      <c r="O2800">
        <v>0</v>
      </c>
      <c r="P2800">
        <v>3849.8</v>
      </c>
      <c r="Q2800">
        <v>0</v>
      </c>
    </row>
    <row r="2801" spans="7:17" x14ac:dyDescent="0.25">
      <c r="G2801" t="str">
        <f t="shared" si="43"/>
        <v/>
      </c>
      <c r="H2801" t="s">
        <v>47</v>
      </c>
      <c r="I2801" t="s">
        <v>11</v>
      </c>
      <c r="J2801" t="s">
        <v>3</v>
      </c>
      <c r="K2801" t="s">
        <v>31</v>
      </c>
      <c r="L2801" t="s">
        <v>43</v>
      </c>
      <c r="M2801" t="s">
        <v>19</v>
      </c>
      <c r="N2801">
        <v>1</v>
      </c>
      <c r="O2801">
        <v>1</v>
      </c>
      <c r="P2801">
        <v>1596.86</v>
      </c>
      <c r="Q2801">
        <v>1596.86</v>
      </c>
    </row>
    <row r="2802" spans="7:17" x14ac:dyDescent="0.25">
      <c r="G2802" t="str">
        <f t="shared" si="43"/>
        <v/>
      </c>
      <c r="H2802" t="s">
        <v>47</v>
      </c>
      <c r="I2802" t="s">
        <v>11</v>
      </c>
      <c r="J2802" t="s">
        <v>3</v>
      </c>
      <c r="K2802" t="s">
        <v>31</v>
      </c>
      <c r="L2802" t="s">
        <v>43</v>
      </c>
      <c r="M2802" t="s">
        <v>20</v>
      </c>
      <c r="N2802">
        <v>98</v>
      </c>
      <c r="O2802">
        <v>0</v>
      </c>
      <c r="P2802">
        <v>22747.170000000013</v>
      </c>
      <c r="Q2802">
        <v>0</v>
      </c>
    </row>
    <row r="2803" spans="7:17" x14ac:dyDescent="0.25">
      <c r="G2803" t="str">
        <f t="shared" si="43"/>
        <v/>
      </c>
      <c r="H2803" t="s">
        <v>47</v>
      </c>
      <c r="I2803" t="s">
        <v>11</v>
      </c>
      <c r="J2803" t="s">
        <v>3</v>
      </c>
      <c r="K2803" t="s">
        <v>31</v>
      </c>
      <c r="L2803" t="s">
        <v>39</v>
      </c>
      <c r="M2803" t="s">
        <v>20</v>
      </c>
      <c r="N2803">
        <v>1</v>
      </c>
      <c r="O2803">
        <v>1</v>
      </c>
      <c r="P2803">
        <v>585.24</v>
      </c>
      <c r="Q2803">
        <v>0</v>
      </c>
    </row>
    <row r="2804" spans="7:17" x14ac:dyDescent="0.25">
      <c r="G2804" t="str">
        <f t="shared" si="43"/>
        <v/>
      </c>
      <c r="H2804" t="s">
        <v>47</v>
      </c>
      <c r="I2804" t="s">
        <v>11</v>
      </c>
      <c r="J2804" t="s">
        <v>3</v>
      </c>
      <c r="K2804" t="s">
        <v>32</v>
      </c>
      <c r="L2804" t="s">
        <v>42</v>
      </c>
      <c r="M2804" t="s">
        <v>19</v>
      </c>
      <c r="N2804">
        <v>54</v>
      </c>
      <c r="O2804">
        <v>5</v>
      </c>
      <c r="P2804">
        <v>17955.129999999994</v>
      </c>
      <c r="Q2804">
        <v>17671.759999999995</v>
      </c>
    </row>
    <row r="2805" spans="7:17" x14ac:dyDescent="0.25">
      <c r="G2805" t="str">
        <f t="shared" si="43"/>
        <v/>
      </c>
      <c r="H2805" t="s">
        <v>47</v>
      </c>
      <c r="I2805" t="s">
        <v>11</v>
      </c>
      <c r="J2805" t="s">
        <v>3</v>
      </c>
      <c r="K2805" t="s">
        <v>32</v>
      </c>
      <c r="L2805" t="s">
        <v>42</v>
      </c>
      <c r="M2805" t="s">
        <v>20</v>
      </c>
      <c r="N2805">
        <v>15</v>
      </c>
      <c r="O2805">
        <v>0</v>
      </c>
      <c r="P2805">
        <v>1654.4599999999996</v>
      </c>
      <c r="Q2805">
        <v>0</v>
      </c>
    </row>
    <row r="2806" spans="7:17" x14ac:dyDescent="0.25">
      <c r="G2806" t="str">
        <f t="shared" si="43"/>
        <v/>
      </c>
      <c r="H2806" t="s">
        <v>47</v>
      </c>
      <c r="I2806" t="s">
        <v>11</v>
      </c>
      <c r="J2806" t="s">
        <v>3</v>
      </c>
      <c r="K2806" t="s">
        <v>32</v>
      </c>
      <c r="L2806" t="s">
        <v>43</v>
      </c>
      <c r="M2806" t="s">
        <v>19</v>
      </c>
      <c r="N2806">
        <v>169</v>
      </c>
      <c r="O2806">
        <v>0</v>
      </c>
      <c r="P2806">
        <v>102912.28999999996</v>
      </c>
      <c r="Q2806">
        <v>59763.21</v>
      </c>
    </row>
    <row r="2807" spans="7:17" x14ac:dyDescent="0.25">
      <c r="G2807" t="str">
        <f t="shared" si="43"/>
        <v/>
      </c>
      <c r="H2807" t="s">
        <v>47</v>
      </c>
      <c r="I2807" t="s">
        <v>11</v>
      </c>
      <c r="J2807" t="s">
        <v>3</v>
      </c>
      <c r="K2807" t="s">
        <v>32</v>
      </c>
      <c r="L2807" t="s">
        <v>43</v>
      </c>
      <c r="M2807" t="s">
        <v>20</v>
      </c>
      <c r="N2807">
        <v>8</v>
      </c>
      <c r="O2807">
        <v>1</v>
      </c>
      <c r="P2807">
        <v>5245.7</v>
      </c>
      <c r="Q2807">
        <v>0</v>
      </c>
    </row>
    <row r="2808" spans="7:17" x14ac:dyDescent="0.25">
      <c r="G2808" t="str">
        <f t="shared" si="43"/>
        <v/>
      </c>
      <c r="H2808" t="s">
        <v>47</v>
      </c>
      <c r="I2808" t="s">
        <v>11</v>
      </c>
      <c r="J2808" t="s">
        <v>3</v>
      </c>
      <c r="K2808" t="s">
        <v>32</v>
      </c>
      <c r="L2808" t="s">
        <v>44</v>
      </c>
      <c r="M2808" t="s">
        <v>19</v>
      </c>
      <c r="N2808">
        <v>9</v>
      </c>
      <c r="O2808">
        <v>1</v>
      </c>
      <c r="P2808">
        <v>8510.32</v>
      </c>
      <c r="Q2808">
        <v>4732.22</v>
      </c>
    </row>
    <row r="2809" spans="7:17" x14ac:dyDescent="0.25">
      <c r="G2809" t="str">
        <f t="shared" si="43"/>
        <v/>
      </c>
      <c r="H2809" t="s">
        <v>47</v>
      </c>
      <c r="I2809" t="s">
        <v>11</v>
      </c>
      <c r="J2809" t="s">
        <v>3</v>
      </c>
      <c r="K2809" t="s">
        <v>32</v>
      </c>
      <c r="L2809" t="s">
        <v>44</v>
      </c>
      <c r="M2809" t="s">
        <v>20</v>
      </c>
      <c r="N2809">
        <v>26</v>
      </c>
      <c r="O2809">
        <v>0</v>
      </c>
      <c r="P2809">
        <v>30404.880000000005</v>
      </c>
      <c r="Q2809">
        <v>0</v>
      </c>
    </row>
    <row r="2810" spans="7:17" x14ac:dyDescent="0.25">
      <c r="G2810" t="str">
        <f t="shared" si="43"/>
        <v/>
      </c>
      <c r="H2810" t="s">
        <v>47</v>
      </c>
      <c r="I2810" t="s">
        <v>11</v>
      </c>
      <c r="J2810" t="s">
        <v>3</v>
      </c>
      <c r="K2810" t="s">
        <v>32</v>
      </c>
      <c r="L2810" t="s">
        <v>39</v>
      </c>
      <c r="M2810" t="s">
        <v>19</v>
      </c>
      <c r="N2810">
        <v>1</v>
      </c>
      <c r="O2810">
        <v>1</v>
      </c>
      <c r="P2810">
        <v>1442.08</v>
      </c>
      <c r="Q2810">
        <v>686.08</v>
      </c>
    </row>
    <row r="2811" spans="7:17" x14ac:dyDescent="0.25">
      <c r="G2811" t="str">
        <f t="shared" si="43"/>
        <v/>
      </c>
      <c r="H2811" t="s">
        <v>47</v>
      </c>
      <c r="I2811" t="s">
        <v>11</v>
      </c>
      <c r="J2811" t="s">
        <v>3</v>
      </c>
      <c r="K2811" t="s">
        <v>32</v>
      </c>
      <c r="L2811" t="s">
        <v>39</v>
      </c>
      <c r="M2811" t="s">
        <v>20</v>
      </c>
      <c r="N2811">
        <v>1</v>
      </c>
      <c r="O2811">
        <v>0</v>
      </c>
      <c r="P2811">
        <v>1661.21</v>
      </c>
      <c r="Q2811">
        <v>0</v>
      </c>
    </row>
    <row r="2812" spans="7:17" x14ac:dyDescent="0.25">
      <c r="G2812" t="str">
        <f t="shared" si="43"/>
        <v/>
      </c>
      <c r="H2812" t="s">
        <v>47</v>
      </c>
      <c r="I2812" t="s">
        <v>11</v>
      </c>
      <c r="J2812" t="s">
        <v>3</v>
      </c>
      <c r="K2812" t="s">
        <v>32</v>
      </c>
      <c r="L2812" t="s">
        <v>45</v>
      </c>
      <c r="M2812" t="s">
        <v>20</v>
      </c>
      <c r="N2812">
        <v>6</v>
      </c>
      <c r="O2812">
        <v>2</v>
      </c>
      <c r="P2812">
        <v>1424.69</v>
      </c>
      <c r="Q2812">
        <v>0</v>
      </c>
    </row>
    <row r="2813" spans="7:17" x14ac:dyDescent="0.25">
      <c r="G2813" t="str">
        <f t="shared" si="43"/>
        <v/>
      </c>
      <c r="H2813" t="s">
        <v>47</v>
      </c>
      <c r="I2813" t="s">
        <v>11</v>
      </c>
      <c r="J2813" t="s">
        <v>3</v>
      </c>
      <c r="K2813" t="s">
        <v>33</v>
      </c>
      <c r="L2813" t="s">
        <v>42</v>
      </c>
      <c r="M2813" t="s">
        <v>19</v>
      </c>
      <c r="N2813">
        <v>456</v>
      </c>
      <c r="O2813">
        <v>11</v>
      </c>
      <c r="P2813">
        <v>111516.79000000027</v>
      </c>
      <c r="Q2813">
        <v>111460.30000000025</v>
      </c>
    </row>
    <row r="2814" spans="7:17" x14ac:dyDescent="0.25">
      <c r="G2814" t="str">
        <f t="shared" si="43"/>
        <v/>
      </c>
      <c r="H2814" t="s">
        <v>47</v>
      </c>
      <c r="I2814" t="s">
        <v>11</v>
      </c>
      <c r="J2814" t="s">
        <v>3</v>
      </c>
      <c r="K2814" t="s">
        <v>33</v>
      </c>
      <c r="L2814" t="s">
        <v>42</v>
      </c>
      <c r="M2814" t="s">
        <v>20</v>
      </c>
      <c r="N2814">
        <v>40</v>
      </c>
      <c r="O2814">
        <v>3</v>
      </c>
      <c r="P2814">
        <v>15995.069999999996</v>
      </c>
      <c r="Q2814">
        <v>0</v>
      </c>
    </row>
    <row r="2815" spans="7:17" x14ac:dyDescent="0.25">
      <c r="G2815" t="str">
        <f t="shared" si="43"/>
        <v/>
      </c>
      <c r="H2815" t="s">
        <v>47</v>
      </c>
      <c r="I2815" t="s">
        <v>11</v>
      </c>
      <c r="J2815" t="s">
        <v>3</v>
      </c>
      <c r="K2815" t="s">
        <v>33</v>
      </c>
      <c r="L2815" t="s">
        <v>43</v>
      </c>
      <c r="M2815" t="s">
        <v>19</v>
      </c>
      <c r="N2815">
        <v>25</v>
      </c>
      <c r="O2815">
        <v>11</v>
      </c>
      <c r="P2815">
        <v>12248.480000000003</v>
      </c>
      <c r="Q2815">
        <v>12132.300000000003</v>
      </c>
    </row>
    <row r="2816" spans="7:17" x14ac:dyDescent="0.25">
      <c r="G2816" t="str">
        <f t="shared" si="43"/>
        <v/>
      </c>
      <c r="H2816" t="s">
        <v>47</v>
      </c>
      <c r="I2816" t="s">
        <v>11</v>
      </c>
      <c r="J2816" t="s">
        <v>3</v>
      </c>
      <c r="K2816" t="s">
        <v>33</v>
      </c>
      <c r="L2816" t="s">
        <v>43</v>
      </c>
      <c r="M2816" t="s">
        <v>20</v>
      </c>
      <c r="N2816">
        <v>8</v>
      </c>
      <c r="O2816">
        <v>2</v>
      </c>
      <c r="P2816">
        <v>4209.2800000000007</v>
      </c>
      <c r="Q2816">
        <v>0</v>
      </c>
    </row>
    <row r="2817" spans="7:17" x14ac:dyDescent="0.25">
      <c r="G2817" t="str">
        <f t="shared" si="43"/>
        <v/>
      </c>
      <c r="H2817" t="s">
        <v>47</v>
      </c>
      <c r="I2817" t="s">
        <v>11</v>
      </c>
      <c r="J2817" t="s">
        <v>3</v>
      </c>
      <c r="K2817" t="s">
        <v>33</v>
      </c>
      <c r="L2817" t="s">
        <v>44</v>
      </c>
      <c r="M2817" t="s">
        <v>19</v>
      </c>
      <c r="N2817">
        <v>8</v>
      </c>
      <c r="O2817">
        <v>3</v>
      </c>
      <c r="P2817">
        <v>10218.34</v>
      </c>
      <c r="Q2817">
        <v>10215.11</v>
      </c>
    </row>
    <row r="2818" spans="7:17" x14ac:dyDescent="0.25">
      <c r="G2818" t="str">
        <f t="shared" ref="G2818:G2881" si="44">IF(G$1="Overall","Overall",IF(G$1=L2818,L2818,""))</f>
        <v/>
      </c>
      <c r="H2818" t="s">
        <v>47</v>
      </c>
      <c r="I2818" t="s">
        <v>11</v>
      </c>
      <c r="J2818" t="s">
        <v>3</v>
      </c>
      <c r="K2818" t="s">
        <v>33</v>
      </c>
      <c r="L2818" t="s">
        <v>44</v>
      </c>
      <c r="M2818" t="s">
        <v>20</v>
      </c>
      <c r="N2818">
        <v>11</v>
      </c>
      <c r="O2818">
        <v>3</v>
      </c>
      <c r="P2818">
        <v>1266.96</v>
      </c>
      <c r="Q2818">
        <v>0</v>
      </c>
    </row>
    <row r="2819" spans="7:17" x14ac:dyDescent="0.25">
      <c r="G2819" t="str">
        <f t="shared" si="44"/>
        <v/>
      </c>
      <c r="H2819" t="s">
        <v>47</v>
      </c>
      <c r="I2819" t="s">
        <v>11</v>
      </c>
      <c r="J2819" t="s">
        <v>3</v>
      </c>
      <c r="K2819" t="s">
        <v>33</v>
      </c>
      <c r="L2819" t="s">
        <v>39</v>
      </c>
      <c r="M2819" t="s">
        <v>19</v>
      </c>
      <c r="N2819">
        <v>2</v>
      </c>
      <c r="O2819">
        <v>0</v>
      </c>
      <c r="P2819">
        <v>2324.7399999999998</v>
      </c>
      <c r="Q2819">
        <v>1969.91</v>
      </c>
    </row>
    <row r="2820" spans="7:17" x14ac:dyDescent="0.25">
      <c r="G2820" t="str">
        <f t="shared" si="44"/>
        <v/>
      </c>
      <c r="H2820" t="s">
        <v>47</v>
      </c>
      <c r="I2820" t="s">
        <v>11</v>
      </c>
      <c r="J2820" t="s">
        <v>3</v>
      </c>
      <c r="K2820" t="s">
        <v>33</v>
      </c>
      <c r="L2820" t="s">
        <v>39</v>
      </c>
      <c r="M2820" t="s">
        <v>20</v>
      </c>
      <c r="N2820">
        <v>5</v>
      </c>
      <c r="O2820">
        <v>1</v>
      </c>
      <c r="P2820">
        <v>3148.29</v>
      </c>
      <c r="Q2820">
        <v>0</v>
      </c>
    </row>
    <row r="2821" spans="7:17" x14ac:dyDescent="0.25">
      <c r="G2821" t="str">
        <f t="shared" si="44"/>
        <v/>
      </c>
      <c r="H2821" t="s">
        <v>47</v>
      </c>
      <c r="I2821" t="s">
        <v>11</v>
      </c>
      <c r="J2821" t="s">
        <v>3</v>
      </c>
      <c r="K2821" t="s">
        <v>33</v>
      </c>
      <c r="L2821" t="s">
        <v>40</v>
      </c>
      <c r="M2821" t="s">
        <v>20</v>
      </c>
      <c r="N2821">
        <v>8</v>
      </c>
      <c r="O2821">
        <v>2</v>
      </c>
      <c r="P2821">
        <v>2973.8199999999997</v>
      </c>
      <c r="Q2821">
        <v>0</v>
      </c>
    </row>
    <row r="2822" spans="7:17" x14ac:dyDescent="0.25">
      <c r="G2822" t="str">
        <f t="shared" si="44"/>
        <v/>
      </c>
      <c r="H2822" t="s">
        <v>47</v>
      </c>
      <c r="I2822" t="s">
        <v>11</v>
      </c>
      <c r="J2822" t="s">
        <v>3</v>
      </c>
      <c r="K2822" t="s">
        <v>33</v>
      </c>
      <c r="L2822" t="s">
        <v>41</v>
      </c>
      <c r="M2822" t="s">
        <v>20</v>
      </c>
      <c r="N2822">
        <v>2</v>
      </c>
      <c r="O2822">
        <v>1</v>
      </c>
      <c r="P2822">
        <v>1701.77</v>
      </c>
      <c r="Q2822">
        <v>0</v>
      </c>
    </row>
    <row r="2823" spans="7:17" x14ac:dyDescent="0.25">
      <c r="G2823" t="str">
        <f t="shared" si="44"/>
        <v/>
      </c>
      <c r="H2823" t="s">
        <v>47</v>
      </c>
      <c r="I2823" t="s">
        <v>11</v>
      </c>
      <c r="J2823" t="s">
        <v>3</v>
      </c>
      <c r="K2823" t="s">
        <v>33</v>
      </c>
      <c r="L2823" t="s">
        <v>45</v>
      </c>
      <c r="M2823" t="s">
        <v>20</v>
      </c>
      <c r="N2823">
        <v>23</v>
      </c>
      <c r="O2823">
        <v>8</v>
      </c>
      <c r="P2823">
        <v>13327.579999999998</v>
      </c>
      <c r="Q2823">
        <v>0</v>
      </c>
    </row>
    <row r="2824" spans="7:17" x14ac:dyDescent="0.25">
      <c r="G2824" t="str">
        <f t="shared" si="44"/>
        <v/>
      </c>
      <c r="H2824" t="s">
        <v>47</v>
      </c>
      <c r="I2824" t="s">
        <v>11</v>
      </c>
      <c r="J2824" t="s">
        <v>3</v>
      </c>
      <c r="K2824" t="s">
        <v>34</v>
      </c>
      <c r="L2824" t="s">
        <v>42</v>
      </c>
      <c r="M2824" t="s">
        <v>19</v>
      </c>
      <c r="N2824">
        <v>604</v>
      </c>
      <c r="O2824">
        <v>6</v>
      </c>
      <c r="P2824">
        <v>198287.31000000171</v>
      </c>
      <c r="Q2824">
        <v>196891.84000000171</v>
      </c>
    </row>
    <row r="2825" spans="7:17" x14ac:dyDescent="0.25">
      <c r="G2825" t="str">
        <f t="shared" si="44"/>
        <v/>
      </c>
      <c r="H2825" t="s">
        <v>47</v>
      </c>
      <c r="I2825" t="s">
        <v>11</v>
      </c>
      <c r="J2825" t="s">
        <v>3</v>
      </c>
      <c r="K2825" t="s">
        <v>34</v>
      </c>
      <c r="L2825" t="s">
        <v>42</v>
      </c>
      <c r="M2825" t="s">
        <v>20</v>
      </c>
      <c r="N2825">
        <v>26</v>
      </c>
      <c r="O2825">
        <v>3</v>
      </c>
      <c r="P2825">
        <v>3881.67</v>
      </c>
      <c r="Q2825">
        <v>0</v>
      </c>
    </row>
    <row r="2826" spans="7:17" x14ac:dyDescent="0.25">
      <c r="G2826" t="str">
        <f t="shared" si="44"/>
        <v/>
      </c>
      <c r="H2826" t="s">
        <v>47</v>
      </c>
      <c r="I2826" t="s">
        <v>11</v>
      </c>
      <c r="J2826" t="s">
        <v>3</v>
      </c>
      <c r="K2826" t="s">
        <v>34</v>
      </c>
      <c r="L2826" t="s">
        <v>43</v>
      </c>
      <c r="M2826" t="s">
        <v>19</v>
      </c>
      <c r="N2826">
        <v>127</v>
      </c>
      <c r="O2826">
        <v>7</v>
      </c>
      <c r="P2826">
        <v>65065.14</v>
      </c>
      <c r="Q2826">
        <v>62214.409999999996</v>
      </c>
    </row>
    <row r="2827" spans="7:17" x14ac:dyDescent="0.25">
      <c r="G2827" t="str">
        <f t="shared" si="44"/>
        <v/>
      </c>
      <c r="H2827" t="s">
        <v>47</v>
      </c>
      <c r="I2827" t="s">
        <v>11</v>
      </c>
      <c r="J2827" t="s">
        <v>3</v>
      </c>
      <c r="K2827" t="s">
        <v>34</v>
      </c>
      <c r="L2827" t="s">
        <v>43</v>
      </c>
      <c r="M2827" t="s">
        <v>20</v>
      </c>
      <c r="N2827">
        <v>12</v>
      </c>
      <c r="O2827">
        <v>3</v>
      </c>
      <c r="P2827">
        <v>2032.26</v>
      </c>
      <c r="Q2827">
        <v>0</v>
      </c>
    </row>
    <row r="2828" spans="7:17" x14ac:dyDescent="0.25">
      <c r="G2828" t="str">
        <f t="shared" si="44"/>
        <v/>
      </c>
      <c r="H2828" t="s">
        <v>47</v>
      </c>
      <c r="I2828" t="s">
        <v>11</v>
      </c>
      <c r="J2828" t="s">
        <v>3</v>
      </c>
      <c r="K2828" t="s">
        <v>34</v>
      </c>
      <c r="L2828" t="s">
        <v>44</v>
      </c>
      <c r="M2828" t="s">
        <v>19</v>
      </c>
      <c r="N2828">
        <v>43</v>
      </c>
      <c r="O2828">
        <v>3</v>
      </c>
      <c r="P2828">
        <v>40932.630000000012</v>
      </c>
      <c r="Q2828">
        <v>40230.170000000013</v>
      </c>
    </row>
    <row r="2829" spans="7:17" x14ac:dyDescent="0.25">
      <c r="G2829" t="str">
        <f t="shared" si="44"/>
        <v/>
      </c>
      <c r="H2829" t="s">
        <v>47</v>
      </c>
      <c r="I2829" t="s">
        <v>11</v>
      </c>
      <c r="J2829" t="s">
        <v>3</v>
      </c>
      <c r="K2829" t="s">
        <v>34</v>
      </c>
      <c r="L2829" t="s">
        <v>44</v>
      </c>
      <c r="M2829" t="s">
        <v>20</v>
      </c>
      <c r="N2829">
        <v>11</v>
      </c>
      <c r="O2829">
        <v>4</v>
      </c>
      <c r="P2829">
        <v>3863.6000000000004</v>
      </c>
      <c r="Q2829">
        <v>0</v>
      </c>
    </row>
    <row r="2830" spans="7:17" x14ac:dyDescent="0.25">
      <c r="G2830" t="str">
        <f t="shared" si="44"/>
        <v/>
      </c>
      <c r="H2830" t="s">
        <v>47</v>
      </c>
      <c r="I2830" t="s">
        <v>11</v>
      </c>
      <c r="J2830" t="s">
        <v>3</v>
      </c>
      <c r="K2830" t="s">
        <v>34</v>
      </c>
      <c r="L2830" t="s">
        <v>39</v>
      </c>
      <c r="M2830" t="s">
        <v>19</v>
      </c>
      <c r="N2830">
        <v>4</v>
      </c>
      <c r="O2830">
        <v>1</v>
      </c>
      <c r="P2830">
        <v>4767.6400000000003</v>
      </c>
      <c r="Q2830">
        <v>3273.92</v>
      </c>
    </row>
    <row r="2831" spans="7:17" x14ac:dyDescent="0.25">
      <c r="G2831" t="str">
        <f t="shared" si="44"/>
        <v/>
      </c>
      <c r="H2831" t="s">
        <v>47</v>
      </c>
      <c r="I2831" t="s">
        <v>11</v>
      </c>
      <c r="J2831" t="s">
        <v>3</v>
      </c>
      <c r="K2831" t="s">
        <v>34</v>
      </c>
      <c r="L2831" t="s">
        <v>39</v>
      </c>
      <c r="M2831" t="s">
        <v>20</v>
      </c>
      <c r="N2831">
        <v>5</v>
      </c>
      <c r="O2831">
        <v>3</v>
      </c>
      <c r="P2831">
        <v>1982.0300000000002</v>
      </c>
      <c r="Q2831">
        <v>0</v>
      </c>
    </row>
    <row r="2832" spans="7:17" x14ac:dyDescent="0.25">
      <c r="G2832" t="str">
        <f t="shared" si="44"/>
        <v/>
      </c>
      <c r="H2832" t="s">
        <v>47</v>
      </c>
      <c r="I2832" t="s">
        <v>11</v>
      </c>
      <c r="J2832" t="s">
        <v>3</v>
      </c>
      <c r="K2832" t="s">
        <v>34</v>
      </c>
      <c r="L2832" t="s">
        <v>40</v>
      </c>
      <c r="M2832" t="s">
        <v>20</v>
      </c>
      <c r="N2832">
        <v>5</v>
      </c>
      <c r="O2832">
        <v>0</v>
      </c>
      <c r="P2832">
        <v>1099.81</v>
      </c>
      <c r="Q2832">
        <v>0</v>
      </c>
    </row>
    <row r="2833" spans="7:17" x14ac:dyDescent="0.25">
      <c r="G2833" t="str">
        <f t="shared" si="44"/>
        <v/>
      </c>
      <c r="H2833" t="s">
        <v>47</v>
      </c>
      <c r="I2833" t="s">
        <v>11</v>
      </c>
      <c r="J2833" t="s">
        <v>3</v>
      </c>
      <c r="K2833" t="s">
        <v>34</v>
      </c>
      <c r="L2833" t="s">
        <v>41</v>
      </c>
      <c r="M2833" t="s">
        <v>19</v>
      </c>
      <c r="N2833">
        <v>1</v>
      </c>
      <c r="O2833">
        <v>0</v>
      </c>
      <c r="P2833">
        <v>2597.61</v>
      </c>
      <c r="Q2833">
        <v>600</v>
      </c>
    </row>
    <row r="2834" spans="7:17" x14ac:dyDescent="0.25">
      <c r="G2834" t="str">
        <f t="shared" si="44"/>
        <v/>
      </c>
      <c r="H2834" t="s">
        <v>47</v>
      </c>
      <c r="I2834" t="s">
        <v>11</v>
      </c>
      <c r="J2834" t="s">
        <v>3</v>
      </c>
      <c r="K2834" t="s">
        <v>34</v>
      </c>
      <c r="L2834" t="s">
        <v>41</v>
      </c>
      <c r="M2834" t="s">
        <v>20</v>
      </c>
      <c r="N2834">
        <v>3</v>
      </c>
      <c r="O2834">
        <v>1</v>
      </c>
      <c r="P2834">
        <v>710.34</v>
      </c>
      <c r="Q2834">
        <v>0</v>
      </c>
    </row>
    <row r="2835" spans="7:17" x14ac:dyDescent="0.25">
      <c r="G2835" t="str">
        <f t="shared" si="44"/>
        <v/>
      </c>
      <c r="H2835" t="s">
        <v>47</v>
      </c>
      <c r="I2835" t="s">
        <v>11</v>
      </c>
      <c r="J2835" t="s">
        <v>3</v>
      </c>
      <c r="K2835" t="s">
        <v>34</v>
      </c>
      <c r="L2835" t="s">
        <v>45</v>
      </c>
      <c r="M2835" t="s">
        <v>19</v>
      </c>
      <c r="N2835">
        <v>4</v>
      </c>
      <c r="O2835">
        <v>0</v>
      </c>
      <c r="P2835">
        <v>382.19999999999993</v>
      </c>
      <c r="Q2835">
        <v>381.91999999999996</v>
      </c>
    </row>
    <row r="2836" spans="7:17" x14ac:dyDescent="0.25">
      <c r="G2836" t="str">
        <f t="shared" si="44"/>
        <v/>
      </c>
      <c r="H2836" t="s">
        <v>47</v>
      </c>
      <c r="I2836" t="s">
        <v>11</v>
      </c>
      <c r="J2836" t="s">
        <v>3</v>
      </c>
      <c r="K2836" t="s">
        <v>34</v>
      </c>
      <c r="L2836" t="s">
        <v>45</v>
      </c>
      <c r="M2836" t="s">
        <v>20</v>
      </c>
      <c r="N2836">
        <v>53</v>
      </c>
      <c r="O2836">
        <v>10</v>
      </c>
      <c r="P2836">
        <v>8272.970000000003</v>
      </c>
      <c r="Q2836">
        <v>0</v>
      </c>
    </row>
    <row r="2837" spans="7:17" x14ac:dyDescent="0.25">
      <c r="G2837" t="str">
        <f t="shared" si="44"/>
        <v/>
      </c>
      <c r="H2837" t="s">
        <v>47</v>
      </c>
      <c r="I2837" t="s">
        <v>11</v>
      </c>
      <c r="J2837" t="s">
        <v>3</v>
      </c>
      <c r="K2837" t="s">
        <v>35</v>
      </c>
      <c r="L2837" t="s">
        <v>42</v>
      </c>
      <c r="M2837" t="s">
        <v>19</v>
      </c>
      <c r="N2837">
        <v>174</v>
      </c>
      <c r="O2837">
        <v>17</v>
      </c>
      <c r="P2837">
        <v>16390.050000000007</v>
      </c>
      <c r="Q2837">
        <v>15865.230000000005</v>
      </c>
    </row>
    <row r="2838" spans="7:17" x14ac:dyDescent="0.25">
      <c r="G2838" t="str">
        <f t="shared" si="44"/>
        <v/>
      </c>
      <c r="H2838" t="s">
        <v>47</v>
      </c>
      <c r="I2838" t="s">
        <v>11</v>
      </c>
      <c r="J2838" t="s">
        <v>3</v>
      </c>
      <c r="K2838" t="s">
        <v>35</v>
      </c>
      <c r="L2838" t="s">
        <v>42</v>
      </c>
      <c r="M2838" t="s">
        <v>20</v>
      </c>
      <c r="N2838">
        <v>29</v>
      </c>
      <c r="O2838">
        <v>7</v>
      </c>
      <c r="P2838">
        <v>5968.0399999999981</v>
      </c>
      <c r="Q2838">
        <v>0</v>
      </c>
    </row>
    <row r="2839" spans="7:17" x14ac:dyDescent="0.25">
      <c r="G2839" t="str">
        <f t="shared" si="44"/>
        <v/>
      </c>
      <c r="H2839" t="s">
        <v>47</v>
      </c>
      <c r="I2839" t="s">
        <v>11</v>
      </c>
      <c r="J2839" t="s">
        <v>3</v>
      </c>
      <c r="K2839" t="s">
        <v>35</v>
      </c>
      <c r="L2839" t="s">
        <v>43</v>
      </c>
      <c r="M2839" t="s">
        <v>19</v>
      </c>
      <c r="N2839">
        <v>35</v>
      </c>
      <c r="O2839">
        <v>11</v>
      </c>
      <c r="P2839">
        <v>17335.149999999998</v>
      </c>
      <c r="Q2839">
        <v>15977.23</v>
      </c>
    </row>
    <row r="2840" spans="7:17" x14ac:dyDescent="0.25">
      <c r="G2840" t="str">
        <f t="shared" si="44"/>
        <v/>
      </c>
      <c r="H2840" t="s">
        <v>47</v>
      </c>
      <c r="I2840" t="s">
        <v>11</v>
      </c>
      <c r="J2840" t="s">
        <v>3</v>
      </c>
      <c r="K2840" t="s">
        <v>35</v>
      </c>
      <c r="L2840" t="s">
        <v>43</v>
      </c>
      <c r="M2840" t="s">
        <v>20</v>
      </c>
      <c r="N2840">
        <v>14</v>
      </c>
      <c r="O2840">
        <v>3</v>
      </c>
      <c r="P2840">
        <v>6728.5300000000007</v>
      </c>
      <c r="Q2840">
        <v>0</v>
      </c>
    </row>
    <row r="2841" spans="7:17" x14ac:dyDescent="0.25">
      <c r="G2841" t="str">
        <f t="shared" si="44"/>
        <v/>
      </c>
      <c r="H2841" t="s">
        <v>47</v>
      </c>
      <c r="I2841" t="s">
        <v>11</v>
      </c>
      <c r="J2841" t="s">
        <v>3</v>
      </c>
      <c r="K2841" t="s">
        <v>35</v>
      </c>
      <c r="L2841" t="s">
        <v>44</v>
      </c>
      <c r="M2841" t="s">
        <v>19</v>
      </c>
      <c r="N2841">
        <v>7</v>
      </c>
      <c r="O2841">
        <v>4</v>
      </c>
      <c r="P2841">
        <v>9820.23</v>
      </c>
      <c r="Q2841">
        <v>8305.2100000000009</v>
      </c>
    </row>
    <row r="2842" spans="7:17" x14ac:dyDescent="0.25">
      <c r="G2842" t="str">
        <f t="shared" si="44"/>
        <v/>
      </c>
      <c r="H2842" t="s">
        <v>47</v>
      </c>
      <c r="I2842" t="s">
        <v>11</v>
      </c>
      <c r="J2842" t="s">
        <v>3</v>
      </c>
      <c r="K2842" t="s">
        <v>35</v>
      </c>
      <c r="L2842" t="s">
        <v>44</v>
      </c>
      <c r="M2842" t="s">
        <v>20</v>
      </c>
      <c r="N2842">
        <v>16</v>
      </c>
      <c r="O2842">
        <v>4</v>
      </c>
      <c r="P2842">
        <v>5292.6</v>
      </c>
      <c r="Q2842">
        <v>0</v>
      </c>
    </row>
    <row r="2843" spans="7:17" x14ac:dyDescent="0.25">
      <c r="G2843" t="str">
        <f t="shared" si="44"/>
        <v/>
      </c>
      <c r="H2843" t="s">
        <v>47</v>
      </c>
      <c r="I2843" t="s">
        <v>11</v>
      </c>
      <c r="J2843" t="s">
        <v>3</v>
      </c>
      <c r="K2843" t="s">
        <v>35</v>
      </c>
      <c r="L2843" t="s">
        <v>39</v>
      </c>
      <c r="M2843" t="s">
        <v>19</v>
      </c>
      <c r="N2843">
        <v>3</v>
      </c>
      <c r="O2843">
        <v>2</v>
      </c>
      <c r="P2843">
        <v>39544.28</v>
      </c>
      <c r="Q2843">
        <v>39544.28</v>
      </c>
    </row>
    <row r="2844" spans="7:17" x14ac:dyDescent="0.25">
      <c r="G2844" t="str">
        <f t="shared" si="44"/>
        <v/>
      </c>
      <c r="H2844" t="s">
        <v>47</v>
      </c>
      <c r="I2844" t="s">
        <v>11</v>
      </c>
      <c r="J2844" t="s">
        <v>3</v>
      </c>
      <c r="K2844" t="s">
        <v>35</v>
      </c>
      <c r="L2844" t="s">
        <v>39</v>
      </c>
      <c r="M2844" t="s">
        <v>20</v>
      </c>
      <c r="N2844">
        <v>22</v>
      </c>
      <c r="O2844">
        <v>9</v>
      </c>
      <c r="P2844">
        <v>27447.05</v>
      </c>
      <c r="Q2844">
        <v>0</v>
      </c>
    </row>
    <row r="2845" spans="7:17" x14ac:dyDescent="0.25">
      <c r="G2845" t="str">
        <f t="shared" si="44"/>
        <v/>
      </c>
      <c r="H2845" t="s">
        <v>47</v>
      </c>
      <c r="I2845" t="s">
        <v>11</v>
      </c>
      <c r="J2845" t="s">
        <v>3</v>
      </c>
      <c r="K2845" t="s">
        <v>35</v>
      </c>
      <c r="L2845" t="s">
        <v>40</v>
      </c>
      <c r="M2845" t="s">
        <v>19</v>
      </c>
      <c r="N2845">
        <v>1</v>
      </c>
      <c r="O2845">
        <v>0</v>
      </c>
      <c r="P2845">
        <v>1668.06</v>
      </c>
      <c r="Q2845">
        <v>422.6</v>
      </c>
    </row>
    <row r="2846" spans="7:17" x14ac:dyDescent="0.25">
      <c r="G2846" t="str">
        <f t="shared" si="44"/>
        <v/>
      </c>
      <c r="H2846" t="s">
        <v>47</v>
      </c>
      <c r="I2846" t="s">
        <v>11</v>
      </c>
      <c r="J2846" t="s">
        <v>3</v>
      </c>
      <c r="K2846" t="s">
        <v>35</v>
      </c>
      <c r="L2846" t="s">
        <v>40</v>
      </c>
      <c r="M2846" t="s">
        <v>20</v>
      </c>
      <c r="N2846">
        <v>4</v>
      </c>
      <c r="O2846">
        <v>1</v>
      </c>
      <c r="P2846">
        <v>5929.43</v>
      </c>
      <c r="Q2846">
        <v>0</v>
      </c>
    </row>
    <row r="2847" spans="7:17" x14ac:dyDescent="0.25">
      <c r="G2847" t="str">
        <f t="shared" si="44"/>
        <v/>
      </c>
      <c r="H2847" t="s">
        <v>47</v>
      </c>
      <c r="I2847" t="s">
        <v>11</v>
      </c>
      <c r="J2847" t="s">
        <v>3</v>
      </c>
      <c r="K2847" t="s">
        <v>35</v>
      </c>
      <c r="L2847" t="s">
        <v>41</v>
      </c>
      <c r="M2847" t="s">
        <v>20</v>
      </c>
      <c r="N2847">
        <v>4</v>
      </c>
      <c r="O2847">
        <v>1</v>
      </c>
      <c r="P2847">
        <v>4752.5500000000011</v>
      </c>
      <c r="Q2847">
        <v>0</v>
      </c>
    </row>
    <row r="2848" spans="7:17" x14ac:dyDescent="0.25">
      <c r="G2848" t="str">
        <f t="shared" si="44"/>
        <v/>
      </c>
      <c r="H2848" t="s">
        <v>47</v>
      </c>
      <c r="I2848" t="s">
        <v>11</v>
      </c>
      <c r="J2848" t="s">
        <v>3</v>
      </c>
      <c r="K2848" t="s">
        <v>35</v>
      </c>
      <c r="L2848" t="s">
        <v>45</v>
      </c>
      <c r="M2848" t="s">
        <v>19</v>
      </c>
      <c r="N2848">
        <v>3</v>
      </c>
      <c r="O2848">
        <v>0</v>
      </c>
      <c r="P2848">
        <v>1848.56</v>
      </c>
      <c r="Q2848">
        <v>1733.7</v>
      </c>
    </row>
    <row r="2849" spans="7:17" x14ac:dyDescent="0.25">
      <c r="G2849" t="str">
        <f t="shared" si="44"/>
        <v/>
      </c>
      <c r="H2849" t="s">
        <v>47</v>
      </c>
      <c r="I2849" t="s">
        <v>11</v>
      </c>
      <c r="J2849" t="s">
        <v>3</v>
      </c>
      <c r="K2849" t="s">
        <v>35</v>
      </c>
      <c r="L2849" t="s">
        <v>45</v>
      </c>
      <c r="M2849" t="s">
        <v>20</v>
      </c>
      <c r="N2849">
        <v>61</v>
      </c>
      <c r="O2849">
        <v>28</v>
      </c>
      <c r="P2849">
        <v>42250.67</v>
      </c>
      <c r="Q2849">
        <v>0</v>
      </c>
    </row>
    <row r="2850" spans="7:17" x14ac:dyDescent="0.25">
      <c r="G2850" t="str">
        <f t="shared" si="44"/>
        <v/>
      </c>
      <c r="H2850" t="s">
        <v>47</v>
      </c>
      <c r="I2850" t="s">
        <v>11</v>
      </c>
      <c r="J2850" t="s">
        <v>3</v>
      </c>
      <c r="K2850" t="s">
        <v>36</v>
      </c>
      <c r="L2850" t="s">
        <v>42</v>
      </c>
      <c r="M2850" t="s">
        <v>19</v>
      </c>
      <c r="N2850">
        <v>373</v>
      </c>
      <c r="O2850">
        <v>23</v>
      </c>
      <c r="P2850">
        <v>50165.229999999981</v>
      </c>
      <c r="Q2850">
        <v>49749.319999999992</v>
      </c>
    </row>
    <row r="2851" spans="7:17" x14ac:dyDescent="0.25">
      <c r="G2851" t="str">
        <f t="shared" si="44"/>
        <v/>
      </c>
      <c r="H2851" t="s">
        <v>47</v>
      </c>
      <c r="I2851" t="s">
        <v>11</v>
      </c>
      <c r="J2851" t="s">
        <v>3</v>
      </c>
      <c r="K2851" t="s">
        <v>36</v>
      </c>
      <c r="L2851" t="s">
        <v>42</v>
      </c>
      <c r="M2851" t="s">
        <v>20</v>
      </c>
      <c r="N2851">
        <v>70</v>
      </c>
      <c r="O2851">
        <v>11</v>
      </c>
      <c r="P2851">
        <v>4056.8500000000004</v>
      </c>
      <c r="Q2851">
        <v>0</v>
      </c>
    </row>
    <row r="2852" spans="7:17" x14ac:dyDescent="0.25">
      <c r="G2852" t="str">
        <f t="shared" si="44"/>
        <v/>
      </c>
      <c r="H2852" t="s">
        <v>47</v>
      </c>
      <c r="I2852" t="s">
        <v>11</v>
      </c>
      <c r="J2852" t="s">
        <v>3</v>
      </c>
      <c r="K2852" t="s">
        <v>36</v>
      </c>
      <c r="L2852" t="s">
        <v>43</v>
      </c>
      <c r="M2852" t="s">
        <v>19</v>
      </c>
      <c r="N2852">
        <v>54</v>
      </c>
      <c r="O2852">
        <v>4</v>
      </c>
      <c r="P2852">
        <v>35870.670000000006</v>
      </c>
      <c r="Q2852">
        <v>34465.610000000008</v>
      </c>
    </row>
    <row r="2853" spans="7:17" x14ac:dyDescent="0.25">
      <c r="G2853" t="str">
        <f t="shared" si="44"/>
        <v/>
      </c>
      <c r="H2853" t="s">
        <v>47</v>
      </c>
      <c r="I2853" t="s">
        <v>11</v>
      </c>
      <c r="J2853" t="s">
        <v>3</v>
      </c>
      <c r="K2853" t="s">
        <v>36</v>
      </c>
      <c r="L2853" t="s">
        <v>43</v>
      </c>
      <c r="M2853" t="s">
        <v>20</v>
      </c>
      <c r="N2853">
        <v>36</v>
      </c>
      <c r="O2853">
        <v>3</v>
      </c>
      <c r="P2853">
        <v>5267.3499999999995</v>
      </c>
      <c r="Q2853">
        <v>0</v>
      </c>
    </row>
    <row r="2854" spans="7:17" x14ac:dyDescent="0.25">
      <c r="G2854" t="str">
        <f t="shared" si="44"/>
        <v/>
      </c>
      <c r="H2854" t="s">
        <v>47</v>
      </c>
      <c r="I2854" t="s">
        <v>11</v>
      </c>
      <c r="J2854" t="s">
        <v>3</v>
      </c>
      <c r="K2854" t="s">
        <v>36</v>
      </c>
      <c r="L2854" t="s">
        <v>44</v>
      </c>
      <c r="M2854" t="s">
        <v>19</v>
      </c>
      <c r="N2854">
        <v>12</v>
      </c>
      <c r="O2854">
        <v>4</v>
      </c>
      <c r="P2854">
        <v>11158.529999999999</v>
      </c>
      <c r="Q2854">
        <v>9457.56</v>
      </c>
    </row>
    <row r="2855" spans="7:17" x14ac:dyDescent="0.25">
      <c r="G2855" t="str">
        <f t="shared" si="44"/>
        <v/>
      </c>
      <c r="H2855" t="s">
        <v>47</v>
      </c>
      <c r="I2855" t="s">
        <v>11</v>
      </c>
      <c r="J2855" t="s">
        <v>3</v>
      </c>
      <c r="K2855" t="s">
        <v>36</v>
      </c>
      <c r="L2855" t="s">
        <v>44</v>
      </c>
      <c r="M2855" t="s">
        <v>20</v>
      </c>
      <c r="N2855">
        <v>43</v>
      </c>
      <c r="O2855">
        <v>8</v>
      </c>
      <c r="P2855">
        <v>19597.640000000003</v>
      </c>
      <c r="Q2855">
        <v>0</v>
      </c>
    </row>
    <row r="2856" spans="7:17" x14ac:dyDescent="0.25">
      <c r="G2856" t="str">
        <f t="shared" si="44"/>
        <v/>
      </c>
      <c r="H2856" t="s">
        <v>47</v>
      </c>
      <c r="I2856" t="s">
        <v>11</v>
      </c>
      <c r="J2856" t="s">
        <v>3</v>
      </c>
      <c r="K2856" t="s">
        <v>36</v>
      </c>
      <c r="L2856" t="s">
        <v>39</v>
      </c>
      <c r="M2856" t="s">
        <v>19</v>
      </c>
      <c r="N2856">
        <v>9</v>
      </c>
      <c r="O2856">
        <v>8</v>
      </c>
      <c r="P2856">
        <v>9646.58</v>
      </c>
      <c r="Q2856">
        <v>8239.35</v>
      </c>
    </row>
    <row r="2857" spans="7:17" x14ac:dyDescent="0.25">
      <c r="G2857" t="str">
        <f t="shared" si="44"/>
        <v/>
      </c>
      <c r="H2857" t="s">
        <v>47</v>
      </c>
      <c r="I2857" t="s">
        <v>11</v>
      </c>
      <c r="J2857" t="s">
        <v>3</v>
      </c>
      <c r="K2857" t="s">
        <v>36</v>
      </c>
      <c r="L2857" t="s">
        <v>39</v>
      </c>
      <c r="M2857" t="s">
        <v>20</v>
      </c>
      <c r="N2857">
        <v>29</v>
      </c>
      <c r="O2857">
        <v>10</v>
      </c>
      <c r="P2857">
        <v>31505.059999999998</v>
      </c>
      <c r="Q2857">
        <v>0</v>
      </c>
    </row>
    <row r="2858" spans="7:17" x14ac:dyDescent="0.25">
      <c r="G2858" t="str">
        <f t="shared" si="44"/>
        <v/>
      </c>
      <c r="H2858" t="s">
        <v>47</v>
      </c>
      <c r="I2858" t="s">
        <v>11</v>
      </c>
      <c r="J2858" t="s">
        <v>3</v>
      </c>
      <c r="K2858" t="s">
        <v>36</v>
      </c>
      <c r="L2858" t="s">
        <v>40</v>
      </c>
      <c r="M2858" t="s">
        <v>19</v>
      </c>
      <c r="N2858">
        <v>4</v>
      </c>
      <c r="O2858">
        <v>1</v>
      </c>
      <c r="P2858">
        <v>11336.81</v>
      </c>
      <c r="Q2858">
        <v>9374.0099999999984</v>
      </c>
    </row>
    <row r="2859" spans="7:17" x14ac:dyDescent="0.25">
      <c r="G2859" t="str">
        <f t="shared" si="44"/>
        <v/>
      </c>
      <c r="H2859" t="s">
        <v>47</v>
      </c>
      <c r="I2859" t="s">
        <v>11</v>
      </c>
      <c r="J2859" t="s">
        <v>3</v>
      </c>
      <c r="K2859" t="s">
        <v>36</v>
      </c>
      <c r="L2859" t="s">
        <v>40</v>
      </c>
      <c r="M2859" t="s">
        <v>20</v>
      </c>
      <c r="N2859">
        <v>13</v>
      </c>
      <c r="O2859">
        <v>3</v>
      </c>
      <c r="P2859">
        <v>12318.1</v>
      </c>
      <c r="Q2859">
        <v>0</v>
      </c>
    </row>
    <row r="2860" spans="7:17" x14ac:dyDescent="0.25">
      <c r="G2860" t="str">
        <f t="shared" si="44"/>
        <v/>
      </c>
      <c r="H2860" t="s">
        <v>47</v>
      </c>
      <c r="I2860" t="s">
        <v>11</v>
      </c>
      <c r="J2860" t="s">
        <v>3</v>
      </c>
      <c r="K2860" t="s">
        <v>36</v>
      </c>
      <c r="L2860" t="s">
        <v>41</v>
      </c>
      <c r="M2860" t="s">
        <v>19</v>
      </c>
      <c r="N2860">
        <v>3</v>
      </c>
      <c r="O2860">
        <v>0</v>
      </c>
      <c r="P2860">
        <v>1891.8700000000003</v>
      </c>
      <c r="Q2860">
        <v>1197.46</v>
      </c>
    </row>
    <row r="2861" spans="7:17" x14ac:dyDescent="0.25">
      <c r="G2861" t="str">
        <f t="shared" si="44"/>
        <v/>
      </c>
      <c r="H2861" t="s">
        <v>47</v>
      </c>
      <c r="I2861" t="s">
        <v>11</v>
      </c>
      <c r="J2861" t="s">
        <v>3</v>
      </c>
      <c r="K2861" t="s">
        <v>36</v>
      </c>
      <c r="L2861" t="s">
        <v>41</v>
      </c>
      <c r="M2861" t="s">
        <v>20</v>
      </c>
      <c r="N2861">
        <v>6</v>
      </c>
      <c r="O2861">
        <v>1</v>
      </c>
      <c r="P2861">
        <v>1926.16</v>
      </c>
      <c r="Q2861">
        <v>0</v>
      </c>
    </row>
    <row r="2862" spans="7:17" x14ac:dyDescent="0.25">
      <c r="G2862" t="str">
        <f t="shared" si="44"/>
        <v/>
      </c>
      <c r="H2862" t="s">
        <v>47</v>
      </c>
      <c r="I2862" t="s">
        <v>11</v>
      </c>
      <c r="J2862" t="s">
        <v>3</v>
      </c>
      <c r="K2862" t="s">
        <v>36</v>
      </c>
      <c r="L2862" t="s">
        <v>45</v>
      </c>
      <c r="M2862" t="s">
        <v>19</v>
      </c>
      <c r="N2862">
        <v>2</v>
      </c>
      <c r="O2862">
        <v>2</v>
      </c>
      <c r="P2862">
        <v>1198.44</v>
      </c>
      <c r="Q2862">
        <v>1198.44</v>
      </c>
    </row>
    <row r="2863" spans="7:17" x14ac:dyDescent="0.25">
      <c r="G2863" t="str">
        <f t="shared" si="44"/>
        <v/>
      </c>
      <c r="H2863" t="s">
        <v>47</v>
      </c>
      <c r="I2863" t="s">
        <v>11</v>
      </c>
      <c r="J2863" t="s">
        <v>3</v>
      </c>
      <c r="K2863" t="s">
        <v>36</v>
      </c>
      <c r="L2863" t="s">
        <v>45</v>
      </c>
      <c r="M2863" t="s">
        <v>20</v>
      </c>
      <c r="N2863">
        <v>39</v>
      </c>
      <c r="O2863">
        <v>9</v>
      </c>
      <c r="P2863">
        <v>7372.7700000000023</v>
      </c>
      <c r="Q2863">
        <v>0</v>
      </c>
    </row>
    <row r="2864" spans="7:17" x14ac:dyDescent="0.25">
      <c r="G2864" t="str">
        <f t="shared" si="44"/>
        <v/>
      </c>
      <c r="H2864" t="s">
        <v>47</v>
      </c>
      <c r="I2864" t="s">
        <v>11</v>
      </c>
      <c r="J2864" t="s">
        <v>3</v>
      </c>
      <c r="K2864" t="s">
        <v>37</v>
      </c>
      <c r="L2864" t="s">
        <v>42</v>
      </c>
      <c r="M2864" t="s">
        <v>19</v>
      </c>
      <c r="N2864">
        <v>379</v>
      </c>
      <c r="O2864">
        <v>18</v>
      </c>
      <c r="P2864">
        <v>73523.849999999919</v>
      </c>
      <c r="Q2864">
        <v>71464.649999999892</v>
      </c>
    </row>
    <row r="2865" spans="7:17" x14ac:dyDescent="0.25">
      <c r="G2865" t="str">
        <f t="shared" si="44"/>
        <v/>
      </c>
      <c r="H2865" t="s">
        <v>47</v>
      </c>
      <c r="I2865" t="s">
        <v>11</v>
      </c>
      <c r="J2865" t="s">
        <v>3</v>
      </c>
      <c r="K2865" t="s">
        <v>37</v>
      </c>
      <c r="L2865" t="s">
        <v>42</v>
      </c>
      <c r="M2865" t="s">
        <v>20</v>
      </c>
      <c r="N2865">
        <v>194</v>
      </c>
      <c r="O2865">
        <v>6</v>
      </c>
      <c r="P2865">
        <v>34760.479999999981</v>
      </c>
      <c r="Q2865">
        <v>0</v>
      </c>
    </row>
    <row r="2866" spans="7:17" x14ac:dyDescent="0.25">
      <c r="G2866" t="str">
        <f t="shared" si="44"/>
        <v/>
      </c>
      <c r="H2866" t="s">
        <v>47</v>
      </c>
      <c r="I2866" t="s">
        <v>11</v>
      </c>
      <c r="J2866" t="s">
        <v>3</v>
      </c>
      <c r="K2866" t="s">
        <v>37</v>
      </c>
      <c r="L2866" t="s">
        <v>43</v>
      </c>
      <c r="M2866" t="s">
        <v>19</v>
      </c>
      <c r="N2866">
        <v>310</v>
      </c>
      <c r="O2866">
        <v>8</v>
      </c>
      <c r="P2866">
        <v>318239.9100000012</v>
      </c>
      <c r="Q2866">
        <v>317146.17000000115</v>
      </c>
    </row>
    <row r="2867" spans="7:17" x14ac:dyDescent="0.25">
      <c r="G2867" t="str">
        <f t="shared" si="44"/>
        <v/>
      </c>
      <c r="H2867" t="s">
        <v>47</v>
      </c>
      <c r="I2867" t="s">
        <v>11</v>
      </c>
      <c r="J2867" t="s">
        <v>3</v>
      </c>
      <c r="K2867" t="s">
        <v>37</v>
      </c>
      <c r="L2867" t="s">
        <v>43</v>
      </c>
      <c r="M2867" t="s">
        <v>20</v>
      </c>
      <c r="N2867">
        <v>30</v>
      </c>
      <c r="O2867">
        <v>7</v>
      </c>
      <c r="P2867">
        <v>12415.7</v>
      </c>
      <c r="Q2867">
        <v>0</v>
      </c>
    </row>
    <row r="2868" spans="7:17" x14ac:dyDescent="0.25">
      <c r="G2868" t="str">
        <f t="shared" si="44"/>
        <v/>
      </c>
      <c r="H2868" t="s">
        <v>47</v>
      </c>
      <c r="I2868" t="s">
        <v>11</v>
      </c>
      <c r="J2868" t="s">
        <v>3</v>
      </c>
      <c r="K2868" t="s">
        <v>37</v>
      </c>
      <c r="L2868" t="s">
        <v>44</v>
      </c>
      <c r="M2868" t="s">
        <v>19</v>
      </c>
      <c r="N2868">
        <v>60</v>
      </c>
      <c r="O2868">
        <v>8</v>
      </c>
      <c r="P2868">
        <v>34976.229999999974</v>
      </c>
      <c r="Q2868">
        <v>29075.589999999986</v>
      </c>
    </row>
    <row r="2869" spans="7:17" x14ac:dyDescent="0.25">
      <c r="G2869" t="str">
        <f t="shared" si="44"/>
        <v/>
      </c>
      <c r="H2869" t="s">
        <v>47</v>
      </c>
      <c r="I2869" t="s">
        <v>11</v>
      </c>
      <c r="J2869" t="s">
        <v>3</v>
      </c>
      <c r="K2869" t="s">
        <v>37</v>
      </c>
      <c r="L2869" t="s">
        <v>44</v>
      </c>
      <c r="M2869" t="s">
        <v>20</v>
      </c>
      <c r="N2869">
        <v>15</v>
      </c>
      <c r="O2869">
        <v>3</v>
      </c>
      <c r="P2869">
        <v>13117.33</v>
      </c>
      <c r="Q2869">
        <v>0</v>
      </c>
    </row>
    <row r="2870" spans="7:17" x14ac:dyDescent="0.25">
      <c r="G2870" t="str">
        <f t="shared" si="44"/>
        <v/>
      </c>
      <c r="H2870" t="s">
        <v>47</v>
      </c>
      <c r="I2870" t="s">
        <v>11</v>
      </c>
      <c r="J2870" t="s">
        <v>3</v>
      </c>
      <c r="K2870" t="s">
        <v>37</v>
      </c>
      <c r="L2870" t="s">
        <v>39</v>
      </c>
      <c r="M2870" t="s">
        <v>19</v>
      </c>
      <c r="N2870">
        <v>5</v>
      </c>
      <c r="O2870">
        <v>2</v>
      </c>
      <c r="P2870">
        <v>5233.6400000000003</v>
      </c>
      <c r="Q2870">
        <v>5100.8099999999995</v>
      </c>
    </row>
    <row r="2871" spans="7:17" x14ac:dyDescent="0.25">
      <c r="G2871" t="str">
        <f t="shared" si="44"/>
        <v/>
      </c>
      <c r="H2871" t="s">
        <v>47</v>
      </c>
      <c r="I2871" t="s">
        <v>11</v>
      </c>
      <c r="J2871" t="s">
        <v>3</v>
      </c>
      <c r="K2871" t="s">
        <v>37</v>
      </c>
      <c r="L2871" t="s">
        <v>39</v>
      </c>
      <c r="M2871" t="s">
        <v>20</v>
      </c>
      <c r="N2871">
        <v>41</v>
      </c>
      <c r="O2871">
        <v>12</v>
      </c>
      <c r="P2871">
        <v>31855.949999999997</v>
      </c>
      <c r="Q2871">
        <v>0</v>
      </c>
    </row>
    <row r="2872" spans="7:17" x14ac:dyDescent="0.25">
      <c r="G2872" t="str">
        <f t="shared" si="44"/>
        <v/>
      </c>
      <c r="H2872" t="s">
        <v>47</v>
      </c>
      <c r="I2872" t="s">
        <v>11</v>
      </c>
      <c r="J2872" t="s">
        <v>3</v>
      </c>
      <c r="K2872" t="s">
        <v>37</v>
      </c>
      <c r="L2872" t="s">
        <v>40</v>
      </c>
      <c r="M2872" t="s">
        <v>19</v>
      </c>
      <c r="N2872">
        <v>2</v>
      </c>
      <c r="O2872">
        <v>0</v>
      </c>
      <c r="P2872">
        <v>1835.5500000000002</v>
      </c>
      <c r="Q2872">
        <v>949.12</v>
      </c>
    </row>
    <row r="2873" spans="7:17" x14ac:dyDescent="0.25">
      <c r="G2873" t="str">
        <f t="shared" si="44"/>
        <v/>
      </c>
      <c r="H2873" t="s">
        <v>47</v>
      </c>
      <c r="I2873" t="s">
        <v>11</v>
      </c>
      <c r="J2873" t="s">
        <v>3</v>
      </c>
      <c r="K2873" t="s">
        <v>37</v>
      </c>
      <c r="L2873" t="s">
        <v>40</v>
      </c>
      <c r="M2873" t="s">
        <v>20</v>
      </c>
      <c r="N2873">
        <v>10</v>
      </c>
      <c r="O2873">
        <v>1</v>
      </c>
      <c r="P2873">
        <v>3975.0199999999995</v>
      </c>
      <c r="Q2873">
        <v>0</v>
      </c>
    </row>
    <row r="2874" spans="7:17" x14ac:dyDescent="0.25">
      <c r="G2874" t="str">
        <f t="shared" si="44"/>
        <v/>
      </c>
      <c r="H2874" t="s">
        <v>47</v>
      </c>
      <c r="I2874" t="s">
        <v>11</v>
      </c>
      <c r="J2874" t="s">
        <v>3</v>
      </c>
      <c r="K2874" t="s">
        <v>37</v>
      </c>
      <c r="L2874" t="s">
        <v>41</v>
      </c>
      <c r="M2874" t="s">
        <v>19</v>
      </c>
      <c r="N2874">
        <v>1</v>
      </c>
      <c r="O2874">
        <v>1</v>
      </c>
      <c r="P2874">
        <v>1952.3</v>
      </c>
      <c r="Q2874">
        <v>693.89</v>
      </c>
    </row>
    <row r="2875" spans="7:17" x14ac:dyDescent="0.25">
      <c r="G2875" t="str">
        <f t="shared" si="44"/>
        <v/>
      </c>
      <c r="H2875" t="s">
        <v>47</v>
      </c>
      <c r="I2875" t="s">
        <v>11</v>
      </c>
      <c r="J2875" t="s">
        <v>3</v>
      </c>
      <c r="K2875" t="s">
        <v>37</v>
      </c>
      <c r="L2875" t="s">
        <v>41</v>
      </c>
      <c r="M2875" t="s">
        <v>20</v>
      </c>
      <c r="N2875">
        <v>18</v>
      </c>
      <c r="O2875">
        <v>3</v>
      </c>
      <c r="P2875">
        <v>8588.02</v>
      </c>
      <c r="Q2875">
        <v>0</v>
      </c>
    </row>
    <row r="2876" spans="7:17" x14ac:dyDescent="0.25">
      <c r="G2876" t="str">
        <f t="shared" si="44"/>
        <v/>
      </c>
      <c r="H2876" t="s">
        <v>47</v>
      </c>
      <c r="I2876" t="s">
        <v>11</v>
      </c>
      <c r="J2876" t="s">
        <v>3</v>
      </c>
      <c r="K2876" t="s">
        <v>37</v>
      </c>
      <c r="L2876" t="s">
        <v>45</v>
      </c>
      <c r="M2876" t="s">
        <v>19</v>
      </c>
      <c r="N2876">
        <v>2</v>
      </c>
      <c r="O2876">
        <v>0</v>
      </c>
      <c r="P2876">
        <v>1415.49</v>
      </c>
      <c r="Q2876">
        <v>200.67000000000002</v>
      </c>
    </row>
    <row r="2877" spans="7:17" x14ac:dyDescent="0.25">
      <c r="G2877" t="str">
        <f t="shared" si="44"/>
        <v/>
      </c>
      <c r="H2877" t="s">
        <v>47</v>
      </c>
      <c r="I2877" t="s">
        <v>11</v>
      </c>
      <c r="J2877" t="s">
        <v>3</v>
      </c>
      <c r="K2877" t="s">
        <v>37</v>
      </c>
      <c r="L2877" t="s">
        <v>45</v>
      </c>
      <c r="M2877" t="s">
        <v>20</v>
      </c>
      <c r="N2877">
        <v>152</v>
      </c>
      <c r="O2877">
        <v>23</v>
      </c>
      <c r="P2877">
        <v>91173.689999999944</v>
      </c>
      <c r="Q2877">
        <v>0</v>
      </c>
    </row>
    <row r="2878" spans="7:17" x14ac:dyDescent="0.25">
      <c r="G2878" t="str">
        <f t="shared" si="44"/>
        <v/>
      </c>
      <c r="H2878" t="s">
        <v>47</v>
      </c>
      <c r="I2878" t="s">
        <v>11</v>
      </c>
      <c r="J2878" t="s">
        <v>3</v>
      </c>
      <c r="K2878" t="s">
        <v>38</v>
      </c>
      <c r="L2878" t="s">
        <v>42</v>
      </c>
      <c r="M2878" t="s">
        <v>19</v>
      </c>
      <c r="N2878">
        <v>71</v>
      </c>
      <c r="O2878">
        <v>7</v>
      </c>
      <c r="P2878">
        <v>4428.9900000000007</v>
      </c>
      <c r="Q2878">
        <v>4428.9900000000007</v>
      </c>
    </row>
    <row r="2879" spans="7:17" x14ac:dyDescent="0.25">
      <c r="G2879" t="str">
        <f t="shared" si="44"/>
        <v/>
      </c>
      <c r="H2879" t="s">
        <v>47</v>
      </c>
      <c r="I2879" t="s">
        <v>11</v>
      </c>
      <c r="J2879" t="s">
        <v>3</v>
      </c>
      <c r="K2879" t="s">
        <v>38</v>
      </c>
      <c r="L2879" t="s">
        <v>42</v>
      </c>
      <c r="M2879" t="s">
        <v>20</v>
      </c>
      <c r="N2879">
        <v>5</v>
      </c>
      <c r="O2879">
        <v>2</v>
      </c>
      <c r="P2879">
        <v>738.12</v>
      </c>
      <c r="Q2879">
        <v>0</v>
      </c>
    </row>
    <row r="2880" spans="7:17" x14ac:dyDescent="0.25">
      <c r="G2880" t="str">
        <f t="shared" si="44"/>
        <v/>
      </c>
      <c r="H2880" t="s">
        <v>47</v>
      </c>
      <c r="I2880" t="s">
        <v>11</v>
      </c>
      <c r="J2880" t="s">
        <v>3</v>
      </c>
      <c r="K2880" t="s">
        <v>38</v>
      </c>
      <c r="L2880" t="s">
        <v>43</v>
      </c>
      <c r="M2880" t="s">
        <v>19</v>
      </c>
      <c r="N2880">
        <v>26</v>
      </c>
      <c r="O2880">
        <v>3</v>
      </c>
      <c r="P2880">
        <v>15850.890000000001</v>
      </c>
      <c r="Q2880">
        <v>13849.78</v>
      </c>
    </row>
    <row r="2881" spans="7:17" x14ac:dyDescent="0.25">
      <c r="G2881" t="str">
        <f t="shared" si="44"/>
        <v/>
      </c>
      <c r="H2881" t="s">
        <v>47</v>
      </c>
      <c r="I2881" t="s">
        <v>11</v>
      </c>
      <c r="J2881" t="s">
        <v>3</v>
      </c>
      <c r="K2881" t="s">
        <v>38</v>
      </c>
      <c r="L2881" t="s">
        <v>43</v>
      </c>
      <c r="M2881" t="s">
        <v>20</v>
      </c>
      <c r="N2881">
        <v>14</v>
      </c>
      <c r="O2881">
        <v>3</v>
      </c>
      <c r="P2881">
        <v>6678.32</v>
      </c>
      <c r="Q2881">
        <v>0</v>
      </c>
    </row>
    <row r="2882" spans="7:17" x14ac:dyDescent="0.25">
      <c r="G2882" t="str">
        <f t="shared" ref="G2882:G2945" si="45">IF(G$1="Overall","Overall",IF(G$1=L2882,L2882,""))</f>
        <v/>
      </c>
      <c r="H2882" t="s">
        <v>47</v>
      </c>
      <c r="I2882" t="s">
        <v>11</v>
      </c>
      <c r="J2882" t="s">
        <v>3</v>
      </c>
      <c r="K2882" t="s">
        <v>38</v>
      </c>
      <c r="L2882" t="s">
        <v>44</v>
      </c>
      <c r="M2882" t="s">
        <v>19</v>
      </c>
      <c r="N2882">
        <v>12</v>
      </c>
      <c r="O2882">
        <v>4</v>
      </c>
      <c r="P2882">
        <v>10251.909999999998</v>
      </c>
      <c r="Q2882">
        <v>9937.4999999999982</v>
      </c>
    </row>
    <row r="2883" spans="7:17" x14ac:dyDescent="0.25">
      <c r="G2883" t="str">
        <f t="shared" si="45"/>
        <v/>
      </c>
      <c r="H2883" t="s">
        <v>47</v>
      </c>
      <c r="I2883" t="s">
        <v>11</v>
      </c>
      <c r="J2883" t="s">
        <v>3</v>
      </c>
      <c r="K2883" t="s">
        <v>38</v>
      </c>
      <c r="L2883" t="s">
        <v>44</v>
      </c>
      <c r="M2883" t="s">
        <v>20</v>
      </c>
      <c r="N2883">
        <v>1</v>
      </c>
      <c r="O2883">
        <v>1</v>
      </c>
      <c r="P2883">
        <v>2220.5</v>
      </c>
      <c r="Q2883">
        <v>0</v>
      </c>
    </row>
    <row r="2884" spans="7:17" x14ac:dyDescent="0.25">
      <c r="G2884" t="str">
        <f t="shared" si="45"/>
        <v/>
      </c>
      <c r="H2884" t="s">
        <v>47</v>
      </c>
      <c r="I2884" t="s">
        <v>11</v>
      </c>
      <c r="J2884" t="s">
        <v>3</v>
      </c>
      <c r="K2884" t="s">
        <v>38</v>
      </c>
      <c r="L2884" t="s">
        <v>39</v>
      </c>
      <c r="M2884" t="s">
        <v>19</v>
      </c>
      <c r="N2884">
        <v>1</v>
      </c>
      <c r="O2884">
        <v>1</v>
      </c>
      <c r="P2884">
        <v>362.58</v>
      </c>
      <c r="Q2884">
        <v>362.58</v>
      </c>
    </row>
    <row r="2885" spans="7:17" x14ac:dyDescent="0.25">
      <c r="G2885" t="str">
        <f t="shared" si="45"/>
        <v/>
      </c>
      <c r="H2885" t="s">
        <v>47</v>
      </c>
      <c r="I2885" t="s">
        <v>11</v>
      </c>
      <c r="J2885" t="s">
        <v>3</v>
      </c>
      <c r="K2885" t="s">
        <v>38</v>
      </c>
      <c r="L2885" t="s">
        <v>39</v>
      </c>
      <c r="M2885" t="s">
        <v>20</v>
      </c>
      <c r="N2885">
        <v>17</v>
      </c>
      <c r="O2885">
        <v>8</v>
      </c>
      <c r="P2885">
        <v>15649.259999999998</v>
      </c>
      <c r="Q2885">
        <v>0</v>
      </c>
    </row>
    <row r="2886" spans="7:17" x14ac:dyDescent="0.25">
      <c r="G2886" t="str">
        <f t="shared" si="45"/>
        <v/>
      </c>
      <c r="H2886" t="s">
        <v>47</v>
      </c>
      <c r="I2886" t="s">
        <v>11</v>
      </c>
      <c r="J2886" t="s">
        <v>3</v>
      </c>
      <c r="K2886" t="s">
        <v>38</v>
      </c>
      <c r="L2886" t="s">
        <v>40</v>
      </c>
      <c r="M2886" t="s">
        <v>19</v>
      </c>
      <c r="N2886">
        <v>2</v>
      </c>
      <c r="O2886">
        <v>0</v>
      </c>
      <c r="P2886">
        <v>2087.69</v>
      </c>
      <c r="Q2886">
        <v>1034</v>
      </c>
    </row>
    <row r="2887" spans="7:17" x14ac:dyDescent="0.25">
      <c r="G2887" t="str">
        <f t="shared" si="45"/>
        <v/>
      </c>
      <c r="H2887" t="s">
        <v>47</v>
      </c>
      <c r="I2887" t="s">
        <v>11</v>
      </c>
      <c r="J2887" t="s">
        <v>3</v>
      </c>
      <c r="K2887" t="s">
        <v>38</v>
      </c>
      <c r="L2887" t="s">
        <v>40</v>
      </c>
      <c r="M2887" t="s">
        <v>20</v>
      </c>
      <c r="N2887">
        <v>3</v>
      </c>
      <c r="O2887">
        <v>0</v>
      </c>
      <c r="P2887">
        <v>2669.0199999999995</v>
      </c>
      <c r="Q2887">
        <v>0</v>
      </c>
    </row>
    <row r="2888" spans="7:17" x14ac:dyDescent="0.25">
      <c r="G2888" t="str">
        <f t="shared" si="45"/>
        <v/>
      </c>
      <c r="H2888" t="s">
        <v>47</v>
      </c>
      <c r="I2888" t="s">
        <v>11</v>
      </c>
      <c r="J2888" t="s">
        <v>3</v>
      </c>
      <c r="K2888" t="s">
        <v>38</v>
      </c>
      <c r="L2888" t="s">
        <v>41</v>
      </c>
      <c r="M2888" t="s">
        <v>20</v>
      </c>
      <c r="N2888">
        <v>6</v>
      </c>
      <c r="O2888">
        <v>1</v>
      </c>
      <c r="P2888">
        <v>5801.9</v>
      </c>
      <c r="Q2888">
        <v>0</v>
      </c>
    </row>
    <row r="2889" spans="7:17" x14ac:dyDescent="0.25">
      <c r="G2889" t="str">
        <f t="shared" si="45"/>
        <v/>
      </c>
      <c r="H2889" t="s">
        <v>47</v>
      </c>
      <c r="I2889" t="s">
        <v>11</v>
      </c>
      <c r="J2889" t="s">
        <v>3</v>
      </c>
      <c r="K2889" t="s">
        <v>38</v>
      </c>
      <c r="L2889" t="s">
        <v>45</v>
      </c>
      <c r="M2889" t="s">
        <v>19</v>
      </c>
      <c r="N2889">
        <v>1</v>
      </c>
      <c r="O2889">
        <v>1</v>
      </c>
      <c r="P2889">
        <v>1754.7</v>
      </c>
      <c r="Q2889">
        <v>233.13</v>
      </c>
    </row>
    <row r="2890" spans="7:17" x14ac:dyDescent="0.25">
      <c r="G2890" t="str">
        <f t="shared" si="45"/>
        <v/>
      </c>
      <c r="H2890" t="s">
        <v>47</v>
      </c>
      <c r="I2890" t="s">
        <v>11</v>
      </c>
      <c r="J2890" t="s">
        <v>3</v>
      </c>
      <c r="K2890" t="s">
        <v>38</v>
      </c>
      <c r="L2890" t="s">
        <v>45</v>
      </c>
      <c r="M2890" t="s">
        <v>20</v>
      </c>
      <c r="N2890">
        <v>34</v>
      </c>
      <c r="O2890">
        <v>3</v>
      </c>
      <c r="P2890">
        <v>13329.960000000001</v>
      </c>
      <c r="Q2890">
        <v>0</v>
      </c>
    </row>
    <row r="2891" spans="7:17" x14ac:dyDescent="0.25">
      <c r="G2891" t="str">
        <f t="shared" si="45"/>
        <v/>
      </c>
      <c r="H2891" t="s">
        <v>47</v>
      </c>
      <c r="I2891" t="s">
        <v>11</v>
      </c>
      <c r="J2891" t="s">
        <v>5</v>
      </c>
      <c r="K2891" t="s">
        <v>23</v>
      </c>
      <c r="L2891" t="s">
        <v>42</v>
      </c>
      <c r="M2891" t="s">
        <v>19</v>
      </c>
      <c r="N2891">
        <v>1164</v>
      </c>
      <c r="O2891">
        <v>25</v>
      </c>
      <c r="P2891">
        <v>310893.69000000239</v>
      </c>
      <c r="Q2891">
        <v>306531.29000000242</v>
      </c>
    </row>
    <row r="2892" spans="7:17" x14ac:dyDescent="0.25">
      <c r="G2892" t="str">
        <f t="shared" si="45"/>
        <v/>
      </c>
      <c r="H2892" t="s">
        <v>47</v>
      </c>
      <c r="I2892" t="s">
        <v>11</v>
      </c>
      <c r="J2892" t="s">
        <v>5</v>
      </c>
      <c r="K2892" t="s">
        <v>23</v>
      </c>
      <c r="L2892" t="s">
        <v>42</v>
      </c>
      <c r="M2892" t="s">
        <v>20</v>
      </c>
      <c r="N2892">
        <v>140</v>
      </c>
      <c r="O2892">
        <v>6</v>
      </c>
      <c r="P2892">
        <v>237247.23000000007</v>
      </c>
      <c r="Q2892">
        <v>0</v>
      </c>
    </row>
    <row r="2893" spans="7:17" x14ac:dyDescent="0.25">
      <c r="G2893" t="str">
        <f t="shared" si="45"/>
        <v/>
      </c>
      <c r="H2893" t="s">
        <v>47</v>
      </c>
      <c r="I2893" t="s">
        <v>11</v>
      </c>
      <c r="J2893" t="s">
        <v>5</v>
      </c>
      <c r="K2893" t="s">
        <v>23</v>
      </c>
      <c r="L2893" t="s">
        <v>43</v>
      </c>
      <c r="M2893" t="s">
        <v>19</v>
      </c>
      <c r="N2893">
        <v>140</v>
      </c>
      <c r="O2893">
        <v>8</v>
      </c>
      <c r="P2893">
        <v>103500.45999999999</v>
      </c>
      <c r="Q2893">
        <v>72325.7</v>
      </c>
    </row>
    <row r="2894" spans="7:17" x14ac:dyDescent="0.25">
      <c r="G2894" t="str">
        <f t="shared" si="45"/>
        <v/>
      </c>
      <c r="H2894" t="s">
        <v>47</v>
      </c>
      <c r="I2894" t="s">
        <v>11</v>
      </c>
      <c r="J2894" t="s">
        <v>5</v>
      </c>
      <c r="K2894" t="s">
        <v>23</v>
      </c>
      <c r="L2894" t="s">
        <v>43</v>
      </c>
      <c r="M2894" t="s">
        <v>20</v>
      </c>
      <c r="N2894">
        <v>94</v>
      </c>
      <c r="O2894">
        <v>12</v>
      </c>
      <c r="P2894">
        <v>81888.969999999987</v>
      </c>
      <c r="Q2894">
        <v>0</v>
      </c>
    </row>
    <row r="2895" spans="7:17" x14ac:dyDescent="0.25">
      <c r="G2895" t="str">
        <f t="shared" si="45"/>
        <v/>
      </c>
      <c r="H2895" t="s">
        <v>47</v>
      </c>
      <c r="I2895" t="s">
        <v>11</v>
      </c>
      <c r="J2895" t="s">
        <v>5</v>
      </c>
      <c r="K2895" t="s">
        <v>23</v>
      </c>
      <c r="L2895" t="s">
        <v>44</v>
      </c>
      <c r="M2895" t="s">
        <v>19</v>
      </c>
      <c r="N2895">
        <v>202</v>
      </c>
      <c r="O2895">
        <v>10</v>
      </c>
      <c r="P2895">
        <v>347902.13999999978</v>
      </c>
      <c r="Q2895">
        <v>175384.46000000011</v>
      </c>
    </row>
    <row r="2896" spans="7:17" x14ac:dyDescent="0.25">
      <c r="G2896" t="str">
        <f t="shared" si="45"/>
        <v/>
      </c>
      <c r="H2896" t="s">
        <v>47</v>
      </c>
      <c r="I2896" t="s">
        <v>11</v>
      </c>
      <c r="J2896" t="s">
        <v>5</v>
      </c>
      <c r="K2896" t="s">
        <v>23</v>
      </c>
      <c r="L2896" t="s">
        <v>44</v>
      </c>
      <c r="M2896" t="s">
        <v>20</v>
      </c>
      <c r="N2896">
        <v>33</v>
      </c>
      <c r="O2896">
        <v>5</v>
      </c>
      <c r="P2896">
        <v>28840.519999999997</v>
      </c>
      <c r="Q2896">
        <v>0</v>
      </c>
    </row>
    <row r="2897" spans="7:17" x14ac:dyDescent="0.25">
      <c r="G2897" t="str">
        <f t="shared" si="45"/>
        <v/>
      </c>
      <c r="H2897" t="s">
        <v>47</v>
      </c>
      <c r="I2897" t="s">
        <v>11</v>
      </c>
      <c r="J2897" t="s">
        <v>5</v>
      </c>
      <c r="K2897" t="s">
        <v>23</v>
      </c>
      <c r="L2897" t="s">
        <v>39</v>
      </c>
      <c r="M2897" t="s">
        <v>19</v>
      </c>
      <c r="N2897">
        <v>27</v>
      </c>
      <c r="O2897">
        <v>10</v>
      </c>
      <c r="P2897">
        <v>90361.130000000019</v>
      </c>
      <c r="Q2897">
        <v>35019.26</v>
      </c>
    </row>
    <row r="2898" spans="7:17" x14ac:dyDescent="0.25">
      <c r="G2898" t="str">
        <f t="shared" si="45"/>
        <v/>
      </c>
      <c r="H2898" t="s">
        <v>47</v>
      </c>
      <c r="I2898" t="s">
        <v>11</v>
      </c>
      <c r="J2898" t="s">
        <v>5</v>
      </c>
      <c r="K2898" t="s">
        <v>23</v>
      </c>
      <c r="L2898" t="s">
        <v>39</v>
      </c>
      <c r="M2898" t="s">
        <v>20</v>
      </c>
      <c r="N2898">
        <v>36</v>
      </c>
      <c r="O2898">
        <v>11</v>
      </c>
      <c r="P2898">
        <v>26412.659999999996</v>
      </c>
      <c r="Q2898">
        <v>0</v>
      </c>
    </row>
    <row r="2899" spans="7:17" x14ac:dyDescent="0.25">
      <c r="G2899" t="str">
        <f t="shared" si="45"/>
        <v/>
      </c>
      <c r="H2899" t="s">
        <v>47</v>
      </c>
      <c r="I2899" t="s">
        <v>11</v>
      </c>
      <c r="J2899" t="s">
        <v>5</v>
      </c>
      <c r="K2899" t="s">
        <v>23</v>
      </c>
      <c r="L2899" t="s">
        <v>40</v>
      </c>
      <c r="M2899" t="s">
        <v>19</v>
      </c>
      <c r="N2899">
        <v>2</v>
      </c>
      <c r="O2899">
        <v>0</v>
      </c>
      <c r="P2899">
        <v>4067.31</v>
      </c>
      <c r="Q2899">
        <v>1394.8</v>
      </c>
    </row>
    <row r="2900" spans="7:17" x14ac:dyDescent="0.25">
      <c r="G2900" t="str">
        <f t="shared" si="45"/>
        <v/>
      </c>
      <c r="H2900" t="s">
        <v>47</v>
      </c>
      <c r="I2900" t="s">
        <v>11</v>
      </c>
      <c r="J2900" t="s">
        <v>5</v>
      </c>
      <c r="K2900" t="s">
        <v>23</v>
      </c>
      <c r="L2900" t="s">
        <v>40</v>
      </c>
      <c r="M2900" t="s">
        <v>20</v>
      </c>
      <c r="N2900">
        <v>9</v>
      </c>
      <c r="O2900">
        <v>2</v>
      </c>
      <c r="P2900">
        <v>2803.7899999999995</v>
      </c>
      <c r="Q2900">
        <v>0</v>
      </c>
    </row>
    <row r="2901" spans="7:17" x14ac:dyDescent="0.25">
      <c r="G2901" t="str">
        <f t="shared" si="45"/>
        <v/>
      </c>
      <c r="H2901" t="s">
        <v>47</v>
      </c>
      <c r="I2901" t="s">
        <v>11</v>
      </c>
      <c r="J2901" t="s">
        <v>5</v>
      </c>
      <c r="K2901" t="s">
        <v>23</v>
      </c>
      <c r="L2901" t="s">
        <v>41</v>
      </c>
      <c r="M2901" t="s">
        <v>19</v>
      </c>
      <c r="N2901">
        <v>1</v>
      </c>
      <c r="O2901">
        <v>0</v>
      </c>
      <c r="P2901">
        <v>1344.96</v>
      </c>
      <c r="Q2901">
        <v>1344.96</v>
      </c>
    </row>
    <row r="2902" spans="7:17" x14ac:dyDescent="0.25">
      <c r="G2902" t="str">
        <f t="shared" si="45"/>
        <v/>
      </c>
      <c r="H2902" t="s">
        <v>47</v>
      </c>
      <c r="I2902" t="s">
        <v>11</v>
      </c>
      <c r="J2902" t="s">
        <v>5</v>
      </c>
      <c r="K2902" t="s">
        <v>23</v>
      </c>
      <c r="L2902" t="s">
        <v>41</v>
      </c>
      <c r="M2902" t="s">
        <v>20</v>
      </c>
      <c r="N2902">
        <v>21</v>
      </c>
      <c r="O2902">
        <v>1</v>
      </c>
      <c r="P2902">
        <v>9170.4500000000007</v>
      </c>
      <c r="Q2902">
        <v>0</v>
      </c>
    </row>
    <row r="2903" spans="7:17" x14ac:dyDescent="0.25">
      <c r="G2903" t="str">
        <f t="shared" si="45"/>
        <v/>
      </c>
      <c r="H2903" t="s">
        <v>47</v>
      </c>
      <c r="I2903" t="s">
        <v>11</v>
      </c>
      <c r="J2903" t="s">
        <v>5</v>
      </c>
      <c r="K2903" t="s">
        <v>23</v>
      </c>
      <c r="L2903" t="s">
        <v>45</v>
      </c>
      <c r="M2903" t="s">
        <v>19</v>
      </c>
      <c r="N2903">
        <v>1</v>
      </c>
      <c r="O2903">
        <v>0</v>
      </c>
      <c r="P2903">
        <v>1437.95</v>
      </c>
      <c r="Q2903">
        <v>293.24</v>
      </c>
    </row>
    <row r="2904" spans="7:17" x14ac:dyDescent="0.25">
      <c r="G2904" t="str">
        <f t="shared" si="45"/>
        <v/>
      </c>
      <c r="H2904" t="s">
        <v>47</v>
      </c>
      <c r="I2904" t="s">
        <v>11</v>
      </c>
      <c r="J2904" t="s">
        <v>5</v>
      </c>
      <c r="K2904" t="s">
        <v>23</v>
      </c>
      <c r="L2904" t="s">
        <v>45</v>
      </c>
      <c r="M2904" t="s">
        <v>20</v>
      </c>
      <c r="N2904">
        <v>233</v>
      </c>
      <c r="O2904">
        <v>42</v>
      </c>
      <c r="P2904">
        <v>185108.58</v>
      </c>
      <c r="Q2904">
        <v>0</v>
      </c>
    </row>
    <row r="2905" spans="7:17" x14ac:dyDescent="0.25">
      <c r="G2905" t="str">
        <f t="shared" si="45"/>
        <v/>
      </c>
      <c r="H2905" t="s">
        <v>47</v>
      </c>
      <c r="I2905" t="s">
        <v>11</v>
      </c>
      <c r="J2905" t="s">
        <v>5</v>
      </c>
      <c r="K2905" t="s">
        <v>24</v>
      </c>
      <c r="L2905" t="s">
        <v>42</v>
      </c>
      <c r="M2905" t="s">
        <v>19</v>
      </c>
      <c r="N2905">
        <v>291</v>
      </c>
      <c r="O2905">
        <v>15</v>
      </c>
      <c r="P2905">
        <v>53856.490000000187</v>
      </c>
      <c r="Q2905">
        <v>50027.970000000139</v>
      </c>
    </row>
    <row r="2906" spans="7:17" x14ac:dyDescent="0.25">
      <c r="G2906" t="str">
        <f t="shared" si="45"/>
        <v/>
      </c>
      <c r="H2906" t="s">
        <v>47</v>
      </c>
      <c r="I2906" t="s">
        <v>11</v>
      </c>
      <c r="J2906" t="s">
        <v>5</v>
      </c>
      <c r="K2906" t="s">
        <v>24</v>
      </c>
      <c r="L2906" t="s">
        <v>42</v>
      </c>
      <c r="M2906" t="s">
        <v>20</v>
      </c>
      <c r="N2906">
        <v>299</v>
      </c>
      <c r="O2906">
        <v>4</v>
      </c>
      <c r="P2906">
        <v>466396.76000000053</v>
      </c>
      <c r="Q2906">
        <v>0</v>
      </c>
    </row>
    <row r="2907" spans="7:17" x14ac:dyDescent="0.25">
      <c r="G2907" t="str">
        <f t="shared" si="45"/>
        <v/>
      </c>
      <c r="H2907" t="s">
        <v>47</v>
      </c>
      <c r="I2907" t="s">
        <v>11</v>
      </c>
      <c r="J2907" t="s">
        <v>5</v>
      </c>
      <c r="K2907" t="s">
        <v>24</v>
      </c>
      <c r="L2907" t="s">
        <v>43</v>
      </c>
      <c r="M2907" t="s">
        <v>19</v>
      </c>
      <c r="N2907">
        <v>200</v>
      </c>
      <c r="O2907">
        <v>10</v>
      </c>
      <c r="P2907">
        <v>187651.24000000008</v>
      </c>
      <c r="Q2907">
        <v>172657.47999999995</v>
      </c>
    </row>
    <row r="2908" spans="7:17" x14ac:dyDescent="0.25">
      <c r="G2908" t="str">
        <f t="shared" si="45"/>
        <v/>
      </c>
      <c r="H2908" t="s">
        <v>47</v>
      </c>
      <c r="I2908" t="s">
        <v>11</v>
      </c>
      <c r="J2908" t="s">
        <v>5</v>
      </c>
      <c r="K2908" t="s">
        <v>24</v>
      </c>
      <c r="L2908" t="s">
        <v>43</v>
      </c>
      <c r="M2908" t="s">
        <v>20</v>
      </c>
      <c r="N2908">
        <v>69</v>
      </c>
      <c r="O2908">
        <v>5</v>
      </c>
      <c r="P2908">
        <v>67649.53</v>
      </c>
      <c r="Q2908">
        <v>0</v>
      </c>
    </row>
    <row r="2909" spans="7:17" x14ac:dyDescent="0.25">
      <c r="G2909" t="str">
        <f t="shared" si="45"/>
        <v/>
      </c>
      <c r="H2909" t="s">
        <v>47</v>
      </c>
      <c r="I2909" t="s">
        <v>11</v>
      </c>
      <c r="J2909" t="s">
        <v>5</v>
      </c>
      <c r="K2909" t="s">
        <v>24</v>
      </c>
      <c r="L2909" t="s">
        <v>44</v>
      </c>
      <c r="M2909" t="s">
        <v>19</v>
      </c>
      <c r="N2909">
        <v>33</v>
      </c>
      <c r="O2909">
        <v>7</v>
      </c>
      <c r="P2909">
        <v>47022.439999999988</v>
      </c>
      <c r="Q2909">
        <v>27698.43</v>
      </c>
    </row>
    <row r="2910" spans="7:17" x14ac:dyDescent="0.25">
      <c r="G2910" t="str">
        <f t="shared" si="45"/>
        <v/>
      </c>
      <c r="H2910" t="s">
        <v>47</v>
      </c>
      <c r="I2910" t="s">
        <v>11</v>
      </c>
      <c r="J2910" t="s">
        <v>5</v>
      </c>
      <c r="K2910" t="s">
        <v>24</v>
      </c>
      <c r="L2910" t="s">
        <v>44</v>
      </c>
      <c r="M2910" t="s">
        <v>20</v>
      </c>
      <c r="N2910">
        <v>53</v>
      </c>
      <c r="O2910">
        <v>4</v>
      </c>
      <c r="P2910">
        <v>92216.62999999999</v>
      </c>
      <c r="Q2910">
        <v>0</v>
      </c>
    </row>
    <row r="2911" spans="7:17" x14ac:dyDescent="0.25">
      <c r="G2911" t="str">
        <f t="shared" si="45"/>
        <v/>
      </c>
      <c r="H2911" t="s">
        <v>47</v>
      </c>
      <c r="I2911" t="s">
        <v>11</v>
      </c>
      <c r="J2911" t="s">
        <v>5</v>
      </c>
      <c r="K2911" t="s">
        <v>24</v>
      </c>
      <c r="L2911" t="s">
        <v>39</v>
      </c>
      <c r="M2911" t="s">
        <v>19</v>
      </c>
      <c r="N2911">
        <v>38</v>
      </c>
      <c r="O2911">
        <v>0</v>
      </c>
      <c r="P2911">
        <v>53003.989999999983</v>
      </c>
      <c r="Q2911">
        <v>15954.189999999995</v>
      </c>
    </row>
    <row r="2912" spans="7:17" x14ac:dyDescent="0.25">
      <c r="G2912" t="str">
        <f t="shared" si="45"/>
        <v/>
      </c>
      <c r="H2912" t="s">
        <v>47</v>
      </c>
      <c r="I2912" t="s">
        <v>11</v>
      </c>
      <c r="J2912" t="s">
        <v>5</v>
      </c>
      <c r="K2912" t="s">
        <v>24</v>
      </c>
      <c r="L2912" t="s">
        <v>39</v>
      </c>
      <c r="M2912" t="s">
        <v>20</v>
      </c>
      <c r="N2912">
        <v>15</v>
      </c>
      <c r="O2912">
        <v>3</v>
      </c>
      <c r="P2912">
        <v>40413.74</v>
      </c>
      <c r="Q2912">
        <v>0</v>
      </c>
    </row>
    <row r="2913" spans="7:17" x14ac:dyDescent="0.25">
      <c r="G2913" t="str">
        <f t="shared" si="45"/>
        <v/>
      </c>
      <c r="H2913" t="s">
        <v>47</v>
      </c>
      <c r="I2913" t="s">
        <v>11</v>
      </c>
      <c r="J2913" t="s">
        <v>5</v>
      </c>
      <c r="K2913" t="s">
        <v>24</v>
      </c>
      <c r="L2913" t="s">
        <v>40</v>
      </c>
      <c r="M2913" t="s">
        <v>19</v>
      </c>
      <c r="N2913">
        <v>12</v>
      </c>
      <c r="O2913">
        <v>0</v>
      </c>
      <c r="P2913">
        <v>38349.94</v>
      </c>
      <c r="Q2913">
        <v>24839.570000000007</v>
      </c>
    </row>
    <row r="2914" spans="7:17" x14ac:dyDescent="0.25">
      <c r="G2914" t="str">
        <f t="shared" si="45"/>
        <v/>
      </c>
      <c r="H2914" t="s">
        <v>47</v>
      </c>
      <c r="I2914" t="s">
        <v>11</v>
      </c>
      <c r="J2914" t="s">
        <v>5</v>
      </c>
      <c r="K2914" t="s">
        <v>24</v>
      </c>
      <c r="L2914" t="s">
        <v>40</v>
      </c>
      <c r="M2914" t="s">
        <v>20</v>
      </c>
      <c r="N2914">
        <v>17</v>
      </c>
      <c r="O2914">
        <v>0</v>
      </c>
      <c r="P2914">
        <v>20439.62</v>
      </c>
      <c r="Q2914">
        <v>0</v>
      </c>
    </row>
    <row r="2915" spans="7:17" x14ac:dyDescent="0.25">
      <c r="G2915" t="str">
        <f t="shared" si="45"/>
        <v/>
      </c>
      <c r="H2915" t="s">
        <v>47</v>
      </c>
      <c r="I2915" t="s">
        <v>11</v>
      </c>
      <c r="J2915" t="s">
        <v>5</v>
      </c>
      <c r="K2915" t="s">
        <v>24</v>
      </c>
      <c r="L2915" t="s">
        <v>41</v>
      </c>
      <c r="M2915" t="s">
        <v>19</v>
      </c>
      <c r="N2915">
        <v>3</v>
      </c>
      <c r="O2915">
        <v>0</v>
      </c>
      <c r="P2915">
        <v>9425.9199999999983</v>
      </c>
      <c r="Q2915">
        <v>8823.7199999999993</v>
      </c>
    </row>
    <row r="2916" spans="7:17" x14ac:dyDescent="0.25">
      <c r="G2916" t="str">
        <f t="shared" si="45"/>
        <v/>
      </c>
      <c r="H2916" t="s">
        <v>47</v>
      </c>
      <c r="I2916" t="s">
        <v>11</v>
      </c>
      <c r="J2916" t="s">
        <v>5</v>
      </c>
      <c r="K2916" t="s">
        <v>24</v>
      </c>
      <c r="L2916" t="s">
        <v>41</v>
      </c>
      <c r="M2916" t="s">
        <v>20</v>
      </c>
      <c r="N2916">
        <v>8</v>
      </c>
      <c r="O2916">
        <v>0</v>
      </c>
      <c r="P2916">
        <v>4955.0700000000006</v>
      </c>
      <c r="Q2916">
        <v>0</v>
      </c>
    </row>
    <row r="2917" spans="7:17" x14ac:dyDescent="0.25">
      <c r="G2917" t="str">
        <f t="shared" si="45"/>
        <v/>
      </c>
      <c r="H2917" t="s">
        <v>47</v>
      </c>
      <c r="I2917" t="s">
        <v>11</v>
      </c>
      <c r="J2917" t="s">
        <v>5</v>
      </c>
      <c r="K2917" t="s">
        <v>24</v>
      </c>
      <c r="L2917" t="s">
        <v>45</v>
      </c>
      <c r="M2917" t="s">
        <v>19</v>
      </c>
      <c r="N2917">
        <v>1</v>
      </c>
      <c r="O2917">
        <v>0</v>
      </c>
      <c r="P2917">
        <v>284.19</v>
      </c>
      <c r="Q2917">
        <v>284.19</v>
      </c>
    </row>
    <row r="2918" spans="7:17" x14ac:dyDescent="0.25">
      <c r="G2918" t="str">
        <f t="shared" si="45"/>
        <v/>
      </c>
      <c r="H2918" t="s">
        <v>47</v>
      </c>
      <c r="I2918" t="s">
        <v>11</v>
      </c>
      <c r="J2918" t="s">
        <v>5</v>
      </c>
      <c r="K2918" t="s">
        <v>24</v>
      </c>
      <c r="L2918" t="s">
        <v>45</v>
      </c>
      <c r="M2918" t="s">
        <v>20</v>
      </c>
      <c r="N2918">
        <v>43</v>
      </c>
      <c r="O2918">
        <v>13</v>
      </c>
      <c r="P2918">
        <v>58439.619999999995</v>
      </c>
      <c r="Q2918">
        <v>0</v>
      </c>
    </row>
    <row r="2919" spans="7:17" x14ac:dyDescent="0.25">
      <c r="G2919" t="str">
        <f t="shared" si="45"/>
        <v/>
      </c>
      <c r="H2919" t="s">
        <v>47</v>
      </c>
      <c r="I2919" t="s">
        <v>11</v>
      </c>
      <c r="J2919" t="s">
        <v>5</v>
      </c>
      <c r="K2919" t="s">
        <v>25</v>
      </c>
      <c r="L2919" t="s">
        <v>42</v>
      </c>
      <c r="M2919" t="s">
        <v>19</v>
      </c>
      <c r="N2919">
        <v>1205</v>
      </c>
      <c r="O2919">
        <v>47</v>
      </c>
      <c r="P2919">
        <v>433241.80000000185</v>
      </c>
      <c r="Q2919">
        <v>431938.20000000182</v>
      </c>
    </row>
    <row r="2920" spans="7:17" x14ac:dyDescent="0.25">
      <c r="G2920" t="str">
        <f t="shared" si="45"/>
        <v/>
      </c>
      <c r="H2920" t="s">
        <v>47</v>
      </c>
      <c r="I2920" t="s">
        <v>11</v>
      </c>
      <c r="J2920" t="s">
        <v>5</v>
      </c>
      <c r="K2920" t="s">
        <v>25</v>
      </c>
      <c r="L2920" t="s">
        <v>42</v>
      </c>
      <c r="M2920" t="s">
        <v>20</v>
      </c>
      <c r="N2920">
        <v>261</v>
      </c>
      <c r="O2920">
        <v>14</v>
      </c>
      <c r="P2920">
        <v>92264.830000000118</v>
      </c>
      <c r="Q2920">
        <v>0</v>
      </c>
    </row>
    <row r="2921" spans="7:17" x14ac:dyDescent="0.25">
      <c r="G2921" t="str">
        <f t="shared" si="45"/>
        <v/>
      </c>
      <c r="H2921" t="s">
        <v>47</v>
      </c>
      <c r="I2921" t="s">
        <v>11</v>
      </c>
      <c r="J2921" t="s">
        <v>5</v>
      </c>
      <c r="K2921" t="s">
        <v>25</v>
      </c>
      <c r="L2921" t="s">
        <v>43</v>
      </c>
      <c r="M2921" t="s">
        <v>19</v>
      </c>
      <c r="N2921">
        <v>452</v>
      </c>
      <c r="O2921">
        <v>31</v>
      </c>
      <c r="P2921">
        <v>344034.36000000028</v>
      </c>
      <c r="Q2921">
        <v>225478.09000000026</v>
      </c>
    </row>
    <row r="2922" spans="7:17" x14ac:dyDescent="0.25">
      <c r="G2922" t="str">
        <f t="shared" si="45"/>
        <v/>
      </c>
      <c r="H2922" t="s">
        <v>47</v>
      </c>
      <c r="I2922" t="s">
        <v>11</v>
      </c>
      <c r="J2922" t="s">
        <v>5</v>
      </c>
      <c r="K2922" t="s">
        <v>25</v>
      </c>
      <c r="L2922" t="s">
        <v>43</v>
      </c>
      <c r="M2922" t="s">
        <v>20</v>
      </c>
      <c r="N2922">
        <v>236</v>
      </c>
      <c r="O2922">
        <v>19</v>
      </c>
      <c r="P2922">
        <v>102737.93000000007</v>
      </c>
      <c r="Q2922">
        <v>0</v>
      </c>
    </row>
    <row r="2923" spans="7:17" x14ac:dyDescent="0.25">
      <c r="G2923" t="str">
        <f t="shared" si="45"/>
        <v/>
      </c>
      <c r="H2923" t="s">
        <v>47</v>
      </c>
      <c r="I2923" t="s">
        <v>11</v>
      </c>
      <c r="J2923" t="s">
        <v>5</v>
      </c>
      <c r="K2923" t="s">
        <v>25</v>
      </c>
      <c r="L2923" t="s">
        <v>44</v>
      </c>
      <c r="M2923" t="s">
        <v>19</v>
      </c>
      <c r="N2923">
        <v>261</v>
      </c>
      <c r="O2923">
        <v>23</v>
      </c>
      <c r="P2923">
        <v>276397.39</v>
      </c>
      <c r="Q2923">
        <v>220469.44000000003</v>
      </c>
    </row>
    <row r="2924" spans="7:17" x14ac:dyDescent="0.25">
      <c r="G2924" t="str">
        <f t="shared" si="45"/>
        <v/>
      </c>
      <c r="H2924" t="s">
        <v>47</v>
      </c>
      <c r="I2924" t="s">
        <v>11</v>
      </c>
      <c r="J2924" t="s">
        <v>5</v>
      </c>
      <c r="K2924" t="s">
        <v>25</v>
      </c>
      <c r="L2924" t="s">
        <v>44</v>
      </c>
      <c r="M2924" t="s">
        <v>20</v>
      </c>
      <c r="N2924">
        <v>127</v>
      </c>
      <c r="O2924">
        <v>13</v>
      </c>
      <c r="P2924">
        <v>72620.7</v>
      </c>
      <c r="Q2924">
        <v>0</v>
      </c>
    </row>
    <row r="2925" spans="7:17" x14ac:dyDescent="0.25">
      <c r="G2925" t="str">
        <f t="shared" si="45"/>
        <v/>
      </c>
      <c r="H2925" t="s">
        <v>47</v>
      </c>
      <c r="I2925" t="s">
        <v>11</v>
      </c>
      <c r="J2925" t="s">
        <v>5</v>
      </c>
      <c r="K2925" t="s">
        <v>25</v>
      </c>
      <c r="L2925" t="s">
        <v>39</v>
      </c>
      <c r="M2925" t="s">
        <v>19</v>
      </c>
      <c r="N2925">
        <v>68</v>
      </c>
      <c r="O2925">
        <v>16</v>
      </c>
      <c r="P2925">
        <v>91653.83</v>
      </c>
      <c r="Q2925">
        <v>73241.600000000006</v>
      </c>
    </row>
    <row r="2926" spans="7:17" x14ac:dyDescent="0.25">
      <c r="G2926" t="str">
        <f t="shared" si="45"/>
        <v/>
      </c>
      <c r="H2926" t="s">
        <v>47</v>
      </c>
      <c r="I2926" t="s">
        <v>11</v>
      </c>
      <c r="J2926" t="s">
        <v>5</v>
      </c>
      <c r="K2926" t="s">
        <v>25</v>
      </c>
      <c r="L2926" t="s">
        <v>39</v>
      </c>
      <c r="M2926" t="s">
        <v>20</v>
      </c>
      <c r="N2926">
        <v>29</v>
      </c>
      <c r="O2926">
        <v>12</v>
      </c>
      <c r="P2926">
        <v>15392.450000000003</v>
      </c>
      <c r="Q2926">
        <v>0</v>
      </c>
    </row>
    <row r="2927" spans="7:17" x14ac:dyDescent="0.25">
      <c r="G2927" t="str">
        <f t="shared" si="45"/>
        <v/>
      </c>
      <c r="H2927" t="s">
        <v>47</v>
      </c>
      <c r="I2927" t="s">
        <v>11</v>
      </c>
      <c r="J2927" t="s">
        <v>5</v>
      </c>
      <c r="K2927" t="s">
        <v>25</v>
      </c>
      <c r="L2927" t="s">
        <v>40</v>
      </c>
      <c r="M2927" t="s">
        <v>19</v>
      </c>
      <c r="N2927">
        <v>6</v>
      </c>
      <c r="O2927">
        <v>0</v>
      </c>
      <c r="P2927">
        <v>3315.84</v>
      </c>
      <c r="Q2927">
        <v>1039.82</v>
      </c>
    </row>
    <row r="2928" spans="7:17" x14ac:dyDescent="0.25">
      <c r="G2928" t="str">
        <f t="shared" si="45"/>
        <v/>
      </c>
      <c r="H2928" t="s">
        <v>47</v>
      </c>
      <c r="I2928" t="s">
        <v>11</v>
      </c>
      <c r="J2928" t="s">
        <v>5</v>
      </c>
      <c r="K2928" t="s">
        <v>25</v>
      </c>
      <c r="L2928" t="s">
        <v>40</v>
      </c>
      <c r="M2928" t="s">
        <v>20</v>
      </c>
      <c r="N2928">
        <v>21</v>
      </c>
      <c r="O2928">
        <v>3</v>
      </c>
      <c r="P2928">
        <v>11605.24</v>
      </c>
      <c r="Q2928">
        <v>0</v>
      </c>
    </row>
    <row r="2929" spans="7:17" x14ac:dyDescent="0.25">
      <c r="G2929" t="str">
        <f t="shared" si="45"/>
        <v/>
      </c>
      <c r="H2929" t="s">
        <v>47</v>
      </c>
      <c r="I2929" t="s">
        <v>11</v>
      </c>
      <c r="J2929" t="s">
        <v>5</v>
      </c>
      <c r="K2929" t="s">
        <v>25</v>
      </c>
      <c r="L2929" t="s">
        <v>41</v>
      </c>
      <c r="M2929" t="s">
        <v>19</v>
      </c>
      <c r="N2929">
        <v>1</v>
      </c>
      <c r="O2929">
        <v>0</v>
      </c>
      <c r="P2929">
        <v>1.67</v>
      </c>
      <c r="Q2929">
        <v>1.67</v>
      </c>
    </row>
    <row r="2930" spans="7:17" x14ac:dyDescent="0.25">
      <c r="G2930" t="str">
        <f t="shared" si="45"/>
        <v/>
      </c>
      <c r="H2930" t="s">
        <v>47</v>
      </c>
      <c r="I2930" t="s">
        <v>11</v>
      </c>
      <c r="J2930" t="s">
        <v>5</v>
      </c>
      <c r="K2930" t="s">
        <v>25</v>
      </c>
      <c r="L2930" t="s">
        <v>41</v>
      </c>
      <c r="M2930" t="s">
        <v>20</v>
      </c>
      <c r="N2930">
        <v>28</v>
      </c>
      <c r="O2930">
        <v>3</v>
      </c>
      <c r="P2930">
        <v>16774.000000000004</v>
      </c>
      <c r="Q2930">
        <v>0</v>
      </c>
    </row>
    <row r="2931" spans="7:17" x14ac:dyDescent="0.25">
      <c r="G2931" t="str">
        <f t="shared" si="45"/>
        <v/>
      </c>
      <c r="H2931" t="s">
        <v>47</v>
      </c>
      <c r="I2931" t="s">
        <v>11</v>
      </c>
      <c r="J2931" t="s">
        <v>5</v>
      </c>
      <c r="K2931" t="s">
        <v>25</v>
      </c>
      <c r="L2931" t="s">
        <v>45</v>
      </c>
      <c r="M2931" t="s">
        <v>19</v>
      </c>
      <c r="N2931">
        <v>2</v>
      </c>
      <c r="O2931">
        <v>0</v>
      </c>
      <c r="P2931">
        <v>2510.13</v>
      </c>
      <c r="Q2931">
        <v>488</v>
      </c>
    </row>
    <row r="2932" spans="7:17" x14ac:dyDescent="0.25">
      <c r="G2932" t="str">
        <f t="shared" si="45"/>
        <v/>
      </c>
      <c r="H2932" t="s">
        <v>47</v>
      </c>
      <c r="I2932" t="s">
        <v>11</v>
      </c>
      <c r="J2932" t="s">
        <v>5</v>
      </c>
      <c r="K2932" t="s">
        <v>25</v>
      </c>
      <c r="L2932" t="s">
        <v>45</v>
      </c>
      <c r="M2932" t="s">
        <v>20</v>
      </c>
      <c r="N2932">
        <v>319</v>
      </c>
      <c r="O2932">
        <v>51</v>
      </c>
      <c r="P2932">
        <v>142337.06999999983</v>
      </c>
      <c r="Q2932">
        <v>0</v>
      </c>
    </row>
    <row r="2933" spans="7:17" x14ac:dyDescent="0.25">
      <c r="G2933" t="str">
        <f t="shared" si="45"/>
        <v/>
      </c>
      <c r="H2933" t="s">
        <v>47</v>
      </c>
      <c r="I2933" t="s">
        <v>11</v>
      </c>
      <c r="J2933" t="s">
        <v>5</v>
      </c>
      <c r="K2933" t="s">
        <v>26</v>
      </c>
      <c r="L2933" t="s">
        <v>42</v>
      </c>
      <c r="M2933" t="s">
        <v>19</v>
      </c>
      <c r="N2933">
        <v>1346</v>
      </c>
      <c r="O2933">
        <v>67</v>
      </c>
      <c r="P2933">
        <v>338232.98000000342</v>
      </c>
      <c r="Q2933">
        <v>324870.65000000392</v>
      </c>
    </row>
    <row r="2934" spans="7:17" x14ac:dyDescent="0.25">
      <c r="G2934" t="str">
        <f t="shared" si="45"/>
        <v/>
      </c>
      <c r="H2934" t="s">
        <v>47</v>
      </c>
      <c r="I2934" t="s">
        <v>11</v>
      </c>
      <c r="J2934" t="s">
        <v>5</v>
      </c>
      <c r="K2934" t="s">
        <v>26</v>
      </c>
      <c r="L2934" t="s">
        <v>42</v>
      </c>
      <c r="M2934" t="s">
        <v>20</v>
      </c>
      <c r="N2934">
        <v>103</v>
      </c>
      <c r="O2934">
        <v>17</v>
      </c>
      <c r="P2934">
        <v>36312.209999999992</v>
      </c>
      <c r="Q2934">
        <v>0</v>
      </c>
    </row>
    <row r="2935" spans="7:17" x14ac:dyDescent="0.25">
      <c r="G2935" t="str">
        <f t="shared" si="45"/>
        <v/>
      </c>
      <c r="H2935" t="s">
        <v>47</v>
      </c>
      <c r="I2935" t="s">
        <v>11</v>
      </c>
      <c r="J2935" t="s">
        <v>5</v>
      </c>
      <c r="K2935" t="s">
        <v>26</v>
      </c>
      <c r="L2935" t="s">
        <v>43</v>
      </c>
      <c r="M2935" t="s">
        <v>19</v>
      </c>
      <c r="N2935">
        <v>612</v>
      </c>
      <c r="O2935">
        <v>23</v>
      </c>
      <c r="P2935">
        <v>299846.88999999949</v>
      </c>
      <c r="Q2935">
        <v>251954.0900000018</v>
      </c>
    </row>
    <row r="2936" spans="7:17" x14ac:dyDescent="0.25">
      <c r="G2936" t="str">
        <f t="shared" si="45"/>
        <v/>
      </c>
      <c r="H2936" t="s">
        <v>47</v>
      </c>
      <c r="I2936" t="s">
        <v>11</v>
      </c>
      <c r="J2936" t="s">
        <v>5</v>
      </c>
      <c r="K2936" t="s">
        <v>26</v>
      </c>
      <c r="L2936" t="s">
        <v>43</v>
      </c>
      <c r="M2936" t="s">
        <v>20</v>
      </c>
      <c r="N2936">
        <v>236</v>
      </c>
      <c r="O2936">
        <v>21</v>
      </c>
      <c r="P2936">
        <v>102474.40000000007</v>
      </c>
      <c r="Q2936">
        <v>0</v>
      </c>
    </row>
    <row r="2937" spans="7:17" x14ac:dyDescent="0.25">
      <c r="G2937" t="str">
        <f t="shared" si="45"/>
        <v/>
      </c>
      <c r="H2937" t="s">
        <v>47</v>
      </c>
      <c r="I2937" t="s">
        <v>11</v>
      </c>
      <c r="J2937" t="s">
        <v>5</v>
      </c>
      <c r="K2937" t="s">
        <v>26</v>
      </c>
      <c r="L2937" t="s">
        <v>44</v>
      </c>
      <c r="M2937" t="s">
        <v>19</v>
      </c>
      <c r="N2937">
        <v>82</v>
      </c>
      <c r="O2937">
        <v>18</v>
      </c>
      <c r="P2937">
        <v>80743.520000000033</v>
      </c>
      <c r="Q2937">
        <v>55649.509999999966</v>
      </c>
    </row>
    <row r="2938" spans="7:17" x14ac:dyDescent="0.25">
      <c r="G2938" t="str">
        <f t="shared" si="45"/>
        <v/>
      </c>
      <c r="H2938" t="s">
        <v>47</v>
      </c>
      <c r="I2938" t="s">
        <v>11</v>
      </c>
      <c r="J2938" t="s">
        <v>5</v>
      </c>
      <c r="K2938" t="s">
        <v>26</v>
      </c>
      <c r="L2938" t="s">
        <v>44</v>
      </c>
      <c r="M2938" t="s">
        <v>20</v>
      </c>
      <c r="N2938">
        <v>31</v>
      </c>
      <c r="O2938">
        <v>14</v>
      </c>
      <c r="P2938">
        <v>32905.589999999997</v>
      </c>
      <c r="Q2938">
        <v>0</v>
      </c>
    </row>
    <row r="2939" spans="7:17" x14ac:dyDescent="0.25">
      <c r="G2939" t="str">
        <f t="shared" si="45"/>
        <v/>
      </c>
      <c r="H2939" t="s">
        <v>47</v>
      </c>
      <c r="I2939" t="s">
        <v>11</v>
      </c>
      <c r="J2939" t="s">
        <v>5</v>
      </c>
      <c r="K2939" t="s">
        <v>26</v>
      </c>
      <c r="L2939" t="s">
        <v>39</v>
      </c>
      <c r="M2939" t="s">
        <v>19</v>
      </c>
      <c r="N2939">
        <v>28</v>
      </c>
      <c r="O2939">
        <v>5</v>
      </c>
      <c r="P2939">
        <v>34825.379999999997</v>
      </c>
      <c r="Q2939">
        <v>31077.55</v>
      </c>
    </row>
    <row r="2940" spans="7:17" x14ac:dyDescent="0.25">
      <c r="G2940" t="str">
        <f t="shared" si="45"/>
        <v/>
      </c>
      <c r="H2940" t="s">
        <v>47</v>
      </c>
      <c r="I2940" t="s">
        <v>11</v>
      </c>
      <c r="J2940" t="s">
        <v>5</v>
      </c>
      <c r="K2940" t="s">
        <v>26</v>
      </c>
      <c r="L2940" t="s">
        <v>39</v>
      </c>
      <c r="M2940" t="s">
        <v>20</v>
      </c>
      <c r="N2940">
        <v>17</v>
      </c>
      <c r="O2940">
        <v>9</v>
      </c>
      <c r="P2940">
        <v>8027.6399999999994</v>
      </c>
      <c r="Q2940">
        <v>0</v>
      </c>
    </row>
    <row r="2941" spans="7:17" x14ac:dyDescent="0.25">
      <c r="G2941" t="str">
        <f t="shared" si="45"/>
        <v/>
      </c>
      <c r="H2941" t="s">
        <v>47</v>
      </c>
      <c r="I2941" t="s">
        <v>11</v>
      </c>
      <c r="J2941" t="s">
        <v>5</v>
      </c>
      <c r="K2941" t="s">
        <v>26</v>
      </c>
      <c r="L2941" t="s">
        <v>40</v>
      </c>
      <c r="M2941" t="s">
        <v>19</v>
      </c>
      <c r="N2941">
        <v>8</v>
      </c>
      <c r="O2941">
        <v>0</v>
      </c>
      <c r="P2941">
        <v>10380.090000000002</v>
      </c>
      <c r="Q2941">
        <v>3947.4000000000005</v>
      </c>
    </row>
    <row r="2942" spans="7:17" x14ac:dyDescent="0.25">
      <c r="G2942" t="str">
        <f t="shared" si="45"/>
        <v/>
      </c>
      <c r="H2942" t="s">
        <v>47</v>
      </c>
      <c r="I2942" t="s">
        <v>11</v>
      </c>
      <c r="J2942" t="s">
        <v>5</v>
      </c>
      <c r="K2942" t="s">
        <v>26</v>
      </c>
      <c r="L2942" t="s">
        <v>40</v>
      </c>
      <c r="M2942" t="s">
        <v>20</v>
      </c>
      <c r="N2942">
        <v>12</v>
      </c>
      <c r="O2942">
        <v>1</v>
      </c>
      <c r="P2942">
        <v>8253.59</v>
      </c>
      <c r="Q2942">
        <v>0</v>
      </c>
    </row>
    <row r="2943" spans="7:17" x14ac:dyDescent="0.25">
      <c r="G2943" t="str">
        <f t="shared" si="45"/>
        <v/>
      </c>
      <c r="H2943" t="s">
        <v>47</v>
      </c>
      <c r="I2943" t="s">
        <v>11</v>
      </c>
      <c r="J2943" t="s">
        <v>5</v>
      </c>
      <c r="K2943" t="s">
        <v>26</v>
      </c>
      <c r="L2943" t="s">
        <v>41</v>
      </c>
      <c r="M2943" t="s">
        <v>20</v>
      </c>
      <c r="N2943">
        <v>14</v>
      </c>
      <c r="O2943">
        <v>2</v>
      </c>
      <c r="P2943">
        <v>3007.33</v>
      </c>
      <c r="Q2943">
        <v>0</v>
      </c>
    </row>
    <row r="2944" spans="7:17" x14ac:dyDescent="0.25">
      <c r="G2944" t="str">
        <f t="shared" si="45"/>
        <v/>
      </c>
      <c r="H2944" t="s">
        <v>47</v>
      </c>
      <c r="I2944" t="s">
        <v>11</v>
      </c>
      <c r="J2944" t="s">
        <v>5</v>
      </c>
      <c r="K2944" t="s">
        <v>26</v>
      </c>
      <c r="L2944" t="s">
        <v>45</v>
      </c>
      <c r="M2944" t="s">
        <v>19</v>
      </c>
      <c r="N2944">
        <v>1</v>
      </c>
      <c r="O2944">
        <v>0</v>
      </c>
      <c r="P2944">
        <v>1757.32</v>
      </c>
      <c r="Q2944">
        <v>1026.08</v>
      </c>
    </row>
    <row r="2945" spans="7:17" x14ac:dyDescent="0.25">
      <c r="G2945" t="str">
        <f t="shared" si="45"/>
        <v/>
      </c>
      <c r="H2945" t="s">
        <v>47</v>
      </c>
      <c r="I2945" t="s">
        <v>11</v>
      </c>
      <c r="J2945" t="s">
        <v>5</v>
      </c>
      <c r="K2945" t="s">
        <v>26</v>
      </c>
      <c r="L2945" t="s">
        <v>45</v>
      </c>
      <c r="M2945" t="s">
        <v>20</v>
      </c>
      <c r="N2945">
        <v>176</v>
      </c>
      <c r="O2945">
        <v>41</v>
      </c>
      <c r="P2945">
        <v>135125.11000000004</v>
      </c>
      <c r="Q2945">
        <v>0</v>
      </c>
    </row>
    <row r="2946" spans="7:17" x14ac:dyDescent="0.25">
      <c r="G2946" t="str">
        <f t="shared" ref="G2946:G3009" si="46">IF(G$1="Overall","Overall",IF(G$1=L2946,L2946,""))</f>
        <v/>
      </c>
      <c r="H2946" t="s">
        <v>47</v>
      </c>
      <c r="I2946" t="s">
        <v>11</v>
      </c>
      <c r="J2946" t="s">
        <v>5</v>
      </c>
      <c r="K2946" t="s">
        <v>27</v>
      </c>
      <c r="L2946" t="s">
        <v>42</v>
      </c>
      <c r="M2946" t="s">
        <v>19</v>
      </c>
      <c r="N2946">
        <v>56</v>
      </c>
      <c r="O2946">
        <v>8</v>
      </c>
      <c r="P2946">
        <v>5986.01</v>
      </c>
      <c r="Q2946">
        <v>4969.0300000000025</v>
      </c>
    </row>
    <row r="2947" spans="7:17" x14ac:dyDescent="0.25">
      <c r="G2947" t="str">
        <f t="shared" si="46"/>
        <v/>
      </c>
      <c r="H2947" t="s">
        <v>47</v>
      </c>
      <c r="I2947" t="s">
        <v>11</v>
      </c>
      <c r="J2947" t="s">
        <v>5</v>
      </c>
      <c r="K2947" t="s">
        <v>27</v>
      </c>
      <c r="L2947" t="s">
        <v>43</v>
      </c>
      <c r="M2947" t="s">
        <v>19</v>
      </c>
      <c r="N2947">
        <v>1</v>
      </c>
      <c r="O2947">
        <v>0</v>
      </c>
      <c r="P2947">
        <v>1177.6400000000001</v>
      </c>
      <c r="Q2947">
        <v>1177.6400000000001</v>
      </c>
    </row>
    <row r="2948" spans="7:17" x14ac:dyDescent="0.25">
      <c r="G2948" t="str">
        <f t="shared" si="46"/>
        <v/>
      </c>
      <c r="H2948" t="s">
        <v>47</v>
      </c>
      <c r="I2948" t="s">
        <v>11</v>
      </c>
      <c r="J2948" t="s">
        <v>5</v>
      </c>
      <c r="K2948" t="s">
        <v>27</v>
      </c>
      <c r="L2948" t="s">
        <v>43</v>
      </c>
      <c r="M2948" t="s">
        <v>20</v>
      </c>
      <c r="N2948">
        <v>3</v>
      </c>
      <c r="O2948">
        <v>1</v>
      </c>
      <c r="P2948">
        <v>1529.3799999999999</v>
      </c>
      <c r="Q2948">
        <v>0</v>
      </c>
    </row>
    <row r="2949" spans="7:17" x14ac:dyDescent="0.25">
      <c r="G2949" t="str">
        <f t="shared" si="46"/>
        <v/>
      </c>
      <c r="H2949" t="s">
        <v>47</v>
      </c>
      <c r="I2949" t="s">
        <v>11</v>
      </c>
      <c r="J2949" t="s">
        <v>5</v>
      </c>
      <c r="K2949" t="s">
        <v>27</v>
      </c>
      <c r="L2949" t="s">
        <v>39</v>
      </c>
      <c r="M2949" t="s">
        <v>19</v>
      </c>
      <c r="N2949">
        <v>1</v>
      </c>
      <c r="O2949">
        <v>0</v>
      </c>
      <c r="P2949">
        <v>1415.4</v>
      </c>
      <c r="Q2949">
        <v>1415.4</v>
      </c>
    </row>
    <row r="2950" spans="7:17" x14ac:dyDescent="0.25">
      <c r="G2950" t="str">
        <f t="shared" si="46"/>
        <v/>
      </c>
      <c r="H2950" t="s">
        <v>47</v>
      </c>
      <c r="I2950" t="s">
        <v>11</v>
      </c>
      <c r="J2950" t="s">
        <v>5</v>
      </c>
      <c r="K2950" t="s">
        <v>27</v>
      </c>
      <c r="L2950" t="s">
        <v>40</v>
      </c>
      <c r="M2950" t="s">
        <v>19</v>
      </c>
      <c r="N2950">
        <v>5</v>
      </c>
      <c r="O2950">
        <v>0</v>
      </c>
      <c r="P2950">
        <v>1086.6400000000001</v>
      </c>
      <c r="Q2950">
        <v>983.64</v>
      </c>
    </row>
    <row r="2951" spans="7:17" x14ac:dyDescent="0.25">
      <c r="G2951" t="str">
        <f t="shared" si="46"/>
        <v/>
      </c>
      <c r="H2951" t="s">
        <v>47</v>
      </c>
      <c r="I2951" t="s">
        <v>11</v>
      </c>
      <c r="J2951" t="s">
        <v>5</v>
      </c>
      <c r="K2951" t="s">
        <v>27</v>
      </c>
      <c r="L2951" t="s">
        <v>40</v>
      </c>
      <c r="M2951" t="s">
        <v>20</v>
      </c>
      <c r="N2951">
        <v>5</v>
      </c>
      <c r="O2951">
        <v>0</v>
      </c>
      <c r="P2951">
        <v>566.49</v>
      </c>
      <c r="Q2951">
        <v>0</v>
      </c>
    </row>
    <row r="2952" spans="7:17" x14ac:dyDescent="0.25">
      <c r="G2952" t="str">
        <f t="shared" si="46"/>
        <v/>
      </c>
      <c r="H2952" t="s">
        <v>47</v>
      </c>
      <c r="I2952" t="s">
        <v>11</v>
      </c>
      <c r="J2952" t="s">
        <v>5</v>
      </c>
      <c r="K2952" t="s">
        <v>27</v>
      </c>
      <c r="L2952" t="s">
        <v>45</v>
      </c>
      <c r="M2952" t="s">
        <v>20</v>
      </c>
      <c r="N2952">
        <v>1</v>
      </c>
      <c r="O2952">
        <v>1</v>
      </c>
      <c r="P2952">
        <v>547.12</v>
      </c>
      <c r="Q2952">
        <v>0</v>
      </c>
    </row>
    <row r="2953" spans="7:17" x14ac:dyDescent="0.25">
      <c r="G2953" t="str">
        <f t="shared" si="46"/>
        <v/>
      </c>
      <c r="H2953" t="s">
        <v>47</v>
      </c>
      <c r="I2953" t="s">
        <v>11</v>
      </c>
      <c r="J2953" t="s">
        <v>5</v>
      </c>
      <c r="K2953" t="s">
        <v>28</v>
      </c>
      <c r="L2953" t="s">
        <v>42</v>
      </c>
      <c r="M2953" t="s">
        <v>19</v>
      </c>
      <c r="N2953">
        <v>158</v>
      </c>
      <c r="O2953">
        <v>15</v>
      </c>
      <c r="P2953">
        <v>33447.500000000015</v>
      </c>
      <c r="Q2953">
        <v>22699.06</v>
      </c>
    </row>
    <row r="2954" spans="7:17" x14ac:dyDescent="0.25">
      <c r="G2954" t="str">
        <f t="shared" si="46"/>
        <v/>
      </c>
      <c r="H2954" t="s">
        <v>47</v>
      </c>
      <c r="I2954" t="s">
        <v>11</v>
      </c>
      <c r="J2954" t="s">
        <v>5</v>
      </c>
      <c r="K2954" t="s">
        <v>28</v>
      </c>
      <c r="L2954" t="s">
        <v>42</v>
      </c>
      <c r="M2954" t="s">
        <v>20</v>
      </c>
      <c r="N2954">
        <v>35</v>
      </c>
      <c r="O2954">
        <v>3</v>
      </c>
      <c r="P2954">
        <v>8133.6199999999972</v>
      </c>
      <c r="Q2954">
        <v>0</v>
      </c>
    </row>
    <row r="2955" spans="7:17" x14ac:dyDescent="0.25">
      <c r="G2955" t="str">
        <f t="shared" si="46"/>
        <v/>
      </c>
      <c r="H2955" t="s">
        <v>47</v>
      </c>
      <c r="I2955" t="s">
        <v>11</v>
      </c>
      <c r="J2955" t="s">
        <v>5</v>
      </c>
      <c r="K2955" t="s">
        <v>28</v>
      </c>
      <c r="L2955" t="s">
        <v>43</v>
      </c>
      <c r="M2955" t="s">
        <v>19</v>
      </c>
      <c r="N2955">
        <v>70</v>
      </c>
      <c r="O2955">
        <v>8</v>
      </c>
      <c r="P2955">
        <v>45142.559999999961</v>
      </c>
      <c r="Q2955">
        <v>39272.549999999988</v>
      </c>
    </row>
    <row r="2956" spans="7:17" x14ac:dyDescent="0.25">
      <c r="G2956" t="str">
        <f t="shared" si="46"/>
        <v/>
      </c>
      <c r="H2956" t="s">
        <v>47</v>
      </c>
      <c r="I2956" t="s">
        <v>11</v>
      </c>
      <c r="J2956" t="s">
        <v>5</v>
      </c>
      <c r="K2956" t="s">
        <v>28</v>
      </c>
      <c r="L2956" t="s">
        <v>43</v>
      </c>
      <c r="M2956" t="s">
        <v>20</v>
      </c>
      <c r="N2956">
        <v>10</v>
      </c>
      <c r="O2956">
        <v>3</v>
      </c>
      <c r="P2956">
        <v>4225.91</v>
      </c>
      <c r="Q2956">
        <v>0</v>
      </c>
    </row>
    <row r="2957" spans="7:17" x14ac:dyDescent="0.25">
      <c r="G2957" t="str">
        <f t="shared" si="46"/>
        <v/>
      </c>
      <c r="H2957" t="s">
        <v>47</v>
      </c>
      <c r="I2957" t="s">
        <v>11</v>
      </c>
      <c r="J2957" t="s">
        <v>5</v>
      </c>
      <c r="K2957" t="s">
        <v>28</v>
      </c>
      <c r="L2957" t="s">
        <v>44</v>
      </c>
      <c r="M2957" t="s">
        <v>19</v>
      </c>
      <c r="N2957">
        <v>13</v>
      </c>
      <c r="O2957">
        <v>6</v>
      </c>
      <c r="P2957">
        <v>12046.019999999999</v>
      </c>
      <c r="Q2957">
        <v>9090.1099999999988</v>
      </c>
    </row>
    <row r="2958" spans="7:17" x14ac:dyDescent="0.25">
      <c r="G2958" t="str">
        <f t="shared" si="46"/>
        <v/>
      </c>
      <c r="H2958" t="s">
        <v>47</v>
      </c>
      <c r="I2958" t="s">
        <v>11</v>
      </c>
      <c r="J2958" t="s">
        <v>5</v>
      </c>
      <c r="K2958" t="s">
        <v>28</v>
      </c>
      <c r="L2958" t="s">
        <v>44</v>
      </c>
      <c r="M2958" t="s">
        <v>20</v>
      </c>
      <c r="N2958">
        <v>4</v>
      </c>
      <c r="O2958">
        <v>0</v>
      </c>
      <c r="P2958">
        <v>225.90999999999997</v>
      </c>
      <c r="Q2958">
        <v>0</v>
      </c>
    </row>
    <row r="2959" spans="7:17" x14ac:dyDescent="0.25">
      <c r="G2959" t="str">
        <f t="shared" si="46"/>
        <v/>
      </c>
      <c r="H2959" t="s">
        <v>47</v>
      </c>
      <c r="I2959" t="s">
        <v>11</v>
      </c>
      <c r="J2959" t="s">
        <v>5</v>
      </c>
      <c r="K2959" t="s">
        <v>28</v>
      </c>
      <c r="L2959" t="s">
        <v>39</v>
      </c>
      <c r="M2959" t="s">
        <v>19</v>
      </c>
      <c r="N2959">
        <v>4</v>
      </c>
      <c r="O2959">
        <v>3</v>
      </c>
      <c r="P2959">
        <v>4300.13</v>
      </c>
      <c r="Q2959">
        <v>4300.13</v>
      </c>
    </row>
    <row r="2960" spans="7:17" x14ac:dyDescent="0.25">
      <c r="G2960" t="str">
        <f t="shared" si="46"/>
        <v/>
      </c>
      <c r="H2960" t="s">
        <v>47</v>
      </c>
      <c r="I2960" t="s">
        <v>11</v>
      </c>
      <c r="J2960" t="s">
        <v>5</v>
      </c>
      <c r="K2960" t="s">
        <v>28</v>
      </c>
      <c r="L2960" t="s">
        <v>39</v>
      </c>
      <c r="M2960" t="s">
        <v>20</v>
      </c>
      <c r="N2960">
        <v>3</v>
      </c>
      <c r="O2960">
        <v>3</v>
      </c>
      <c r="P2960">
        <v>2738.06</v>
      </c>
      <c r="Q2960">
        <v>0</v>
      </c>
    </row>
    <row r="2961" spans="7:17" x14ac:dyDescent="0.25">
      <c r="G2961" t="str">
        <f t="shared" si="46"/>
        <v/>
      </c>
      <c r="H2961" t="s">
        <v>47</v>
      </c>
      <c r="I2961" t="s">
        <v>11</v>
      </c>
      <c r="J2961" t="s">
        <v>5</v>
      </c>
      <c r="K2961" t="s">
        <v>28</v>
      </c>
      <c r="L2961" t="s">
        <v>40</v>
      </c>
      <c r="M2961" t="s">
        <v>19</v>
      </c>
      <c r="N2961">
        <v>1</v>
      </c>
      <c r="O2961">
        <v>0</v>
      </c>
      <c r="P2961">
        <v>1219.05</v>
      </c>
      <c r="Q2961">
        <v>1219.05</v>
      </c>
    </row>
    <row r="2962" spans="7:17" x14ac:dyDescent="0.25">
      <c r="G2962" t="str">
        <f t="shared" si="46"/>
        <v/>
      </c>
      <c r="H2962" t="s">
        <v>47</v>
      </c>
      <c r="I2962" t="s">
        <v>11</v>
      </c>
      <c r="J2962" t="s">
        <v>5</v>
      </c>
      <c r="K2962" t="s">
        <v>28</v>
      </c>
      <c r="L2962" t="s">
        <v>40</v>
      </c>
      <c r="M2962" t="s">
        <v>20</v>
      </c>
      <c r="N2962">
        <v>6</v>
      </c>
      <c r="O2962">
        <v>1</v>
      </c>
      <c r="P2962">
        <v>1825.7600000000002</v>
      </c>
      <c r="Q2962">
        <v>0</v>
      </c>
    </row>
    <row r="2963" spans="7:17" x14ac:dyDescent="0.25">
      <c r="G2963" t="str">
        <f t="shared" si="46"/>
        <v/>
      </c>
      <c r="H2963" t="s">
        <v>47</v>
      </c>
      <c r="I2963" t="s">
        <v>11</v>
      </c>
      <c r="J2963" t="s">
        <v>5</v>
      </c>
      <c r="K2963" t="s">
        <v>28</v>
      </c>
      <c r="L2963" t="s">
        <v>41</v>
      </c>
      <c r="M2963" t="s">
        <v>20</v>
      </c>
      <c r="N2963">
        <v>1</v>
      </c>
      <c r="O2963">
        <v>0</v>
      </c>
      <c r="P2963">
        <v>319.64</v>
      </c>
      <c r="Q2963">
        <v>0</v>
      </c>
    </row>
    <row r="2964" spans="7:17" x14ac:dyDescent="0.25">
      <c r="G2964" t="str">
        <f t="shared" si="46"/>
        <v/>
      </c>
      <c r="H2964" t="s">
        <v>47</v>
      </c>
      <c r="I2964" t="s">
        <v>11</v>
      </c>
      <c r="J2964" t="s">
        <v>5</v>
      </c>
      <c r="K2964" t="s">
        <v>28</v>
      </c>
      <c r="L2964" t="s">
        <v>45</v>
      </c>
      <c r="M2964" t="s">
        <v>20</v>
      </c>
      <c r="N2964">
        <v>41</v>
      </c>
      <c r="O2964">
        <v>11</v>
      </c>
      <c r="P2964">
        <v>5165.2899999999991</v>
      </c>
      <c r="Q2964">
        <v>0</v>
      </c>
    </row>
    <row r="2965" spans="7:17" x14ac:dyDescent="0.25">
      <c r="G2965" t="str">
        <f t="shared" si="46"/>
        <v/>
      </c>
      <c r="H2965" t="s">
        <v>47</v>
      </c>
      <c r="I2965" t="s">
        <v>11</v>
      </c>
      <c r="J2965" t="s">
        <v>5</v>
      </c>
      <c r="K2965" t="s">
        <v>29</v>
      </c>
      <c r="L2965" t="s">
        <v>42</v>
      </c>
      <c r="M2965" t="s">
        <v>19</v>
      </c>
      <c r="N2965">
        <v>40</v>
      </c>
      <c r="O2965">
        <v>6</v>
      </c>
      <c r="P2965">
        <v>4856.8499999999985</v>
      </c>
      <c r="Q2965">
        <v>4847.8499999999985</v>
      </c>
    </row>
    <row r="2966" spans="7:17" x14ac:dyDescent="0.25">
      <c r="G2966" t="str">
        <f t="shared" si="46"/>
        <v/>
      </c>
      <c r="H2966" t="s">
        <v>47</v>
      </c>
      <c r="I2966" t="s">
        <v>11</v>
      </c>
      <c r="J2966" t="s">
        <v>5</v>
      </c>
      <c r="K2966" t="s">
        <v>29</v>
      </c>
      <c r="L2966" t="s">
        <v>42</v>
      </c>
      <c r="M2966" t="s">
        <v>20</v>
      </c>
      <c r="N2966">
        <v>8</v>
      </c>
      <c r="O2966">
        <v>1</v>
      </c>
      <c r="P2966">
        <v>1598.8300000000002</v>
      </c>
      <c r="Q2966">
        <v>0</v>
      </c>
    </row>
    <row r="2967" spans="7:17" x14ac:dyDescent="0.25">
      <c r="G2967" t="str">
        <f t="shared" si="46"/>
        <v/>
      </c>
      <c r="H2967" t="s">
        <v>47</v>
      </c>
      <c r="I2967" t="s">
        <v>11</v>
      </c>
      <c r="J2967" t="s">
        <v>5</v>
      </c>
      <c r="K2967" t="s">
        <v>29</v>
      </c>
      <c r="L2967" t="s">
        <v>43</v>
      </c>
      <c r="M2967" t="s">
        <v>19</v>
      </c>
      <c r="N2967">
        <v>103</v>
      </c>
      <c r="O2967">
        <v>2</v>
      </c>
      <c r="P2967">
        <v>55272.020000000004</v>
      </c>
      <c r="Q2967">
        <v>41541.299999999988</v>
      </c>
    </row>
    <row r="2968" spans="7:17" x14ac:dyDescent="0.25">
      <c r="G2968" t="str">
        <f t="shared" si="46"/>
        <v/>
      </c>
      <c r="H2968" t="s">
        <v>47</v>
      </c>
      <c r="I2968" t="s">
        <v>11</v>
      </c>
      <c r="J2968" t="s">
        <v>5</v>
      </c>
      <c r="K2968" t="s">
        <v>29</v>
      </c>
      <c r="L2968" t="s">
        <v>43</v>
      </c>
      <c r="M2968" t="s">
        <v>20</v>
      </c>
      <c r="N2968">
        <v>21</v>
      </c>
      <c r="O2968">
        <v>9</v>
      </c>
      <c r="P2968">
        <v>9082.94</v>
      </c>
      <c r="Q2968">
        <v>0</v>
      </c>
    </row>
    <row r="2969" spans="7:17" x14ac:dyDescent="0.25">
      <c r="G2969" t="str">
        <f t="shared" si="46"/>
        <v/>
      </c>
      <c r="H2969" t="s">
        <v>47</v>
      </c>
      <c r="I2969" t="s">
        <v>11</v>
      </c>
      <c r="J2969" t="s">
        <v>5</v>
      </c>
      <c r="K2969" t="s">
        <v>29</v>
      </c>
      <c r="L2969" t="s">
        <v>44</v>
      </c>
      <c r="M2969" t="s">
        <v>19</v>
      </c>
      <c r="N2969">
        <v>1</v>
      </c>
      <c r="O2969">
        <v>1</v>
      </c>
      <c r="P2969">
        <v>636.29999999999995</v>
      </c>
      <c r="Q2969">
        <v>293.82</v>
      </c>
    </row>
    <row r="2970" spans="7:17" x14ac:dyDescent="0.25">
      <c r="G2970" t="str">
        <f t="shared" si="46"/>
        <v/>
      </c>
      <c r="H2970" t="s">
        <v>47</v>
      </c>
      <c r="I2970" t="s">
        <v>11</v>
      </c>
      <c r="J2970" t="s">
        <v>5</v>
      </c>
      <c r="K2970" t="s">
        <v>29</v>
      </c>
      <c r="L2970" t="s">
        <v>44</v>
      </c>
      <c r="M2970" t="s">
        <v>20</v>
      </c>
      <c r="N2970">
        <v>3</v>
      </c>
      <c r="O2970">
        <v>2</v>
      </c>
      <c r="P2970">
        <v>1778.13</v>
      </c>
      <c r="Q2970">
        <v>0</v>
      </c>
    </row>
    <row r="2971" spans="7:17" x14ac:dyDescent="0.25">
      <c r="G2971" t="str">
        <f t="shared" si="46"/>
        <v/>
      </c>
      <c r="H2971" t="s">
        <v>47</v>
      </c>
      <c r="I2971" t="s">
        <v>11</v>
      </c>
      <c r="J2971" t="s">
        <v>5</v>
      </c>
      <c r="K2971" t="s">
        <v>29</v>
      </c>
      <c r="L2971" t="s">
        <v>39</v>
      </c>
      <c r="M2971" t="s">
        <v>20</v>
      </c>
      <c r="N2971">
        <v>4</v>
      </c>
      <c r="O2971">
        <v>2</v>
      </c>
      <c r="P2971">
        <v>1320.43</v>
      </c>
      <c r="Q2971">
        <v>0</v>
      </c>
    </row>
    <row r="2972" spans="7:17" x14ac:dyDescent="0.25">
      <c r="G2972" t="str">
        <f t="shared" si="46"/>
        <v/>
      </c>
      <c r="H2972" t="s">
        <v>47</v>
      </c>
      <c r="I2972" t="s">
        <v>11</v>
      </c>
      <c r="J2972" t="s">
        <v>5</v>
      </c>
      <c r="K2972" t="s">
        <v>29</v>
      </c>
      <c r="L2972" t="s">
        <v>40</v>
      </c>
      <c r="M2972" t="s">
        <v>20</v>
      </c>
      <c r="N2972">
        <v>13</v>
      </c>
      <c r="O2972">
        <v>0</v>
      </c>
      <c r="P2972">
        <v>2964.8400000000006</v>
      </c>
      <c r="Q2972">
        <v>0</v>
      </c>
    </row>
    <row r="2973" spans="7:17" x14ac:dyDescent="0.25">
      <c r="G2973" t="str">
        <f t="shared" si="46"/>
        <v/>
      </c>
      <c r="H2973" t="s">
        <v>47</v>
      </c>
      <c r="I2973" t="s">
        <v>11</v>
      </c>
      <c r="J2973" t="s">
        <v>5</v>
      </c>
      <c r="K2973" t="s">
        <v>29</v>
      </c>
      <c r="L2973" t="s">
        <v>41</v>
      </c>
      <c r="M2973" t="s">
        <v>20</v>
      </c>
      <c r="N2973">
        <v>2</v>
      </c>
      <c r="O2973">
        <v>1</v>
      </c>
      <c r="P2973">
        <v>23.96</v>
      </c>
      <c r="Q2973">
        <v>0</v>
      </c>
    </row>
    <row r="2974" spans="7:17" x14ac:dyDescent="0.25">
      <c r="G2974" t="str">
        <f t="shared" si="46"/>
        <v/>
      </c>
      <c r="H2974" t="s">
        <v>47</v>
      </c>
      <c r="I2974" t="s">
        <v>11</v>
      </c>
      <c r="J2974" t="s">
        <v>5</v>
      </c>
      <c r="K2974" t="s">
        <v>29</v>
      </c>
      <c r="L2974" t="s">
        <v>45</v>
      </c>
      <c r="M2974" t="s">
        <v>20</v>
      </c>
      <c r="N2974">
        <v>22</v>
      </c>
      <c r="O2974">
        <v>6</v>
      </c>
      <c r="P2974">
        <v>29105.619999999995</v>
      </c>
      <c r="Q2974">
        <v>0</v>
      </c>
    </row>
    <row r="2975" spans="7:17" x14ac:dyDescent="0.25">
      <c r="G2975" t="str">
        <f t="shared" si="46"/>
        <v/>
      </c>
      <c r="H2975" t="s">
        <v>47</v>
      </c>
      <c r="I2975" t="s">
        <v>11</v>
      </c>
      <c r="J2975" t="s">
        <v>5</v>
      </c>
      <c r="K2975" t="s">
        <v>30</v>
      </c>
      <c r="L2975" t="s">
        <v>42</v>
      </c>
      <c r="M2975" t="s">
        <v>19</v>
      </c>
      <c r="N2975">
        <v>17</v>
      </c>
      <c r="O2975">
        <v>0</v>
      </c>
      <c r="P2975">
        <v>3290.9200000000005</v>
      </c>
      <c r="Q2975">
        <v>3290.9200000000005</v>
      </c>
    </row>
    <row r="2976" spans="7:17" x14ac:dyDescent="0.25">
      <c r="G2976" t="str">
        <f t="shared" si="46"/>
        <v/>
      </c>
      <c r="H2976" t="s">
        <v>47</v>
      </c>
      <c r="I2976" t="s">
        <v>11</v>
      </c>
      <c r="J2976" t="s">
        <v>5</v>
      </c>
      <c r="K2976" t="s">
        <v>30</v>
      </c>
      <c r="L2976" t="s">
        <v>42</v>
      </c>
      <c r="M2976" t="s">
        <v>20</v>
      </c>
      <c r="N2976">
        <v>1</v>
      </c>
      <c r="O2976">
        <v>0</v>
      </c>
      <c r="P2976">
        <v>0.25</v>
      </c>
      <c r="Q2976">
        <v>0</v>
      </c>
    </row>
    <row r="2977" spans="7:17" x14ac:dyDescent="0.25">
      <c r="G2977" t="str">
        <f t="shared" si="46"/>
        <v/>
      </c>
      <c r="H2977" t="s">
        <v>47</v>
      </c>
      <c r="I2977" t="s">
        <v>11</v>
      </c>
      <c r="J2977" t="s">
        <v>5</v>
      </c>
      <c r="K2977" t="s">
        <v>30</v>
      </c>
      <c r="L2977" t="s">
        <v>43</v>
      </c>
      <c r="M2977" t="s">
        <v>19</v>
      </c>
      <c r="N2977">
        <v>3</v>
      </c>
      <c r="O2977">
        <v>1</v>
      </c>
      <c r="P2977">
        <v>3721.8</v>
      </c>
      <c r="Q2977">
        <v>3294.5</v>
      </c>
    </row>
    <row r="2978" spans="7:17" x14ac:dyDescent="0.25">
      <c r="G2978" t="str">
        <f t="shared" si="46"/>
        <v/>
      </c>
      <c r="H2978" t="s">
        <v>47</v>
      </c>
      <c r="I2978" t="s">
        <v>11</v>
      </c>
      <c r="J2978" t="s">
        <v>5</v>
      </c>
      <c r="K2978" t="s">
        <v>30</v>
      </c>
      <c r="L2978" t="s">
        <v>43</v>
      </c>
      <c r="M2978" t="s">
        <v>20</v>
      </c>
      <c r="N2978">
        <v>1</v>
      </c>
      <c r="O2978">
        <v>1</v>
      </c>
      <c r="P2978">
        <v>368.91</v>
      </c>
      <c r="Q2978">
        <v>0</v>
      </c>
    </row>
    <row r="2979" spans="7:17" x14ac:dyDescent="0.25">
      <c r="G2979" t="str">
        <f t="shared" si="46"/>
        <v/>
      </c>
      <c r="H2979" t="s">
        <v>47</v>
      </c>
      <c r="I2979" t="s">
        <v>11</v>
      </c>
      <c r="J2979" t="s">
        <v>5</v>
      </c>
      <c r="K2979" t="s">
        <v>30</v>
      </c>
      <c r="L2979" t="s">
        <v>44</v>
      </c>
      <c r="M2979" t="s">
        <v>20</v>
      </c>
      <c r="N2979">
        <v>5</v>
      </c>
      <c r="O2979">
        <v>0</v>
      </c>
      <c r="P2979">
        <v>1028.3600000000001</v>
      </c>
      <c r="Q2979">
        <v>0</v>
      </c>
    </row>
    <row r="2980" spans="7:17" x14ac:dyDescent="0.25">
      <c r="G2980" t="str">
        <f t="shared" si="46"/>
        <v/>
      </c>
      <c r="H2980" t="s">
        <v>47</v>
      </c>
      <c r="I2980" t="s">
        <v>11</v>
      </c>
      <c r="J2980" t="s">
        <v>5</v>
      </c>
      <c r="K2980" t="s">
        <v>30</v>
      </c>
      <c r="L2980" t="s">
        <v>39</v>
      </c>
      <c r="M2980" t="s">
        <v>20</v>
      </c>
      <c r="N2980">
        <v>3</v>
      </c>
      <c r="O2980">
        <v>2</v>
      </c>
      <c r="P2980">
        <v>1524.69</v>
      </c>
      <c r="Q2980">
        <v>0</v>
      </c>
    </row>
    <row r="2981" spans="7:17" x14ac:dyDescent="0.25">
      <c r="G2981" t="str">
        <f t="shared" si="46"/>
        <v/>
      </c>
      <c r="H2981" t="s">
        <v>47</v>
      </c>
      <c r="I2981" t="s">
        <v>11</v>
      </c>
      <c r="J2981" t="s">
        <v>5</v>
      </c>
      <c r="K2981" t="s">
        <v>30</v>
      </c>
      <c r="L2981" t="s">
        <v>40</v>
      </c>
      <c r="M2981" t="s">
        <v>20</v>
      </c>
      <c r="N2981">
        <v>1</v>
      </c>
      <c r="O2981">
        <v>0</v>
      </c>
      <c r="P2981">
        <v>211.49</v>
      </c>
      <c r="Q2981">
        <v>0</v>
      </c>
    </row>
    <row r="2982" spans="7:17" x14ac:dyDescent="0.25">
      <c r="G2982" t="str">
        <f t="shared" si="46"/>
        <v/>
      </c>
      <c r="H2982" t="s">
        <v>47</v>
      </c>
      <c r="I2982" t="s">
        <v>11</v>
      </c>
      <c r="J2982" t="s">
        <v>5</v>
      </c>
      <c r="K2982" t="s">
        <v>30</v>
      </c>
      <c r="L2982" t="s">
        <v>41</v>
      </c>
      <c r="M2982" t="s">
        <v>20</v>
      </c>
      <c r="N2982">
        <v>1</v>
      </c>
      <c r="O2982">
        <v>0</v>
      </c>
      <c r="P2982">
        <v>235.86</v>
      </c>
      <c r="Q2982">
        <v>0</v>
      </c>
    </row>
    <row r="2983" spans="7:17" x14ac:dyDescent="0.25">
      <c r="G2983" t="str">
        <f t="shared" si="46"/>
        <v/>
      </c>
      <c r="H2983" t="s">
        <v>47</v>
      </c>
      <c r="I2983" t="s">
        <v>11</v>
      </c>
      <c r="J2983" t="s">
        <v>5</v>
      </c>
      <c r="K2983" t="s">
        <v>30</v>
      </c>
      <c r="L2983" t="s">
        <v>45</v>
      </c>
      <c r="M2983" t="s">
        <v>20</v>
      </c>
      <c r="N2983">
        <v>22</v>
      </c>
      <c r="O2983">
        <v>1</v>
      </c>
      <c r="P2983">
        <v>3170.04</v>
      </c>
      <c r="Q2983">
        <v>0</v>
      </c>
    </row>
    <row r="2984" spans="7:17" x14ac:dyDescent="0.25">
      <c r="G2984" t="str">
        <f t="shared" si="46"/>
        <v/>
      </c>
      <c r="H2984" t="s">
        <v>47</v>
      </c>
      <c r="I2984" t="s">
        <v>11</v>
      </c>
      <c r="J2984" t="s">
        <v>5</v>
      </c>
      <c r="K2984" t="s">
        <v>31</v>
      </c>
      <c r="L2984" t="s">
        <v>42</v>
      </c>
      <c r="M2984" t="s">
        <v>19</v>
      </c>
      <c r="N2984">
        <v>5</v>
      </c>
      <c r="O2984">
        <v>1</v>
      </c>
      <c r="P2984">
        <v>0.99</v>
      </c>
      <c r="Q2984">
        <v>0.99</v>
      </c>
    </row>
    <row r="2985" spans="7:17" x14ac:dyDescent="0.25">
      <c r="G2985" t="str">
        <f t="shared" si="46"/>
        <v/>
      </c>
      <c r="H2985" t="s">
        <v>47</v>
      </c>
      <c r="I2985" t="s">
        <v>11</v>
      </c>
      <c r="J2985" t="s">
        <v>5</v>
      </c>
      <c r="K2985" t="s">
        <v>31</v>
      </c>
      <c r="L2985" t="s">
        <v>42</v>
      </c>
      <c r="M2985" t="s">
        <v>20</v>
      </c>
      <c r="N2985">
        <v>1</v>
      </c>
      <c r="O2985">
        <v>1</v>
      </c>
      <c r="P2985">
        <v>0.24</v>
      </c>
      <c r="Q2985">
        <v>0</v>
      </c>
    </row>
    <row r="2986" spans="7:17" x14ac:dyDescent="0.25">
      <c r="G2986" t="str">
        <f t="shared" si="46"/>
        <v/>
      </c>
      <c r="H2986" t="s">
        <v>47</v>
      </c>
      <c r="I2986" t="s">
        <v>11</v>
      </c>
      <c r="J2986" t="s">
        <v>5</v>
      </c>
      <c r="K2986" t="s">
        <v>31</v>
      </c>
      <c r="L2986" t="s">
        <v>43</v>
      </c>
      <c r="M2986" t="s">
        <v>19</v>
      </c>
      <c r="N2986">
        <v>1</v>
      </c>
      <c r="O2986">
        <v>1</v>
      </c>
      <c r="P2986">
        <v>1766.46</v>
      </c>
      <c r="Q2986">
        <v>1766.46</v>
      </c>
    </row>
    <row r="2987" spans="7:17" x14ac:dyDescent="0.25">
      <c r="G2987" t="str">
        <f t="shared" si="46"/>
        <v/>
      </c>
      <c r="H2987" t="s">
        <v>47</v>
      </c>
      <c r="I2987" t="s">
        <v>11</v>
      </c>
      <c r="J2987" t="s">
        <v>5</v>
      </c>
      <c r="K2987" t="s">
        <v>31</v>
      </c>
      <c r="L2987" t="s">
        <v>43</v>
      </c>
      <c r="M2987" t="s">
        <v>20</v>
      </c>
      <c r="N2987">
        <v>1</v>
      </c>
      <c r="O2987">
        <v>1</v>
      </c>
      <c r="P2987">
        <v>631.61</v>
      </c>
      <c r="Q2987">
        <v>0</v>
      </c>
    </row>
    <row r="2988" spans="7:17" x14ac:dyDescent="0.25">
      <c r="G2988" t="str">
        <f t="shared" si="46"/>
        <v/>
      </c>
      <c r="H2988" t="s">
        <v>47</v>
      </c>
      <c r="I2988" t="s">
        <v>11</v>
      </c>
      <c r="J2988" t="s">
        <v>5</v>
      </c>
      <c r="K2988" t="s">
        <v>31</v>
      </c>
      <c r="L2988" t="s">
        <v>41</v>
      </c>
      <c r="M2988" t="s">
        <v>20</v>
      </c>
      <c r="N2988">
        <v>1</v>
      </c>
      <c r="O2988">
        <v>0</v>
      </c>
      <c r="P2988">
        <v>1924.39</v>
      </c>
      <c r="Q2988">
        <v>0</v>
      </c>
    </row>
    <row r="2989" spans="7:17" x14ac:dyDescent="0.25">
      <c r="G2989" t="str">
        <f t="shared" si="46"/>
        <v/>
      </c>
      <c r="H2989" t="s">
        <v>47</v>
      </c>
      <c r="I2989" t="s">
        <v>11</v>
      </c>
      <c r="J2989" t="s">
        <v>5</v>
      </c>
      <c r="K2989" t="s">
        <v>32</v>
      </c>
      <c r="L2989" t="s">
        <v>42</v>
      </c>
      <c r="M2989" t="s">
        <v>19</v>
      </c>
      <c r="N2989">
        <v>8</v>
      </c>
      <c r="O2989">
        <v>3</v>
      </c>
      <c r="P2989">
        <v>748.41</v>
      </c>
      <c r="Q2989">
        <v>748.41</v>
      </c>
    </row>
    <row r="2990" spans="7:17" x14ac:dyDescent="0.25">
      <c r="G2990" t="str">
        <f t="shared" si="46"/>
        <v/>
      </c>
      <c r="H2990" t="s">
        <v>47</v>
      </c>
      <c r="I2990" t="s">
        <v>11</v>
      </c>
      <c r="J2990" t="s">
        <v>5</v>
      </c>
      <c r="K2990" t="s">
        <v>32</v>
      </c>
      <c r="L2990" t="s">
        <v>42</v>
      </c>
      <c r="M2990" t="s">
        <v>20</v>
      </c>
      <c r="N2990">
        <v>1</v>
      </c>
      <c r="O2990">
        <v>1</v>
      </c>
      <c r="P2990">
        <v>0.06</v>
      </c>
      <c r="Q2990">
        <v>0</v>
      </c>
    </row>
    <row r="2991" spans="7:17" x14ac:dyDescent="0.25">
      <c r="G2991" t="str">
        <f t="shared" si="46"/>
        <v/>
      </c>
      <c r="H2991" t="s">
        <v>47</v>
      </c>
      <c r="I2991" t="s">
        <v>11</v>
      </c>
      <c r="J2991" t="s">
        <v>5</v>
      </c>
      <c r="K2991" t="s">
        <v>32</v>
      </c>
      <c r="L2991" t="s">
        <v>43</v>
      </c>
      <c r="M2991" t="s">
        <v>19</v>
      </c>
      <c r="N2991">
        <v>9</v>
      </c>
      <c r="O2991">
        <v>1</v>
      </c>
      <c r="P2991">
        <v>5794.34</v>
      </c>
      <c r="Q2991">
        <v>5772.12</v>
      </c>
    </row>
    <row r="2992" spans="7:17" x14ac:dyDescent="0.25">
      <c r="G2992" t="str">
        <f t="shared" si="46"/>
        <v/>
      </c>
      <c r="H2992" t="s">
        <v>47</v>
      </c>
      <c r="I2992" t="s">
        <v>11</v>
      </c>
      <c r="J2992" t="s">
        <v>5</v>
      </c>
      <c r="K2992" t="s">
        <v>32</v>
      </c>
      <c r="L2992" t="s">
        <v>44</v>
      </c>
      <c r="M2992" t="s">
        <v>19</v>
      </c>
      <c r="N2992">
        <v>1</v>
      </c>
      <c r="O2992">
        <v>1</v>
      </c>
      <c r="P2992">
        <v>779.53</v>
      </c>
      <c r="Q2992">
        <v>779.53</v>
      </c>
    </row>
    <row r="2993" spans="7:17" x14ac:dyDescent="0.25">
      <c r="G2993" t="str">
        <f t="shared" si="46"/>
        <v/>
      </c>
      <c r="H2993" t="s">
        <v>47</v>
      </c>
      <c r="I2993" t="s">
        <v>11</v>
      </c>
      <c r="J2993" t="s">
        <v>5</v>
      </c>
      <c r="K2993" t="s">
        <v>32</v>
      </c>
      <c r="L2993" t="s">
        <v>39</v>
      </c>
      <c r="M2993" t="s">
        <v>20</v>
      </c>
      <c r="N2993">
        <v>4</v>
      </c>
      <c r="O2993">
        <v>2</v>
      </c>
      <c r="P2993">
        <v>3459.6499999999996</v>
      </c>
      <c r="Q2993">
        <v>0</v>
      </c>
    </row>
    <row r="2994" spans="7:17" x14ac:dyDescent="0.25">
      <c r="G2994" t="str">
        <f t="shared" si="46"/>
        <v/>
      </c>
      <c r="H2994" t="s">
        <v>47</v>
      </c>
      <c r="I2994" t="s">
        <v>11</v>
      </c>
      <c r="J2994" t="s">
        <v>5</v>
      </c>
      <c r="K2994" t="s">
        <v>32</v>
      </c>
      <c r="L2994" t="s">
        <v>45</v>
      </c>
      <c r="M2994" t="s">
        <v>20</v>
      </c>
      <c r="N2994">
        <v>2</v>
      </c>
      <c r="O2994">
        <v>0</v>
      </c>
      <c r="P2994">
        <v>2164.6000000000004</v>
      </c>
      <c r="Q2994">
        <v>0</v>
      </c>
    </row>
    <row r="2995" spans="7:17" x14ac:dyDescent="0.25">
      <c r="G2995" t="str">
        <f t="shared" si="46"/>
        <v/>
      </c>
      <c r="H2995" t="s">
        <v>47</v>
      </c>
      <c r="I2995" t="s">
        <v>11</v>
      </c>
      <c r="J2995" t="s">
        <v>5</v>
      </c>
      <c r="K2995" t="s">
        <v>33</v>
      </c>
      <c r="L2995" t="s">
        <v>42</v>
      </c>
      <c r="M2995" t="s">
        <v>19</v>
      </c>
      <c r="N2995">
        <v>126</v>
      </c>
      <c r="O2995">
        <v>5</v>
      </c>
      <c r="P2995">
        <v>31847.409999999993</v>
      </c>
      <c r="Q2995">
        <v>31577.409999999993</v>
      </c>
    </row>
    <row r="2996" spans="7:17" x14ac:dyDescent="0.25">
      <c r="G2996" t="str">
        <f t="shared" si="46"/>
        <v/>
      </c>
      <c r="H2996" t="s">
        <v>47</v>
      </c>
      <c r="I2996" t="s">
        <v>11</v>
      </c>
      <c r="J2996" t="s">
        <v>5</v>
      </c>
      <c r="K2996" t="s">
        <v>33</v>
      </c>
      <c r="L2996" t="s">
        <v>42</v>
      </c>
      <c r="M2996" t="s">
        <v>20</v>
      </c>
      <c r="N2996">
        <v>20</v>
      </c>
      <c r="O2996">
        <v>1</v>
      </c>
      <c r="P2996">
        <v>4349.49</v>
      </c>
      <c r="Q2996">
        <v>0</v>
      </c>
    </row>
    <row r="2997" spans="7:17" x14ac:dyDescent="0.25">
      <c r="G2997" t="str">
        <f t="shared" si="46"/>
        <v/>
      </c>
      <c r="H2997" t="s">
        <v>47</v>
      </c>
      <c r="I2997" t="s">
        <v>11</v>
      </c>
      <c r="J2997" t="s">
        <v>5</v>
      </c>
      <c r="K2997" t="s">
        <v>33</v>
      </c>
      <c r="L2997" t="s">
        <v>43</v>
      </c>
      <c r="M2997" t="s">
        <v>19</v>
      </c>
      <c r="N2997">
        <v>13</v>
      </c>
      <c r="O2997">
        <v>1</v>
      </c>
      <c r="P2997">
        <v>7933.75</v>
      </c>
      <c r="Q2997">
        <v>7925.2099999999991</v>
      </c>
    </row>
    <row r="2998" spans="7:17" x14ac:dyDescent="0.25">
      <c r="G2998" t="str">
        <f t="shared" si="46"/>
        <v/>
      </c>
      <c r="H2998" t="s">
        <v>47</v>
      </c>
      <c r="I2998" t="s">
        <v>11</v>
      </c>
      <c r="J2998" t="s">
        <v>5</v>
      </c>
      <c r="K2998" t="s">
        <v>33</v>
      </c>
      <c r="L2998" t="s">
        <v>43</v>
      </c>
      <c r="M2998" t="s">
        <v>20</v>
      </c>
      <c r="N2998">
        <v>8</v>
      </c>
      <c r="O2998">
        <v>5</v>
      </c>
      <c r="P2998">
        <v>4820.76</v>
      </c>
      <c r="Q2998">
        <v>0</v>
      </c>
    </row>
    <row r="2999" spans="7:17" x14ac:dyDescent="0.25">
      <c r="G2999" t="str">
        <f t="shared" si="46"/>
        <v/>
      </c>
      <c r="H2999" t="s">
        <v>47</v>
      </c>
      <c r="I2999" t="s">
        <v>11</v>
      </c>
      <c r="J2999" t="s">
        <v>5</v>
      </c>
      <c r="K2999" t="s">
        <v>33</v>
      </c>
      <c r="L2999" t="s">
        <v>44</v>
      </c>
      <c r="M2999" t="s">
        <v>19</v>
      </c>
      <c r="N2999">
        <v>8</v>
      </c>
      <c r="O2999">
        <v>5</v>
      </c>
      <c r="P2999">
        <v>7799.0499999999993</v>
      </c>
      <c r="Q2999">
        <v>7706.26</v>
      </c>
    </row>
    <row r="3000" spans="7:17" x14ac:dyDescent="0.25">
      <c r="G3000" t="str">
        <f t="shared" si="46"/>
        <v/>
      </c>
      <c r="H3000" t="s">
        <v>47</v>
      </c>
      <c r="I3000" t="s">
        <v>11</v>
      </c>
      <c r="J3000" t="s">
        <v>5</v>
      </c>
      <c r="K3000" t="s">
        <v>33</v>
      </c>
      <c r="L3000" t="s">
        <v>44</v>
      </c>
      <c r="M3000" t="s">
        <v>20</v>
      </c>
      <c r="N3000">
        <v>13</v>
      </c>
      <c r="O3000">
        <v>3</v>
      </c>
      <c r="P3000">
        <v>4518.97</v>
      </c>
      <c r="Q3000">
        <v>0</v>
      </c>
    </row>
    <row r="3001" spans="7:17" x14ac:dyDescent="0.25">
      <c r="G3001" t="str">
        <f t="shared" si="46"/>
        <v/>
      </c>
      <c r="H3001" t="s">
        <v>47</v>
      </c>
      <c r="I3001" t="s">
        <v>11</v>
      </c>
      <c r="J3001" t="s">
        <v>5</v>
      </c>
      <c r="K3001" t="s">
        <v>33</v>
      </c>
      <c r="L3001" t="s">
        <v>39</v>
      </c>
      <c r="M3001" t="s">
        <v>20</v>
      </c>
      <c r="N3001">
        <v>2</v>
      </c>
      <c r="O3001">
        <v>1</v>
      </c>
      <c r="P3001">
        <v>4360.0200000000004</v>
      </c>
      <c r="Q3001">
        <v>0</v>
      </c>
    </row>
    <row r="3002" spans="7:17" x14ac:dyDescent="0.25">
      <c r="G3002" t="str">
        <f t="shared" si="46"/>
        <v/>
      </c>
      <c r="H3002" t="s">
        <v>47</v>
      </c>
      <c r="I3002" t="s">
        <v>11</v>
      </c>
      <c r="J3002" t="s">
        <v>5</v>
      </c>
      <c r="K3002" t="s">
        <v>33</v>
      </c>
      <c r="L3002" t="s">
        <v>41</v>
      </c>
      <c r="M3002" t="s">
        <v>20</v>
      </c>
      <c r="N3002">
        <v>2</v>
      </c>
      <c r="O3002">
        <v>0</v>
      </c>
      <c r="P3002">
        <v>3472.84</v>
      </c>
      <c r="Q3002">
        <v>0</v>
      </c>
    </row>
    <row r="3003" spans="7:17" x14ac:dyDescent="0.25">
      <c r="G3003" t="str">
        <f t="shared" si="46"/>
        <v/>
      </c>
      <c r="H3003" t="s">
        <v>47</v>
      </c>
      <c r="I3003" t="s">
        <v>11</v>
      </c>
      <c r="J3003" t="s">
        <v>5</v>
      </c>
      <c r="K3003" t="s">
        <v>33</v>
      </c>
      <c r="L3003" t="s">
        <v>45</v>
      </c>
      <c r="M3003" t="s">
        <v>19</v>
      </c>
      <c r="N3003">
        <v>2</v>
      </c>
      <c r="O3003">
        <v>1</v>
      </c>
      <c r="P3003">
        <v>469.76</v>
      </c>
      <c r="Q3003">
        <v>250</v>
      </c>
    </row>
    <row r="3004" spans="7:17" x14ac:dyDescent="0.25">
      <c r="G3004" t="str">
        <f t="shared" si="46"/>
        <v/>
      </c>
      <c r="H3004" t="s">
        <v>47</v>
      </c>
      <c r="I3004" t="s">
        <v>11</v>
      </c>
      <c r="J3004" t="s">
        <v>5</v>
      </c>
      <c r="K3004" t="s">
        <v>33</v>
      </c>
      <c r="L3004" t="s">
        <v>45</v>
      </c>
      <c r="M3004" t="s">
        <v>20</v>
      </c>
      <c r="N3004">
        <v>41</v>
      </c>
      <c r="O3004">
        <v>7</v>
      </c>
      <c r="P3004">
        <v>15460.799999999997</v>
      </c>
      <c r="Q3004">
        <v>0</v>
      </c>
    </row>
    <row r="3005" spans="7:17" x14ac:dyDescent="0.25">
      <c r="G3005" t="str">
        <f t="shared" si="46"/>
        <v/>
      </c>
      <c r="H3005" t="s">
        <v>47</v>
      </c>
      <c r="I3005" t="s">
        <v>11</v>
      </c>
      <c r="J3005" t="s">
        <v>5</v>
      </c>
      <c r="K3005" t="s">
        <v>34</v>
      </c>
      <c r="L3005" t="s">
        <v>42</v>
      </c>
      <c r="M3005" t="s">
        <v>19</v>
      </c>
      <c r="N3005">
        <v>35</v>
      </c>
      <c r="O3005">
        <v>5</v>
      </c>
      <c r="P3005">
        <v>2727.099999999999</v>
      </c>
      <c r="Q3005">
        <v>2676.7499999999991</v>
      </c>
    </row>
    <row r="3006" spans="7:17" x14ac:dyDescent="0.25">
      <c r="G3006" t="str">
        <f t="shared" si="46"/>
        <v/>
      </c>
      <c r="H3006" t="s">
        <v>47</v>
      </c>
      <c r="I3006" t="s">
        <v>11</v>
      </c>
      <c r="J3006" t="s">
        <v>5</v>
      </c>
      <c r="K3006" t="s">
        <v>34</v>
      </c>
      <c r="L3006" t="s">
        <v>42</v>
      </c>
      <c r="M3006" t="s">
        <v>20</v>
      </c>
      <c r="N3006">
        <v>36</v>
      </c>
      <c r="O3006">
        <v>5</v>
      </c>
      <c r="P3006">
        <v>6062.89</v>
      </c>
      <c r="Q3006">
        <v>0</v>
      </c>
    </row>
    <row r="3007" spans="7:17" x14ac:dyDescent="0.25">
      <c r="G3007" t="str">
        <f t="shared" si="46"/>
        <v/>
      </c>
      <c r="H3007" t="s">
        <v>47</v>
      </c>
      <c r="I3007" t="s">
        <v>11</v>
      </c>
      <c r="J3007" t="s">
        <v>5</v>
      </c>
      <c r="K3007" t="s">
        <v>34</v>
      </c>
      <c r="L3007" t="s">
        <v>43</v>
      </c>
      <c r="M3007" t="s">
        <v>19</v>
      </c>
      <c r="N3007">
        <v>31</v>
      </c>
      <c r="O3007">
        <v>1</v>
      </c>
      <c r="P3007">
        <v>13858.759999999998</v>
      </c>
      <c r="Q3007">
        <v>11364.66</v>
      </c>
    </row>
    <row r="3008" spans="7:17" x14ac:dyDescent="0.25">
      <c r="G3008" t="str">
        <f t="shared" si="46"/>
        <v/>
      </c>
      <c r="H3008" t="s">
        <v>47</v>
      </c>
      <c r="I3008" t="s">
        <v>11</v>
      </c>
      <c r="J3008" t="s">
        <v>5</v>
      </c>
      <c r="K3008" t="s">
        <v>34</v>
      </c>
      <c r="L3008" t="s">
        <v>43</v>
      </c>
      <c r="M3008" t="s">
        <v>20</v>
      </c>
      <c r="N3008">
        <v>17</v>
      </c>
      <c r="O3008">
        <v>1</v>
      </c>
      <c r="P3008">
        <v>8561.0199999999986</v>
      </c>
      <c r="Q3008">
        <v>0</v>
      </c>
    </row>
    <row r="3009" spans="7:17" x14ac:dyDescent="0.25">
      <c r="G3009" t="str">
        <f t="shared" si="46"/>
        <v/>
      </c>
      <c r="H3009" t="s">
        <v>47</v>
      </c>
      <c r="I3009" t="s">
        <v>11</v>
      </c>
      <c r="J3009" t="s">
        <v>5</v>
      </c>
      <c r="K3009" t="s">
        <v>34</v>
      </c>
      <c r="L3009" t="s">
        <v>44</v>
      </c>
      <c r="M3009" t="s">
        <v>19</v>
      </c>
      <c r="N3009">
        <v>3</v>
      </c>
      <c r="O3009">
        <v>1</v>
      </c>
      <c r="P3009">
        <v>4102.2299999999996</v>
      </c>
      <c r="Q3009">
        <v>3370.08</v>
      </c>
    </row>
    <row r="3010" spans="7:17" x14ac:dyDescent="0.25">
      <c r="G3010" t="str">
        <f t="shared" ref="G3010:G3073" si="47">IF(G$1="Overall","Overall",IF(G$1=L3010,L3010,""))</f>
        <v/>
      </c>
      <c r="H3010" t="s">
        <v>47</v>
      </c>
      <c r="I3010" t="s">
        <v>11</v>
      </c>
      <c r="J3010" t="s">
        <v>5</v>
      </c>
      <c r="K3010" t="s">
        <v>34</v>
      </c>
      <c r="L3010" t="s">
        <v>44</v>
      </c>
      <c r="M3010" t="s">
        <v>20</v>
      </c>
      <c r="N3010">
        <v>6</v>
      </c>
      <c r="O3010">
        <v>0</v>
      </c>
      <c r="P3010">
        <v>4633.57</v>
      </c>
      <c r="Q3010">
        <v>0</v>
      </c>
    </row>
    <row r="3011" spans="7:17" x14ac:dyDescent="0.25">
      <c r="G3011" t="str">
        <f t="shared" si="47"/>
        <v/>
      </c>
      <c r="H3011" t="s">
        <v>47</v>
      </c>
      <c r="I3011" t="s">
        <v>11</v>
      </c>
      <c r="J3011" t="s">
        <v>5</v>
      </c>
      <c r="K3011" t="s">
        <v>34</v>
      </c>
      <c r="L3011" t="s">
        <v>39</v>
      </c>
      <c r="M3011" t="s">
        <v>19</v>
      </c>
      <c r="N3011">
        <v>2</v>
      </c>
      <c r="O3011">
        <v>2</v>
      </c>
      <c r="P3011">
        <v>3768.6099999999997</v>
      </c>
      <c r="Q3011">
        <v>3756.06</v>
      </c>
    </row>
    <row r="3012" spans="7:17" x14ac:dyDescent="0.25">
      <c r="G3012" t="str">
        <f t="shared" si="47"/>
        <v/>
      </c>
      <c r="H3012" t="s">
        <v>47</v>
      </c>
      <c r="I3012" t="s">
        <v>11</v>
      </c>
      <c r="J3012" t="s">
        <v>5</v>
      </c>
      <c r="K3012" t="s">
        <v>34</v>
      </c>
      <c r="L3012" t="s">
        <v>39</v>
      </c>
      <c r="M3012" t="s">
        <v>20</v>
      </c>
      <c r="N3012">
        <v>8</v>
      </c>
      <c r="O3012">
        <v>4</v>
      </c>
      <c r="P3012">
        <v>2469.21</v>
      </c>
      <c r="Q3012">
        <v>0</v>
      </c>
    </row>
    <row r="3013" spans="7:17" x14ac:dyDescent="0.25">
      <c r="G3013" t="str">
        <f t="shared" si="47"/>
        <v/>
      </c>
      <c r="H3013" t="s">
        <v>47</v>
      </c>
      <c r="I3013" t="s">
        <v>11</v>
      </c>
      <c r="J3013" t="s">
        <v>5</v>
      </c>
      <c r="K3013" t="s">
        <v>34</v>
      </c>
      <c r="L3013" t="s">
        <v>40</v>
      </c>
      <c r="M3013" t="s">
        <v>20</v>
      </c>
      <c r="N3013">
        <v>1</v>
      </c>
      <c r="O3013">
        <v>0</v>
      </c>
      <c r="P3013">
        <v>840.59</v>
      </c>
      <c r="Q3013">
        <v>0</v>
      </c>
    </row>
    <row r="3014" spans="7:17" x14ac:dyDescent="0.25">
      <c r="G3014" t="str">
        <f t="shared" si="47"/>
        <v/>
      </c>
      <c r="H3014" t="s">
        <v>47</v>
      </c>
      <c r="I3014" t="s">
        <v>11</v>
      </c>
      <c r="J3014" t="s">
        <v>5</v>
      </c>
      <c r="K3014" t="s">
        <v>34</v>
      </c>
      <c r="L3014" t="s">
        <v>41</v>
      </c>
      <c r="M3014" t="s">
        <v>19</v>
      </c>
      <c r="N3014">
        <v>1</v>
      </c>
      <c r="O3014">
        <v>0</v>
      </c>
      <c r="P3014">
        <v>1338.84</v>
      </c>
      <c r="Q3014">
        <v>1164</v>
      </c>
    </row>
    <row r="3015" spans="7:17" x14ac:dyDescent="0.25">
      <c r="G3015" t="str">
        <f t="shared" si="47"/>
        <v/>
      </c>
      <c r="H3015" t="s">
        <v>47</v>
      </c>
      <c r="I3015" t="s">
        <v>11</v>
      </c>
      <c r="J3015" t="s">
        <v>5</v>
      </c>
      <c r="K3015" t="s">
        <v>34</v>
      </c>
      <c r="L3015" t="s">
        <v>41</v>
      </c>
      <c r="M3015" t="s">
        <v>20</v>
      </c>
      <c r="N3015">
        <v>1</v>
      </c>
      <c r="O3015">
        <v>0</v>
      </c>
      <c r="P3015">
        <v>0.72</v>
      </c>
      <c r="Q3015">
        <v>0</v>
      </c>
    </row>
    <row r="3016" spans="7:17" x14ac:dyDescent="0.25">
      <c r="G3016" t="str">
        <f t="shared" si="47"/>
        <v/>
      </c>
      <c r="H3016" t="s">
        <v>47</v>
      </c>
      <c r="I3016" t="s">
        <v>11</v>
      </c>
      <c r="J3016" t="s">
        <v>5</v>
      </c>
      <c r="K3016" t="s">
        <v>34</v>
      </c>
      <c r="L3016" t="s">
        <v>45</v>
      </c>
      <c r="M3016" t="s">
        <v>20</v>
      </c>
      <c r="N3016">
        <v>9</v>
      </c>
      <c r="O3016">
        <v>6</v>
      </c>
      <c r="P3016">
        <v>2398.3799999999997</v>
      </c>
      <c r="Q3016">
        <v>0</v>
      </c>
    </row>
    <row r="3017" spans="7:17" x14ac:dyDescent="0.25">
      <c r="G3017" t="str">
        <f t="shared" si="47"/>
        <v/>
      </c>
      <c r="H3017" t="s">
        <v>47</v>
      </c>
      <c r="I3017" t="s">
        <v>11</v>
      </c>
      <c r="J3017" t="s">
        <v>5</v>
      </c>
      <c r="K3017" t="s">
        <v>35</v>
      </c>
      <c r="L3017" t="s">
        <v>42</v>
      </c>
      <c r="M3017" t="s">
        <v>19</v>
      </c>
      <c r="N3017">
        <v>205</v>
      </c>
      <c r="O3017">
        <v>16</v>
      </c>
      <c r="P3017">
        <v>42164.490000000005</v>
      </c>
      <c r="Q3017">
        <v>41850.240000000013</v>
      </c>
    </row>
    <row r="3018" spans="7:17" x14ac:dyDescent="0.25">
      <c r="G3018" t="str">
        <f t="shared" si="47"/>
        <v/>
      </c>
      <c r="H3018" t="s">
        <v>47</v>
      </c>
      <c r="I3018" t="s">
        <v>11</v>
      </c>
      <c r="J3018" t="s">
        <v>5</v>
      </c>
      <c r="K3018" t="s">
        <v>35</v>
      </c>
      <c r="L3018" t="s">
        <v>42</v>
      </c>
      <c r="M3018" t="s">
        <v>20</v>
      </c>
      <c r="N3018">
        <v>26</v>
      </c>
      <c r="O3018">
        <v>3</v>
      </c>
      <c r="P3018">
        <v>6295.85</v>
      </c>
      <c r="Q3018">
        <v>0</v>
      </c>
    </row>
    <row r="3019" spans="7:17" x14ac:dyDescent="0.25">
      <c r="G3019" t="str">
        <f t="shared" si="47"/>
        <v/>
      </c>
      <c r="H3019" t="s">
        <v>47</v>
      </c>
      <c r="I3019" t="s">
        <v>11</v>
      </c>
      <c r="J3019" t="s">
        <v>5</v>
      </c>
      <c r="K3019" t="s">
        <v>35</v>
      </c>
      <c r="L3019" t="s">
        <v>43</v>
      </c>
      <c r="M3019" t="s">
        <v>19</v>
      </c>
      <c r="N3019">
        <v>237</v>
      </c>
      <c r="O3019">
        <v>6</v>
      </c>
      <c r="P3019">
        <v>144235.86999999988</v>
      </c>
      <c r="Q3019">
        <v>144220.38999999987</v>
      </c>
    </row>
    <row r="3020" spans="7:17" x14ac:dyDescent="0.25">
      <c r="G3020" t="str">
        <f t="shared" si="47"/>
        <v/>
      </c>
      <c r="H3020" t="s">
        <v>47</v>
      </c>
      <c r="I3020" t="s">
        <v>11</v>
      </c>
      <c r="J3020" t="s">
        <v>5</v>
      </c>
      <c r="K3020" t="s">
        <v>35</v>
      </c>
      <c r="L3020" t="s">
        <v>43</v>
      </c>
      <c r="M3020" t="s">
        <v>20</v>
      </c>
      <c r="N3020">
        <v>8</v>
      </c>
      <c r="O3020">
        <v>4</v>
      </c>
      <c r="P3020">
        <v>3529.6100000000006</v>
      </c>
      <c r="Q3020">
        <v>0</v>
      </c>
    </row>
    <row r="3021" spans="7:17" x14ac:dyDescent="0.25">
      <c r="G3021" t="str">
        <f t="shared" si="47"/>
        <v/>
      </c>
      <c r="H3021" t="s">
        <v>47</v>
      </c>
      <c r="I3021" t="s">
        <v>11</v>
      </c>
      <c r="J3021" t="s">
        <v>5</v>
      </c>
      <c r="K3021" t="s">
        <v>35</v>
      </c>
      <c r="L3021" t="s">
        <v>44</v>
      </c>
      <c r="M3021" t="s">
        <v>19</v>
      </c>
      <c r="N3021">
        <v>45</v>
      </c>
      <c r="O3021">
        <v>4</v>
      </c>
      <c r="P3021">
        <v>109827.41999999998</v>
      </c>
      <c r="Q3021">
        <v>81027.190000000017</v>
      </c>
    </row>
    <row r="3022" spans="7:17" x14ac:dyDescent="0.25">
      <c r="G3022" t="str">
        <f t="shared" si="47"/>
        <v/>
      </c>
      <c r="H3022" t="s">
        <v>47</v>
      </c>
      <c r="I3022" t="s">
        <v>11</v>
      </c>
      <c r="J3022" t="s">
        <v>5</v>
      </c>
      <c r="K3022" t="s">
        <v>35</v>
      </c>
      <c r="L3022" t="s">
        <v>44</v>
      </c>
      <c r="M3022" t="s">
        <v>20</v>
      </c>
      <c r="N3022">
        <v>8</v>
      </c>
      <c r="O3022">
        <v>1</v>
      </c>
      <c r="P3022">
        <v>993.6</v>
      </c>
      <c r="Q3022">
        <v>0</v>
      </c>
    </row>
    <row r="3023" spans="7:17" x14ac:dyDescent="0.25">
      <c r="G3023" t="str">
        <f t="shared" si="47"/>
        <v/>
      </c>
      <c r="H3023" t="s">
        <v>47</v>
      </c>
      <c r="I3023" t="s">
        <v>11</v>
      </c>
      <c r="J3023" t="s">
        <v>5</v>
      </c>
      <c r="K3023" t="s">
        <v>35</v>
      </c>
      <c r="L3023" t="s">
        <v>39</v>
      </c>
      <c r="M3023" t="s">
        <v>19</v>
      </c>
      <c r="N3023">
        <v>13</v>
      </c>
      <c r="O3023">
        <v>4</v>
      </c>
      <c r="P3023">
        <v>17783.620000000003</v>
      </c>
      <c r="Q3023">
        <v>14622.31</v>
      </c>
    </row>
    <row r="3024" spans="7:17" x14ac:dyDescent="0.25">
      <c r="G3024" t="str">
        <f t="shared" si="47"/>
        <v/>
      </c>
      <c r="H3024" t="s">
        <v>47</v>
      </c>
      <c r="I3024" t="s">
        <v>11</v>
      </c>
      <c r="J3024" t="s">
        <v>5</v>
      </c>
      <c r="K3024" t="s">
        <v>35</v>
      </c>
      <c r="L3024" t="s">
        <v>39</v>
      </c>
      <c r="M3024" t="s">
        <v>20</v>
      </c>
      <c r="N3024">
        <v>17</v>
      </c>
      <c r="O3024">
        <v>3</v>
      </c>
      <c r="P3024">
        <v>7316.47</v>
      </c>
      <c r="Q3024">
        <v>0</v>
      </c>
    </row>
    <row r="3025" spans="7:17" x14ac:dyDescent="0.25">
      <c r="G3025" t="str">
        <f t="shared" si="47"/>
        <v/>
      </c>
      <c r="H3025" t="s">
        <v>47</v>
      </c>
      <c r="I3025" t="s">
        <v>11</v>
      </c>
      <c r="J3025" t="s">
        <v>5</v>
      </c>
      <c r="K3025" t="s">
        <v>35</v>
      </c>
      <c r="L3025" t="s">
        <v>40</v>
      </c>
      <c r="M3025" t="s">
        <v>19</v>
      </c>
      <c r="N3025">
        <v>2</v>
      </c>
      <c r="O3025">
        <v>0</v>
      </c>
      <c r="P3025">
        <v>1037.81</v>
      </c>
      <c r="Q3025">
        <v>1037.68</v>
      </c>
    </row>
    <row r="3026" spans="7:17" x14ac:dyDescent="0.25">
      <c r="G3026" t="str">
        <f t="shared" si="47"/>
        <v/>
      </c>
      <c r="H3026" t="s">
        <v>47</v>
      </c>
      <c r="I3026" t="s">
        <v>11</v>
      </c>
      <c r="J3026" t="s">
        <v>5</v>
      </c>
      <c r="K3026" t="s">
        <v>35</v>
      </c>
      <c r="L3026" t="s">
        <v>40</v>
      </c>
      <c r="M3026" t="s">
        <v>20</v>
      </c>
      <c r="N3026">
        <v>5</v>
      </c>
      <c r="O3026">
        <v>2</v>
      </c>
      <c r="P3026">
        <v>2799.3</v>
      </c>
      <c r="Q3026">
        <v>0</v>
      </c>
    </row>
    <row r="3027" spans="7:17" x14ac:dyDescent="0.25">
      <c r="G3027" t="str">
        <f t="shared" si="47"/>
        <v/>
      </c>
      <c r="H3027" t="s">
        <v>47</v>
      </c>
      <c r="I3027" t="s">
        <v>11</v>
      </c>
      <c r="J3027" t="s">
        <v>5</v>
      </c>
      <c r="K3027" t="s">
        <v>35</v>
      </c>
      <c r="L3027" t="s">
        <v>45</v>
      </c>
      <c r="M3027" t="s">
        <v>20</v>
      </c>
      <c r="N3027">
        <v>9</v>
      </c>
      <c r="O3027">
        <v>5</v>
      </c>
      <c r="P3027">
        <v>6489.6699999999992</v>
      </c>
      <c r="Q3027">
        <v>0</v>
      </c>
    </row>
    <row r="3028" spans="7:17" x14ac:dyDescent="0.25">
      <c r="G3028" t="str">
        <f t="shared" si="47"/>
        <v/>
      </c>
      <c r="H3028" t="s">
        <v>47</v>
      </c>
      <c r="I3028" t="s">
        <v>11</v>
      </c>
      <c r="J3028" t="s">
        <v>5</v>
      </c>
      <c r="K3028" t="s">
        <v>36</v>
      </c>
      <c r="L3028" t="s">
        <v>42</v>
      </c>
      <c r="M3028" t="s">
        <v>19</v>
      </c>
      <c r="N3028">
        <v>381</v>
      </c>
      <c r="O3028">
        <v>23</v>
      </c>
      <c r="P3028">
        <v>68163.719999999972</v>
      </c>
      <c r="Q3028">
        <v>65497.889999999854</v>
      </c>
    </row>
    <row r="3029" spans="7:17" x14ac:dyDescent="0.25">
      <c r="G3029" t="str">
        <f t="shared" si="47"/>
        <v/>
      </c>
      <c r="H3029" t="s">
        <v>47</v>
      </c>
      <c r="I3029" t="s">
        <v>11</v>
      </c>
      <c r="J3029" t="s">
        <v>5</v>
      </c>
      <c r="K3029" t="s">
        <v>36</v>
      </c>
      <c r="L3029" t="s">
        <v>42</v>
      </c>
      <c r="M3029" t="s">
        <v>20</v>
      </c>
      <c r="N3029">
        <v>93</v>
      </c>
      <c r="O3029">
        <v>7</v>
      </c>
      <c r="P3029">
        <v>20850.10999999999</v>
      </c>
      <c r="Q3029">
        <v>0</v>
      </c>
    </row>
    <row r="3030" spans="7:17" x14ac:dyDescent="0.25">
      <c r="G3030" t="str">
        <f t="shared" si="47"/>
        <v/>
      </c>
      <c r="H3030" t="s">
        <v>47</v>
      </c>
      <c r="I3030" t="s">
        <v>11</v>
      </c>
      <c r="J3030" t="s">
        <v>5</v>
      </c>
      <c r="K3030" t="s">
        <v>36</v>
      </c>
      <c r="L3030" t="s">
        <v>43</v>
      </c>
      <c r="M3030" t="s">
        <v>19</v>
      </c>
      <c r="N3030">
        <v>120</v>
      </c>
      <c r="O3030">
        <v>2</v>
      </c>
      <c r="P3030">
        <v>58613.709999999992</v>
      </c>
      <c r="Q3030">
        <v>41876.54</v>
      </c>
    </row>
    <row r="3031" spans="7:17" x14ac:dyDescent="0.25">
      <c r="G3031" t="str">
        <f t="shared" si="47"/>
        <v/>
      </c>
      <c r="H3031" t="s">
        <v>47</v>
      </c>
      <c r="I3031" t="s">
        <v>11</v>
      </c>
      <c r="J3031" t="s">
        <v>5</v>
      </c>
      <c r="K3031" t="s">
        <v>36</v>
      </c>
      <c r="L3031" t="s">
        <v>43</v>
      </c>
      <c r="M3031" t="s">
        <v>20</v>
      </c>
      <c r="N3031">
        <v>58</v>
      </c>
      <c r="O3031">
        <v>7</v>
      </c>
      <c r="P3031">
        <v>23849.450000000008</v>
      </c>
      <c r="Q3031">
        <v>0</v>
      </c>
    </row>
    <row r="3032" spans="7:17" x14ac:dyDescent="0.25">
      <c r="G3032" t="str">
        <f t="shared" si="47"/>
        <v/>
      </c>
      <c r="H3032" t="s">
        <v>47</v>
      </c>
      <c r="I3032" t="s">
        <v>11</v>
      </c>
      <c r="J3032" t="s">
        <v>5</v>
      </c>
      <c r="K3032" t="s">
        <v>36</v>
      </c>
      <c r="L3032" t="s">
        <v>44</v>
      </c>
      <c r="M3032" t="s">
        <v>19</v>
      </c>
      <c r="N3032">
        <v>78</v>
      </c>
      <c r="O3032">
        <v>6</v>
      </c>
      <c r="P3032">
        <v>98177.450000000026</v>
      </c>
      <c r="Q3032">
        <v>54910.030000000013</v>
      </c>
    </row>
    <row r="3033" spans="7:17" x14ac:dyDescent="0.25">
      <c r="G3033" t="str">
        <f t="shared" si="47"/>
        <v/>
      </c>
      <c r="H3033" t="s">
        <v>47</v>
      </c>
      <c r="I3033" t="s">
        <v>11</v>
      </c>
      <c r="J3033" t="s">
        <v>5</v>
      </c>
      <c r="K3033" t="s">
        <v>36</v>
      </c>
      <c r="L3033" t="s">
        <v>44</v>
      </c>
      <c r="M3033" t="s">
        <v>20</v>
      </c>
      <c r="N3033">
        <v>28</v>
      </c>
      <c r="O3033">
        <v>4</v>
      </c>
      <c r="P3033">
        <v>15295.080000000004</v>
      </c>
      <c r="Q3033">
        <v>0</v>
      </c>
    </row>
    <row r="3034" spans="7:17" x14ac:dyDescent="0.25">
      <c r="G3034" t="str">
        <f t="shared" si="47"/>
        <v/>
      </c>
      <c r="H3034" t="s">
        <v>47</v>
      </c>
      <c r="I3034" t="s">
        <v>11</v>
      </c>
      <c r="J3034" t="s">
        <v>5</v>
      </c>
      <c r="K3034" t="s">
        <v>36</v>
      </c>
      <c r="L3034" t="s">
        <v>39</v>
      </c>
      <c r="M3034" t="s">
        <v>19</v>
      </c>
      <c r="N3034">
        <v>13</v>
      </c>
      <c r="O3034">
        <v>7</v>
      </c>
      <c r="P3034">
        <v>8461.9199999999983</v>
      </c>
      <c r="Q3034">
        <v>5769.28</v>
      </c>
    </row>
    <row r="3035" spans="7:17" x14ac:dyDescent="0.25">
      <c r="G3035" t="str">
        <f t="shared" si="47"/>
        <v/>
      </c>
      <c r="H3035" t="s">
        <v>47</v>
      </c>
      <c r="I3035" t="s">
        <v>11</v>
      </c>
      <c r="J3035" t="s">
        <v>5</v>
      </c>
      <c r="K3035" t="s">
        <v>36</v>
      </c>
      <c r="L3035" t="s">
        <v>39</v>
      </c>
      <c r="M3035" t="s">
        <v>20</v>
      </c>
      <c r="N3035">
        <v>8</v>
      </c>
      <c r="O3035">
        <v>3</v>
      </c>
      <c r="P3035">
        <v>5249.01</v>
      </c>
      <c r="Q3035">
        <v>0</v>
      </c>
    </row>
    <row r="3036" spans="7:17" x14ac:dyDescent="0.25">
      <c r="G3036" t="str">
        <f t="shared" si="47"/>
        <v/>
      </c>
      <c r="H3036" t="s">
        <v>47</v>
      </c>
      <c r="I3036" t="s">
        <v>11</v>
      </c>
      <c r="J3036" t="s">
        <v>5</v>
      </c>
      <c r="K3036" t="s">
        <v>36</v>
      </c>
      <c r="L3036" t="s">
        <v>40</v>
      </c>
      <c r="M3036" t="s">
        <v>20</v>
      </c>
      <c r="N3036">
        <v>12</v>
      </c>
      <c r="O3036">
        <v>0</v>
      </c>
      <c r="P3036">
        <v>3028.6400000000003</v>
      </c>
      <c r="Q3036">
        <v>0</v>
      </c>
    </row>
    <row r="3037" spans="7:17" x14ac:dyDescent="0.25">
      <c r="G3037" t="str">
        <f t="shared" si="47"/>
        <v/>
      </c>
      <c r="H3037" t="s">
        <v>47</v>
      </c>
      <c r="I3037" t="s">
        <v>11</v>
      </c>
      <c r="J3037" t="s">
        <v>5</v>
      </c>
      <c r="K3037" t="s">
        <v>36</v>
      </c>
      <c r="L3037" t="s">
        <v>41</v>
      </c>
      <c r="M3037" t="s">
        <v>20</v>
      </c>
      <c r="N3037">
        <v>1</v>
      </c>
      <c r="O3037">
        <v>0</v>
      </c>
      <c r="P3037">
        <v>499.94</v>
      </c>
      <c r="Q3037">
        <v>0</v>
      </c>
    </row>
    <row r="3038" spans="7:17" x14ac:dyDescent="0.25">
      <c r="G3038" t="str">
        <f t="shared" si="47"/>
        <v/>
      </c>
      <c r="H3038" t="s">
        <v>47</v>
      </c>
      <c r="I3038" t="s">
        <v>11</v>
      </c>
      <c r="J3038" t="s">
        <v>5</v>
      </c>
      <c r="K3038" t="s">
        <v>36</v>
      </c>
      <c r="L3038" t="s">
        <v>45</v>
      </c>
      <c r="M3038" t="s">
        <v>19</v>
      </c>
      <c r="N3038">
        <v>1</v>
      </c>
      <c r="O3038">
        <v>0</v>
      </c>
      <c r="P3038">
        <v>280.68</v>
      </c>
      <c r="Q3038">
        <v>280.68</v>
      </c>
    </row>
    <row r="3039" spans="7:17" x14ac:dyDescent="0.25">
      <c r="G3039" t="str">
        <f t="shared" si="47"/>
        <v/>
      </c>
      <c r="H3039" t="s">
        <v>47</v>
      </c>
      <c r="I3039" t="s">
        <v>11</v>
      </c>
      <c r="J3039" t="s">
        <v>5</v>
      </c>
      <c r="K3039" t="s">
        <v>36</v>
      </c>
      <c r="L3039" t="s">
        <v>45</v>
      </c>
      <c r="M3039" t="s">
        <v>20</v>
      </c>
      <c r="N3039">
        <v>21</v>
      </c>
      <c r="O3039">
        <v>7</v>
      </c>
      <c r="P3039">
        <v>5478.9199999999992</v>
      </c>
      <c r="Q3039">
        <v>0</v>
      </c>
    </row>
    <row r="3040" spans="7:17" x14ac:dyDescent="0.25">
      <c r="G3040" t="str">
        <f t="shared" si="47"/>
        <v/>
      </c>
      <c r="H3040" t="s">
        <v>47</v>
      </c>
      <c r="I3040" t="s">
        <v>11</v>
      </c>
      <c r="J3040" t="s">
        <v>5</v>
      </c>
      <c r="K3040" t="s">
        <v>37</v>
      </c>
      <c r="L3040" t="s">
        <v>42</v>
      </c>
      <c r="M3040" t="s">
        <v>19</v>
      </c>
      <c r="N3040">
        <v>130</v>
      </c>
      <c r="O3040">
        <v>13</v>
      </c>
      <c r="P3040">
        <v>27562.75999999998</v>
      </c>
      <c r="Q3040">
        <v>26737.929999999986</v>
      </c>
    </row>
    <row r="3041" spans="7:17" x14ac:dyDescent="0.25">
      <c r="G3041" t="str">
        <f t="shared" si="47"/>
        <v/>
      </c>
      <c r="H3041" t="s">
        <v>47</v>
      </c>
      <c r="I3041" t="s">
        <v>11</v>
      </c>
      <c r="J3041" t="s">
        <v>5</v>
      </c>
      <c r="K3041" t="s">
        <v>37</v>
      </c>
      <c r="L3041" t="s">
        <v>42</v>
      </c>
      <c r="M3041" t="s">
        <v>20</v>
      </c>
      <c r="N3041">
        <v>74</v>
      </c>
      <c r="O3041">
        <v>6</v>
      </c>
      <c r="P3041">
        <v>20280.609999999993</v>
      </c>
      <c r="Q3041">
        <v>0</v>
      </c>
    </row>
    <row r="3042" spans="7:17" x14ac:dyDescent="0.25">
      <c r="G3042" t="str">
        <f t="shared" si="47"/>
        <v/>
      </c>
      <c r="H3042" t="s">
        <v>47</v>
      </c>
      <c r="I3042" t="s">
        <v>11</v>
      </c>
      <c r="J3042" t="s">
        <v>5</v>
      </c>
      <c r="K3042" t="s">
        <v>37</v>
      </c>
      <c r="L3042" t="s">
        <v>43</v>
      </c>
      <c r="M3042" t="s">
        <v>19</v>
      </c>
      <c r="N3042">
        <v>17</v>
      </c>
      <c r="O3042">
        <v>3</v>
      </c>
      <c r="P3042">
        <v>9452.01</v>
      </c>
      <c r="Q3042">
        <v>8672.42</v>
      </c>
    </row>
    <row r="3043" spans="7:17" x14ac:dyDescent="0.25">
      <c r="G3043" t="str">
        <f t="shared" si="47"/>
        <v/>
      </c>
      <c r="H3043" t="s">
        <v>47</v>
      </c>
      <c r="I3043" t="s">
        <v>11</v>
      </c>
      <c r="J3043" t="s">
        <v>5</v>
      </c>
      <c r="K3043" t="s">
        <v>37</v>
      </c>
      <c r="L3043" t="s">
        <v>43</v>
      </c>
      <c r="M3043" t="s">
        <v>20</v>
      </c>
      <c r="N3043">
        <v>38</v>
      </c>
      <c r="O3043">
        <v>6</v>
      </c>
      <c r="P3043">
        <v>15094.740000000003</v>
      </c>
      <c r="Q3043">
        <v>0</v>
      </c>
    </row>
    <row r="3044" spans="7:17" x14ac:dyDescent="0.25">
      <c r="G3044" t="str">
        <f t="shared" si="47"/>
        <v/>
      </c>
      <c r="H3044" t="s">
        <v>47</v>
      </c>
      <c r="I3044" t="s">
        <v>11</v>
      </c>
      <c r="J3044" t="s">
        <v>5</v>
      </c>
      <c r="K3044" t="s">
        <v>37</v>
      </c>
      <c r="L3044" t="s">
        <v>44</v>
      </c>
      <c r="M3044" t="s">
        <v>19</v>
      </c>
      <c r="N3044">
        <v>5</v>
      </c>
      <c r="O3044">
        <v>2</v>
      </c>
      <c r="P3044">
        <v>3958.27</v>
      </c>
      <c r="Q3044">
        <v>3341.02</v>
      </c>
    </row>
    <row r="3045" spans="7:17" x14ac:dyDescent="0.25">
      <c r="G3045" t="str">
        <f t="shared" si="47"/>
        <v/>
      </c>
      <c r="H3045" t="s">
        <v>47</v>
      </c>
      <c r="I3045" t="s">
        <v>11</v>
      </c>
      <c r="J3045" t="s">
        <v>5</v>
      </c>
      <c r="K3045" t="s">
        <v>37</v>
      </c>
      <c r="L3045" t="s">
        <v>44</v>
      </c>
      <c r="M3045" t="s">
        <v>20</v>
      </c>
      <c r="N3045">
        <v>17</v>
      </c>
      <c r="O3045">
        <v>6</v>
      </c>
      <c r="P3045">
        <v>5882.7</v>
      </c>
      <c r="Q3045">
        <v>0</v>
      </c>
    </row>
    <row r="3046" spans="7:17" x14ac:dyDescent="0.25">
      <c r="G3046" t="str">
        <f t="shared" si="47"/>
        <v/>
      </c>
      <c r="H3046" t="s">
        <v>47</v>
      </c>
      <c r="I3046" t="s">
        <v>11</v>
      </c>
      <c r="J3046" t="s">
        <v>5</v>
      </c>
      <c r="K3046" t="s">
        <v>37</v>
      </c>
      <c r="L3046" t="s">
        <v>39</v>
      </c>
      <c r="M3046" t="s">
        <v>20</v>
      </c>
      <c r="N3046">
        <v>15</v>
      </c>
      <c r="O3046">
        <v>10</v>
      </c>
      <c r="P3046">
        <v>19698.22</v>
      </c>
      <c r="Q3046">
        <v>0</v>
      </c>
    </row>
    <row r="3047" spans="7:17" x14ac:dyDescent="0.25">
      <c r="G3047" t="str">
        <f t="shared" si="47"/>
        <v/>
      </c>
      <c r="H3047" t="s">
        <v>47</v>
      </c>
      <c r="I3047" t="s">
        <v>11</v>
      </c>
      <c r="J3047" t="s">
        <v>5</v>
      </c>
      <c r="K3047" t="s">
        <v>37</v>
      </c>
      <c r="L3047" t="s">
        <v>40</v>
      </c>
      <c r="M3047" t="s">
        <v>19</v>
      </c>
      <c r="N3047">
        <v>1</v>
      </c>
      <c r="O3047">
        <v>0</v>
      </c>
      <c r="P3047">
        <v>172.22</v>
      </c>
      <c r="Q3047">
        <v>172.22</v>
      </c>
    </row>
    <row r="3048" spans="7:17" x14ac:dyDescent="0.25">
      <c r="G3048" t="str">
        <f t="shared" si="47"/>
        <v/>
      </c>
      <c r="H3048" t="s">
        <v>47</v>
      </c>
      <c r="I3048" t="s">
        <v>11</v>
      </c>
      <c r="J3048" t="s">
        <v>5</v>
      </c>
      <c r="K3048" t="s">
        <v>37</v>
      </c>
      <c r="L3048" t="s">
        <v>40</v>
      </c>
      <c r="M3048" t="s">
        <v>20</v>
      </c>
      <c r="N3048">
        <v>10</v>
      </c>
      <c r="O3048">
        <v>1</v>
      </c>
      <c r="P3048">
        <v>3912.2200000000003</v>
      </c>
      <c r="Q3048">
        <v>0</v>
      </c>
    </row>
    <row r="3049" spans="7:17" x14ac:dyDescent="0.25">
      <c r="G3049" t="str">
        <f t="shared" si="47"/>
        <v/>
      </c>
      <c r="H3049" t="s">
        <v>47</v>
      </c>
      <c r="I3049" t="s">
        <v>11</v>
      </c>
      <c r="J3049" t="s">
        <v>5</v>
      </c>
      <c r="K3049" t="s">
        <v>37</v>
      </c>
      <c r="L3049" t="s">
        <v>41</v>
      </c>
      <c r="M3049" t="s">
        <v>20</v>
      </c>
      <c r="N3049">
        <v>7</v>
      </c>
      <c r="O3049">
        <v>1</v>
      </c>
      <c r="P3049">
        <v>2528.04</v>
      </c>
      <c r="Q3049">
        <v>0</v>
      </c>
    </row>
    <row r="3050" spans="7:17" x14ac:dyDescent="0.25">
      <c r="G3050" t="str">
        <f t="shared" si="47"/>
        <v/>
      </c>
      <c r="H3050" t="s">
        <v>47</v>
      </c>
      <c r="I3050" t="s">
        <v>11</v>
      </c>
      <c r="J3050" t="s">
        <v>5</v>
      </c>
      <c r="K3050" t="s">
        <v>37</v>
      </c>
      <c r="L3050" t="s">
        <v>45</v>
      </c>
      <c r="M3050" t="s">
        <v>20</v>
      </c>
      <c r="N3050">
        <v>89</v>
      </c>
      <c r="O3050">
        <v>27</v>
      </c>
      <c r="P3050">
        <v>41886.229999999981</v>
      </c>
      <c r="Q3050">
        <v>0</v>
      </c>
    </row>
    <row r="3051" spans="7:17" x14ac:dyDescent="0.25">
      <c r="G3051" t="str">
        <f t="shared" si="47"/>
        <v/>
      </c>
      <c r="H3051" t="s">
        <v>47</v>
      </c>
      <c r="I3051" t="s">
        <v>11</v>
      </c>
      <c r="J3051" t="s">
        <v>5</v>
      </c>
      <c r="K3051" t="s">
        <v>38</v>
      </c>
      <c r="L3051" t="s">
        <v>42</v>
      </c>
      <c r="M3051" t="s">
        <v>19</v>
      </c>
      <c r="N3051">
        <v>214</v>
      </c>
      <c r="O3051">
        <v>5</v>
      </c>
      <c r="P3051">
        <v>66258.219999999943</v>
      </c>
      <c r="Q3051">
        <v>66256.969999999943</v>
      </c>
    </row>
    <row r="3052" spans="7:17" x14ac:dyDescent="0.25">
      <c r="G3052" t="str">
        <f t="shared" si="47"/>
        <v/>
      </c>
      <c r="H3052" t="s">
        <v>47</v>
      </c>
      <c r="I3052" t="s">
        <v>11</v>
      </c>
      <c r="J3052" t="s">
        <v>5</v>
      </c>
      <c r="K3052" t="s">
        <v>38</v>
      </c>
      <c r="L3052" t="s">
        <v>42</v>
      </c>
      <c r="M3052" t="s">
        <v>20</v>
      </c>
      <c r="N3052">
        <v>44</v>
      </c>
      <c r="O3052">
        <v>1</v>
      </c>
      <c r="P3052">
        <v>11100.980000000009</v>
      </c>
      <c r="Q3052">
        <v>0</v>
      </c>
    </row>
    <row r="3053" spans="7:17" x14ac:dyDescent="0.25">
      <c r="G3053" t="str">
        <f t="shared" si="47"/>
        <v/>
      </c>
      <c r="H3053" t="s">
        <v>47</v>
      </c>
      <c r="I3053" t="s">
        <v>11</v>
      </c>
      <c r="J3053" t="s">
        <v>5</v>
      </c>
      <c r="K3053" t="s">
        <v>38</v>
      </c>
      <c r="L3053" t="s">
        <v>43</v>
      </c>
      <c r="M3053" t="s">
        <v>19</v>
      </c>
      <c r="N3053">
        <v>171</v>
      </c>
      <c r="O3053">
        <v>1</v>
      </c>
      <c r="P3053">
        <v>59115.309999999939</v>
      </c>
      <c r="Q3053">
        <v>51797.859999999942</v>
      </c>
    </row>
    <row r="3054" spans="7:17" x14ac:dyDescent="0.25">
      <c r="G3054" t="str">
        <f t="shared" si="47"/>
        <v/>
      </c>
      <c r="H3054" t="s">
        <v>47</v>
      </c>
      <c r="I3054" t="s">
        <v>11</v>
      </c>
      <c r="J3054" t="s">
        <v>5</v>
      </c>
      <c r="K3054" t="s">
        <v>38</v>
      </c>
      <c r="L3054" t="s">
        <v>43</v>
      </c>
      <c r="M3054" t="s">
        <v>20</v>
      </c>
      <c r="N3054">
        <v>8</v>
      </c>
      <c r="O3054">
        <v>5</v>
      </c>
      <c r="P3054">
        <v>5088.3200000000006</v>
      </c>
      <c r="Q3054">
        <v>0</v>
      </c>
    </row>
    <row r="3055" spans="7:17" x14ac:dyDescent="0.25">
      <c r="G3055" t="str">
        <f t="shared" si="47"/>
        <v/>
      </c>
      <c r="H3055" t="s">
        <v>47</v>
      </c>
      <c r="I3055" t="s">
        <v>11</v>
      </c>
      <c r="J3055" t="s">
        <v>5</v>
      </c>
      <c r="K3055" t="s">
        <v>38</v>
      </c>
      <c r="L3055" t="s">
        <v>44</v>
      </c>
      <c r="M3055" t="s">
        <v>19</v>
      </c>
      <c r="N3055">
        <v>5</v>
      </c>
      <c r="O3055">
        <v>3</v>
      </c>
      <c r="P3055">
        <v>9649.18</v>
      </c>
      <c r="Q3055">
        <v>6759.36</v>
      </c>
    </row>
    <row r="3056" spans="7:17" x14ac:dyDescent="0.25">
      <c r="G3056" t="str">
        <f t="shared" si="47"/>
        <v/>
      </c>
      <c r="H3056" t="s">
        <v>47</v>
      </c>
      <c r="I3056" t="s">
        <v>11</v>
      </c>
      <c r="J3056" t="s">
        <v>5</v>
      </c>
      <c r="K3056" t="s">
        <v>38</v>
      </c>
      <c r="L3056" t="s">
        <v>44</v>
      </c>
      <c r="M3056" t="s">
        <v>20</v>
      </c>
      <c r="N3056">
        <v>53</v>
      </c>
      <c r="O3056">
        <v>3</v>
      </c>
      <c r="P3056">
        <v>44935.839999999989</v>
      </c>
      <c r="Q3056">
        <v>0</v>
      </c>
    </row>
    <row r="3057" spans="7:17" x14ac:dyDescent="0.25">
      <c r="G3057" t="str">
        <f t="shared" si="47"/>
        <v/>
      </c>
      <c r="H3057" t="s">
        <v>47</v>
      </c>
      <c r="I3057" t="s">
        <v>11</v>
      </c>
      <c r="J3057" t="s">
        <v>5</v>
      </c>
      <c r="K3057" t="s">
        <v>38</v>
      </c>
      <c r="L3057" t="s">
        <v>39</v>
      </c>
      <c r="M3057" t="s">
        <v>19</v>
      </c>
      <c r="N3057">
        <v>1</v>
      </c>
      <c r="O3057">
        <v>1</v>
      </c>
      <c r="P3057">
        <v>3067.72</v>
      </c>
      <c r="Q3057">
        <v>3067.72</v>
      </c>
    </row>
    <row r="3058" spans="7:17" x14ac:dyDescent="0.25">
      <c r="G3058" t="str">
        <f t="shared" si="47"/>
        <v/>
      </c>
      <c r="H3058" t="s">
        <v>47</v>
      </c>
      <c r="I3058" t="s">
        <v>11</v>
      </c>
      <c r="J3058" t="s">
        <v>5</v>
      </c>
      <c r="K3058" t="s">
        <v>38</v>
      </c>
      <c r="L3058" t="s">
        <v>39</v>
      </c>
      <c r="M3058" t="s">
        <v>20</v>
      </c>
      <c r="N3058">
        <v>3</v>
      </c>
      <c r="O3058">
        <v>3</v>
      </c>
      <c r="P3058">
        <v>2887.06</v>
      </c>
      <c r="Q3058">
        <v>0</v>
      </c>
    </row>
    <row r="3059" spans="7:17" x14ac:dyDescent="0.25">
      <c r="G3059" t="str">
        <f t="shared" si="47"/>
        <v/>
      </c>
      <c r="H3059" t="s">
        <v>47</v>
      </c>
      <c r="I3059" t="s">
        <v>11</v>
      </c>
      <c r="J3059" t="s">
        <v>5</v>
      </c>
      <c r="K3059" t="s">
        <v>38</v>
      </c>
      <c r="L3059" t="s">
        <v>40</v>
      </c>
      <c r="M3059" t="s">
        <v>19</v>
      </c>
      <c r="N3059">
        <v>3</v>
      </c>
      <c r="O3059">
        <v>0</v>
      </c>
      <c r="P3059">
        <v>718.56</v>
      </c>
      <c r="Q3059">
        <v>718.56</v>
      </c>
    </row>
    <row r="3060" spans="7:17" x14ac:dyDescent="0.25">
      <c r="G3060" t="str">
        <f t="shared" si="47"/>
        <v/>
      </c>
      <c r="H3060" t="s">
        <v>47</v>
      </c>
      <c r="I3060" t="s">
        <v>11</v>
      </c>
      <c r="J3060" t="s">
        <v>5</v>
      </c>
      <c r="K3060" t="s">
        <v>38</v>
      </c>
      <c r="L3060" t="s">
        <v>40</v>
      </c>
      <c r="M3060" t="s">
        <v>20</v>
      </c>
      <c r="N3060">
        <v>1</v>
      </c>
      <c r="O3060">
        <v>1</v>
      </c>
      <c r="P3060">
        <v>66.34</v>
      </c>
      <c r="Q3060">
        <v>0</v>
      </c>
    </row>
    <row r="3061" spans="7:17" x14ac:dyDescent="0.25">
      <c r="G3061" t="str">
        <f t="shared" si="47"/>
        <v/>
      </c>
      <c r="H3061" t="s">
        <v>47</v>
      </c>
      <c r="I3061" t="s">
        <v>11</v>
      </c>
      <c r="J3061" t="s">
        <v>5</v>
      </c>
      <c r="K3061" t="s">
        <v>38</v>
      </c>
      <c r="L3061" t="s">
        <v>41</v>
      </c>
      <c r="M3061" t="s">
        <v>20</v>
      </c>
      <c r="N3061">
        <v>10</v>
      </c>
      <c r="O3061">
        <v>1</v>
      </c>
      <c r="P3061">
        <v>4038.9300000000003</v>
      </c>
      <c r="Q3061">
        <v>0</v>
      </c>
    </row>
    <row r="3062" spans="7:17" x14ac:dyDescent="0.25">
      <c r="G3062" t="str">
        <f t="shared" si="47"/>
        <v/>
      </c>
      <c r="H3062" t="s">
        <v>47</v>
      </c>
      <c r="I3062" t="s">
        <v>11</v>
      </c>
      <c r="J3062" t="s">
        <v>5</v>
      </c>
      <c r="K3062" t="s">
        <v>38</v>
      </c>
      <c r="L3062" t="s">
        <v>45</v>
      </c>
      <c r="M3062" t="s">
        <v>20</v>
      </c>
      <c r="N3062">
        <v>11</v>
      </c>
      <c r="O3062">
        <v>2</v>
      </c>
      <c r="P3062">
        <v>1850.6</v>
      </c>
      <c r="Q3062">
        <v>0</v>
      </c>
    </row>
    <row r="3063" spans="7:17" x14ac:dyDescent="0.25">
      <c r="G3063" t="str">
        <f t="shared" si="47"/>
        <v/>
      </c>
      <c r="H3063" t="s">
        <v>47</v>
      </c>
      <c r="I3063" t="s">
        <v>11</v>
      </c>
      <c r="J3063" t="s">
        <v>7</v>
      </c>
      <c r="K3063" t="s">
        <v>23</v>
      </c>
      <c r="L3063" t="s">
        <v>42</v>
      </c>
      <c r="M3063" t="s">
        <v>19</v>
      </c>
      <c r="N3063">
        <v>322</v>
      </c>
      <c r="O3063">
        <v>0</v>
      </c>
      <c r="P3063">
        <v>121233.43000000078</v>
      </c>
      <c r="Q3063">
        <v>120829.71000000079</v>
      </c>
    </row>
    <row r="3064" spans="7:17" x14ac:dyDescent="0.25">
      <c r="G3064" t="str">
        <f t="shared" si="47"/>
        <v/>
      </c>
      <c r="H3064" t="s">
        <v>47</v>
      </c>
      <c r="I3064" t="s">
        <v>11</v>
      </c>
      <c r="J3064" t="s">
        <v>7</v>
      </c>
      <c r="K3064" t="s">
        <v>23</v>
      </c>
      <c r="L3064" t="s">
        <v>42</v>
      </c>
      <c r="M3064" t="s">
        <v>20</v>
      </c>
      <c r="N3064">
        <v>149</v>
      </c>
      <c r="O3064">
        <v>16</v>
      </c>
      <c r="P3064">
        <v>61664.480000000032</v>
      </c>
      <c r="Q3064">
        <v>0</v>
      </c>
    </row>
    <row r="3065" spans="7:17" x14ac:dyDescent="0.25">
      <c r="G3065" t="str">
        <f t="shared" si="47"/>
        <v/>
      </c>
      <c r="H3065" t="s">
        <v>47</v>
      </c>
      <c r="I3065" t="s">
        <v>11</v>
      </c>
      <c r="J3065" t="s">
        <v>7</v>
      </c>
      <c r="K3065" t="s">
        <v>23</v>
      </c>
      <c r="L3065" t="s">
        <v>43</v>
      </c>
      <c r="M3065" t="s">
        <v>19</v>
      </c>
      <c r="N3065">
        <v>130</v>
      </c>
      <c r="O3065">
        <v>2</v>
      </c>
      <c r="P3065">
        <v>92640.359999999928</v>
      </c>
      <c r="Q3065">
        <v>92582.809999999925</v>
      </c>
    </row>
    <row r="3066" spans="7:17" x14ac:dyDescent="0.25">
      <c r="G3066" t="str">
        <f t="shared" si="47"/>
        <v/>
      </c>
      <c r="H3066" t="s">
        <v>47</v>
      </c>
      <c r="I3066" t="s">
        <v>11</v>
      </c>
      <c r="J3066" t="s">
        <v>7</v>
      </c>
      <c r="K3066" t="s">
        <v>23</v>
      </c>
      <c r="L3066" t="s">
        <v>43</v>
      </c>
      <c r="M3066" t="s">
        <v>20</v>
      </c>
      <c r="N3066">
        <v>67</v>
      </c>
      <c r="O3066">
        <v>7</v>
      </c>
      <c r="P3066">
        <v>27801.889999999996</v>
      </c>
      <c r="Q3066">
        <v>0</v>
      </c>
    </row>
    <row r="3067" spans="7:17" x14ac:dyDescent="0.25">
      <c r="G3067" t="str">
        <f t="shared" si="47"/>
        <v/>
      </c>
      <c r="H3067" t="s">
        <v>47</v>
      </c>
      <c r="I3067" t="s">
        <v>11</v>
      </c>
      <c r="J3067" t="s">
        <v>7</v>
      </c>
      <c r="K3067" t="s">
        <v>23</v>
      </c>
      <c r="L3067" t="s">
        <v>44</v>
      </c>
      <c r="M3067" t="s">
        <v>19</v>
      </c>
      <c r="N3067">
        <v>15</v>
      </c>
      <c r="O3067">
        <v>2</v>
      </c>
      <c r="P3067">
        <v>8325.6799999999985</v>
      </c>
      <c r="Q3067">
        <v>5766.3200000000006</v>
      </c>
    </row>
    <row r="3068" spans="7:17" x14ac:dyDescent="0.25">
      <c r="G3068" t="str">
        <f t="shared" si="47"/>
        <v/>
      </c>
      <c r="H3068" t="s">
        <v>47</v>
      </c>
      <c r="I3068" t="s">
        <v>11</v>
      </c>
      <c r="J3068" t="s">
        <v>7</v>
      </c>
      <c r="K3068" t="s">
        <v>23</v>
      </c>
      <c r="L3068" t="s">
        <v>44</v>
      </c>
      <c r="M3068" t="s">
        <v>20</v>
      </c>
      <c r="N3068">
        <v>8</v>
      </c>
      <c r="O3068">
        <v>1</v>
      </c>
      <c r="P3068">
        <v>4845.0500000000011</v>
      </c>
      <c r="Q3068">
        <v>0</v>
      </c>
    </row>
    <row r="3069" spans="7:17" x14ac:dyDescent="0.25">
      <c r="G3069" t="str">
        <f t="shared" si="47"/>
        <v/>
      </c>
      <c r="H3069" t="s">
        <v>47</v>
      </c>
      <c r="I3069" t="s">
        <v>11</v>
      </c>
      <c r="J3069" t="s">
        <v>7</v>
      </c>
      <c r="K3069" t="s">
        <v>23</v>
      </c>
      <c r="L3069" t="s">
        <v>39</v>
      </c>
      <c r="M3069" t="s">
        <v>19</v>
      </c>
      <c r="N3069">
        <v>63</v>
      </c>
      <c r="O3069">
        <v>0</v>
      </c>
      <c r="P3069">
        <v>8232.4600000000028</v>
      </c>
      <c r="Q3069">
        <v>5650.9400000000014</v>
      </c>
    </row>
    <row r="3070" spans="7:17" x14ac:dyDescent="0.25">
      <c r="G3070" t="str">
        <f t="shared" si="47"/>
        <v/>
      </c>
      <c r="H3070" t="s">
        <v>47</v>
      </c>
      <c r="I3070" t="s">
        <v>11</v>
      </c>
      <c r="J3070" t="s">
        <v>7</v>
      </c>
      <c r="K3070" t="s">
        <v>23</v>
      </c>
      <c r="L3070" t="s">
        <v>39</v>
      </c>
      <c r="M3070" t="s">
        <v>20</v>
      </c>
      <c r="N3070">
        <v>22</v>
      </c>
      <c r="O3070">
        <v>8</v>
      </c>
      <c r="P3070">
        <v>11534.130000000003</v>
      </c>
      <c r="Q3070">
        <v>0</v>
      </c>
    </row>
    <row r="3071" spans="7:17" x14ac:dyDescent="0.25">
      <c r="G3071" t="str">
        <f t="shared" si="47"/>
        <v/>
      </c>
      <c r="H3071" t="s">
        <v>47</v>
      </c>
      <c r="I3071" t="s">
        <v>11</v>
      </c>
      <c r="J3071" t="s">
        <v>7</v>
      </c>
      <c r="K3071" t="s">
        <v>23</v>
      </c>
      <c r="L3071" t="s">
        <v>40</v>
      </c>
      <c r="M3071" t="s">
        <v>19</v>
      </c>
      <c r="N3071">
        <v>1</v>
      </c>
      <c r="O3071">
        <v>0</v>
      </c>
      <c r="P3071">
        <v>438.3</v>
      </c>
      <c r="Q3071">
        <v>56.5</v>
      </c>
    </row>
    <row r="3072" spans="7:17" x14ac:dyDescent="0.25">
      <c r="G3072" t="str">
        <f t="shared" si="47"/>
        <v/>
      </c>
      <c r="H3072" t="s">
        <v>47</v>
      </c>
      <c r="I3072" t="s">
        <v>11</v>
      </c>
      <c r="J3072" t="s">
        <v>7</v>
      </c>
      <c r="K3072" t="s">
        <v>23</v>
      </c>
      <c r="L3072" t="s">
        <v>40</v>
      </c>
      <c r="M3072" t="s">
        <v>20</v>
      </c>
      <c r="N3072">
        <v>4</v>
      </c>
      <c r="O3072">
        <v>0</v>
      </c>
      <c r="P3072">
        <v>3362.38</v>
      </c>
      <c r="Q3072">
        <v>0</v>
      </c>
    </row>
    <row r="3073" spans="7:17" x14ac:dyDescent="0.25">
      <c r="G3073" t="str">
        <f t="shared" si="47"/>
        <v/>
      </c>
      <c r="H3073" t="s">
        <v>47</v>
      </c>
      <c r="I3073" t="s">
        <v>11</v>
      </c>
      <c r="J3073" t="s">
        <v>7</v>
      </c>
      <c r="K3073" t="s">
        <v>23</v>
      </c>
      <c r="L3073" t="s">
        <v>41</v>
      </c>
      <c r="M3073" t="s">
        <v>20</v>
      </c>
      <c r="N3073">
        <v>6</v>
      </c>
      <c r="O3073">
        <v>2</v>
      </c>
      <c r="P3073">
        <v>5107.1200000000008</v>
      </c>
      <c r="Q3073">
        <v>0</v>
      </c>
    </row>
    <row r="3074" spans="7:17" x14ac:dyDescent="0.25">
      <c r="G3074" t="str">
        <f t="shared" ref="G3074:G3137" si="48">IF(G$1="Overall","Overall",IF(G$1=L3074,L3074,""))</f>
        <v/>
      </c>
      <c r="H3074" t="s">
        <v>47</v>
      </c>
      <c r="I3074" t="s">
        <v>11</v>
      </c>
      <c r="J3074" t="s">
        <v>7</v>
      </c>
      <c r="K3074" t="s">
        <v>23</v>
      </c>
      <c r="L3074" t="s">
        <v>45</v>
      </c>
      <c r="M3074" t="s">
        <v>19</v>
      </c>
      <c r="N3074">
        <v>1</v>
      </c>
      <c r="O3074">
        <v>0</v>
      </c>
      <c r="P3074">
        <v>495.88</v>
      </c>
      <c r="Q3074">
        <v>495.88</v>
      </c>
    </row>
    <row r="3075" spans="7:17" x14ac:dyDescent="0.25">
      <c r="G3075" t="str">
        <f t="shared" si="48"/>
        <v/>
      </c>
      <c r="H3075" t="s">
        <v>47</v>
      </c>
      <c r="I3075" t="s">
        <v>11</v>
      </c>
      <c r="J3075" t="s">
        <v>7</v>
      </c>
      <c r="K3075" t="s">
        <v>23</v>
      </c>
      <c r="L3075" t="s">
        <v>45</v>
      </c>
      <c r="M3075" t="s">
        <v>20</v>
      </c>
      <c r="N3075">
        <v>90</v>
      </c>
      <c r="O3075">
        <v>13</v>
      </c>
      <c r="P3075">
        <v>72361.179999999993</v>
      </c>
      <c r="Q3075">
        <v>0</v>
      </c>
    </row>
    <row r="3076" spans="7:17" x14ac:dyDescent="0.25">
      <c r="G3076" t="str">
        <f t="shared" si="48"/>
        <v/>
      </c>
      <c r="H3076" t="s">
        <v>47</v>
      </c>
      <c r="I3076" t="s">
        <v>11</v>
      </c>
      <c r="J3076" t="s">
        <v>7</v>
      </c>
      <c r="K3076" t="s">
        <v>24</v>
      </c>
      <c r="L3076" t="s">
        <v>42</v>
      </c>
      <c r="M3076" t="s">
        <v>19</v>
      </c>
      <c r="N3076">
        <v>3</v>
      </c>
      <c r="O3076">
        <v>0</v>
      </c>
      <c r="P3076">
        <v>979.39</v>
      </c>
      <c r="Q3076">
        <v>978.97</v>
      </c>
    </row>
    <row r="3077" spans="7:17" x14ac:dyDescent="0.25">
      <c r="G3077" t="str">
        <f t="shared" si="48"/>
        <v/>
      </c>
      <c r="H3077" t="s">
        <v>47</v>
      </c>
      <c r="I3077" t="s">
        <v>11</v>
      </c>
      <c r="J3077" t="s">
        <v>7</v>
      </c>
      <c r="K3077" t="s">
        <v>24</v>
      </c>
      <c r="L3077" t="s">
        <v>42</v>
      </c>
      <c r="M3077" t="s">
        <v>20</v>
      </c>
      <c r="N3077">
        <v>490</v>
      </c>
      <c r="O3077">
        <v>3</v>
      </c>
      <c r="P3077">
        <v>189147.08000000106</v>
      </c>
      <c r="Q3077">
        <v>0</v>
      </c>
    </row>
    <row r="3078" spans="7:17" x14ac:dyDescent="0.25">
      <c r="G3078" t="str">
        <f t="shared" si="48"/>
        <v/>
      </c>
      <c r="H3078" t="s">
        <v>47</v>
      </c>
      <c r="I3078" t="s">
        <v>11</v>
      </c>
      <c r="J3078" t="s">
        <v>7</v>
      </c>
      <c r="K3078" t="s">
        <v>24</v>
      </c>
      <c r="L3078" t="s">
        <v>43</v>
      </c>
      <c r="M3078" t="s">
        <v>19</v>
      </c>
      <c r="N3078">
        <v>1672</v>
      </c>
      <c r="O3078">
        <v>1</v>
      </c>
      <c r="P3078">
        <v>119607.30999999995</v>
      </c>
      <c r="Q3078">
        <v>62191.960000000006</v>
      </c>
    </row>
    <row r="3079" spans="7:17" x14ac:dyDescent="0.25">
      <c r="G3079" t="str">
        <f t="shared" si="48"/>
        <v/>
      </c>
      <c r="H3079" t="s">
        <v>47</v>
      </c>
      <c r="I3079" t="s">
        <v>11</v>
      </c>
      <c r="J3079" t="s">
        <v>7</v>
      </c>
      <c r="K3079" t="s">
        <v>24</v>
      </c>
      <c r="L3079" t="s">
        <v>43</v>
      </c>
      <c r="M3079" t="s">
        <v>20</v>
      </c>
      <c r="N3079">
        <v>16</v>
      </c>
      <c r="O3079">
        <v>3</v>
      </c>
      <c r="P3079">
        <v>13343.67</v>
      </c>
      <c r="Q3079">
        <v>0</v>
      </c>
    </row>
    <row r="3080" spans="7:17" x14ac:dyDescent="0.25">
      <c r="G3080" t="str">
        <f t="shared" si="48"/>
        <v/>
      </c>
      <c r="H3080" t="s">
        <v>47</v>
      </c>
      <c r="I3080" t="s">
        <v>11</v>
      </c>
      <c r="J3080" t="s">
        <v>7</v>
      </c>
      <c r="K3080" t="s">
        <v>24</v>
      </c>
      <c r="L3080" t="s">
        <v>44</v>
      </c>
      <c r="M3080" t="s">
        <v>19</v>
      </c>
      <c r="N3080">
        <v>274</v>
      </c>
      <c r="O3080">
        <v>2</v>
      </c>
      <c r="P3080">
        <v>31237.910000000003</v>
      </c>
      <c r="Q3080">
        <v>14309.919999999998</v>
      </c>
    </row>
    <row r="3081" spans="7:17" x14ac:dyDescent="0.25">
      <c r="G3081" t="str">
        <f t="shared" si="48"/>
        <v/>
      </c>
      <c r="H3081" t="s">
        <v>47</v>
      </c>
      <c r="I3081" t="s">
        <v>11</v>
      </c>
      <c r="J3081" t="s">
        <v>7</v>
      </c>
      <c r="K3081" t="s">
        <v>24</v>
      </c>
      <c r="L3081" t="s">
        <v>44</v>
      </c>
      <c r="M3081" t="s">
        <v>20</v>
      </c>
      <c r="N3081">
        <v>10</v>
      </c>
      <c r="O3081">
        <v>0</v>
      </c>
      <c r="P3081">
        <v>9870.92</v>
      </c>
      <c r="Q3081">
        <v>0</v>
      </c>
    </row>
    <row r="3082" spans="7:17" x14ac:dyDescent="0.25">
      <c r="G3082" t="str">
        <f t="shared" si="48"/>
        <v/>
      </c>
      <c r="H3082" t="s">
        <v>47</v>
      </c>
      <c r="I3082" t="s">
        <v>11</v>
      </c>
      <c r="J3082" t="s">
        <v>7</v>
      </c>
      <c r="K3082" t="s">
        <v>24</v>
      </c>
      <c r="L3082" t="s">
        <v>39</v>
      </c>
      <c r="M3082" t="s">
        <v>19</v>
      </c>
      <c r="N3082">
        <v>696</v>
      </c>
      <c r="O3082">
        <v>3</v>
      </c>
      <c r="P3082">
        <v>134574.47999999998</v>
      </c>
      <c r="Q3082">
        <v>105771.26999999971</v>
      </c>
    </row>
    <row r="3083" spans="7:17" x14ac:dyDescent="0.25">
      <c r="G3083" t="str">
        <f t="shared" si="48"/>
        <v/>
      </c>
      <c r="H3083" t="s">
        <v>47</v>
      </c>
      <c r="I3083" t="s">
        <v>11</v>
      </c>
      <c r="J3083" t="s">
        <v>7</v>
      </c>
      <c r="K3083" t="s">
        <v>24</v>
      </c>
      <c r="L3083" t="s">
        <v>39</v>
      </c>
      <c r="M3083" t="s">
        <v>20</v>
      </c>
      <c r="N3083">
        <v>13</v>
      </c>
      <c r="O3083">
        <v>3</v>
      </c>
      <c r="P3083">
        <v>13730.95</v>
      </c>
      <c r="Q3083">
        <v>0</v>
      </c>
    </row>
    <row r="3084" spans="7:17" x14ac:dyDescent="0.25">
      <c r="G3084" t="str">
        <f t="shared" si="48"/>
        <v/>
      </c>
      <c r="H3084" t="s">
        <v>47</v>
      </c>
      <c r="I3084" t="s">
        <v>11</v>
      </c>
      <c r="J3084" t="s">
        <v>7</v>
      </c>
      <c r="K3084" t="s">
        <v>24</v>
      </c>
      <c r="L3084" t="s">
        <v>40</v>
      </c>
      <c r="M3084" t="s">
        <v>20</v>
      </c>
      <c r="N3084">
        <v>2</v>
      </c>
      <c r="O3084">
        <v>0</v>
      </c>
      <c r="P3084">
        <v>1043.51</v>
      </c>
      <c r="Q3084">
        <v>0</v>
      </c>
    </row>
    <row r="3085" spans="7:17" x14ac:dyDescent="0.25">
      <c r="G3085" t="str">
        <f t="shared" si="48"/>
        <v/>
      </c>
      <c r="H3085" t="s">
        <v>47</v>
      </c>
      <c r="I3085" t="s">
        <v>11</v>
      </c>
      <c r="J3085" t="s">
        <v>7</v>
      </c>
      <c r="K3085" t="s">
        <v>24</v>
      </c>
      <c r="L3085" t="s">
        <v>41</v>
      </c>
      <c r="M3085" t="s">
        <v>20</v>
      </c>
      <c r="N3085">
        <v>3</v>
      </c>
      <c r="O3085">
        <v>1</v>
      </c>
      <c r="P3085">
        <v>1157.28</v>
      </c>
      <c r="Q3085">
        <v>0</v>
      </c>
    </row>
    <row r="3086" spans="7:17" x14ac:dyDescent="0.25">
      <c r="G3086" t="str">
        <f t="shared" si="48"/>
        <v/>
      </c>
      <c r="H3086" t="s">
        <v>47</v>
      </c>
      <c r="I3086" t="s">
        <v>11</v>
      </c>
      <c r="J3086" t="s">
        <v>7</v>
      </c>
      <c r="K3086" t="s">
        <v>24</v>
      </c>
      <c r="L3086" t="s">
        <v>45</v>
      </c>
      <c r="M3086" t="s">
        <v>19</v>
      </c>
      <c r="N3086">
        <v>1</v>
      </c>
      <c r="O3086">
        <v>0</v>
      </c>
      <c r="P3086">
        <v>2361.08</v>
      </c>
      <c r="Q3086">
        <v>2162</v>
      </c>
    </row>
    <row r="3087" spans="7:17" x14ac:dyDescent="0.25">
      <c r="G3087" t="str">
        <f t="shared" si="48"/>
        <v/>
      </c>
      <c r="H3087" t="s">
        <v>47</v>
      </c>
      <c r="I3087" t="s">
        <v>11</v>
      </c>
      <c r="J3087" t="s">
        <v>7</v>
      </c>
      <c r="K3087" t="s">
        <v>24</v>
      </c>
      <c r="L3087" t="s">
        <v>45</v>
      </c>
      <c r="M3087" t="s">
        <v>20</v>
      </c>
      <c r="N3087">
        <v>17</v>
      </c>
      <c r="O3087">
        <v>3</v>
      </c>
      <c r="P3087">
        <v>14622.899999999998</v>
      </c>
      <c r="Q3087">
        <v>0</v>
      </c>
    </row>
    <row r="3088" spans="7:17" x14ac:dyDescent="0.25">
      <c r="G3088" t="str">
        <f t="shared" si="48"/>
        <v/>
      </c>
      <c r="H3088" t="s">
        <v>47</v>
      </c>
      <c r="I3088" t="s">
        <v>11</v>
      </c>
      <c r="J3088" t="s">
        <v>7</v>
      </c>
      <c r="K3088" t="s">
        <v>25</v>
      </c>
      <c r="L3088" t="s">
        <v>42</v>
      </c>
      <c r="M3088" t="s">
        <v>19</v>
      </c>
      <c r="N3088">
        <v>356</v>
      </c>
      <c r="O3088">
        <v>3</v>
      </c>
      <c r="P3088">
        <v>194742.9400000007</v>
      </c>
      <c r="Q3088">
        <v>190713.38000000062</v>
      </c>
    </row>
    <row r="3089" spans="7:17" x14ac:dyDescent="0.25">
      <c r="G3089" t="str">
        <f t="shared" si="48"/>
        <v/>
      </c>
      <c r="H3089" t="s">
        <v>47</v>
      </c>
      <c r="I3089" t="s">
        <v>11</v>
      </c>
      <c r="J3089" t="s">
        <v>7</v>
      </c>
      <c r="K3089" t="s">
        <v>25</v>
      </c>
      <c r="L3089" t="s">
        <v>42</v>
      </c>
      <c r="M3089" t="s">
        <v>20</v>
      </c>
      <c r="N3089">
        <v>379</v>
      </c>
      <c r="O3089">
        <v>18</v>
      </c>
      <c r="P3089">
        <v>100130.30000000006</v>
      </c>
      <c r="Q3089">
        <v>0</v>
      </c>
    </row>
    <row r="3090" spans="7:17" x14ac:dyDescent="0.25">
      <c r="G3090" t="str">
        <f t="shared" si="48"/>
        <v/>
      </c>
      <c r="H3090" t="s">
        <v>47</v>
      </c>
      <c r="I3090" t="s">
        <v>11</v>
      </c>
      <c r="J3090" t="s">
        <v>7</v>
      </c>
      <c r="K3090" t="s">
        <v>25</v>
      </c>
      <c r="L3090" t="s">
        <v>43</v>
      </c>
      <c r="M3090" t="s">
        <v>19</v>
      </c>
      <c r="N3090">
        <v>49</v>
      </c>
      <c r="O3090">
        <v>3</v>
      </c>
      <c r="P3090">
        <v>35221.859999999986</v>
      </c>
      <c r="Q3090">
        <v>34673.439999999995</v>
      </c>
    </row>
    <row r="3091" spans="7:17" x14ac:dyDescent="0.25">
      <c r="G3091" t="str">
        <f t="shared" si="48"/>
        <v/>
      </c>
      <c r="H3091" t="s">
        <v>47</v>
      </c>
      <c r="I3091" t="s">
        <v>11</v>
      </c>
      <c r="J3091" t="s">
        <v>7</v>
      </c>
      <c r="K3091" t="s">
        <v>25</v>
      </c>
      <c r="L3091" t="s">
        <v>43</v>
      </c>
      <c r="M3091" t="s">
        <v>20</v>
      </c>
      <c r="N3091">
        <v>54</v>
      </c>
      <c r="O3091">
        <v>7</v>
      </c>
      <c r="P3091">
        <v>30371.649999999994</v>
      </c>
      <c r="Q3091">
        <v>0</v>
      </c>
    </row>
    <row r="3092" spans="7:17" x14ac:dyDescent="0.25">
      <c r="G3092" t="str">
        <f t="shared" si="48"/>
        <v/>
      </c>
      <c r="H3092" t="s">
        <v>47</v>
      </c>
      <c r="I3092" t="s">
        <v>11</v>
      </c>
      <c r="J3092" t="s">
        <v>7</v>
      </c>
      <c r="K3092" t="s">
        <v>25</v>
      </c>
      <c r="L3092" t="s">
        <v>44</v>
      </c>
      <c r="M3092" t="s">
        <v>19</v>
      </c>
      <c r="N3092">
        <v>10</v>
      </c>
      <c r="O3092">
        <v>3</v>
      </c>
      <c r="P3092">
        <v>11586.180000000002</v>
      </c>
      <c r="Q3092">
        <v>7849.23</v>
      </c>
    </row>
    <row r="3093" spans="7:17" x14ac:dyDescent="0.25">
      <c r="G3093" t="str">
        <f t="shared" si="48"/>
        <v/>
      </c>
      <c r="H3093" t="s">
        <v>47</v>
      </c>
      <c r="I3093" t="s">
        <v>11</v>
      </c>
      <c r="J3093" t="s">
        <v>7</v>
      </c>
      <c r="K3093" t="s">
        <v>25</v>
      </c>
      <c r="L3093" t="s">
        <v>44</v>
      </c>
      <c r="M3093" t="s">
        <v>20</v>
      </c>
      <c r="N3093">
        <v>23</v>
      </c>
      <c r="O3093">
        <v>1</v>
      </c>
      <c r="P3093">
        <v>67686.070000000007</v>
      </c>
      <c r="Q3093">
        <v>0</v>
      </c>
    </row>
    <row r="3094" spans="7:17" x14ac:dyDescent="0.25">
      <c r="G3094" t="str">
        <f t="shared" si="48"/>
        <v/>
      </c>
      <c r="H3094" t="s">
        <v>47</v>
      </c>
      <c r="I3094" t="s">
        <v>11</v>
      </c>
      <c r="J3094" t="s">
        <v>7</v>
      </c>
      <c r="K3094" t="s">
        <v>25</v>
      </c>
      <c r="L3094" t="s">
        <v>39</v>
      </c>
      <c r="M3094" t="s">
        <v>19</v>
      </c>
      <c r="N3094">
        <v>4</v>
      </c>
      <c r="O3094">
        <v>3</v>
      </c>
      <c r="P3094">
        <v>6280.99</v>
      </c>
      <c r="Q3094">
        <v>4845.1900000000005</v>
      </c>
    </row>
    <row r="3095" spans="7:17" x14ac:dyDescent="0.25">
      <c r="G3095" t="str">
        <f t="shared" si="48"/>
        <v/>
      </c>
      <c r="H3095" t="s">
        <v>47</v>
      </c>
      <c r="I3095" t="s">
        <v>11</v>
      </c>
      <c r="J3095" t="s">
        <v>7</v>
      </c>
      <c r="K3095" t="s">
        <v>25</v>
      </c>
      <c r="L3095" t="s">
        <v>39</v>
      </c>
      <c r="M3095" t="s">
        <v>20</v>
      </c>
      <c r="N3095">
        <v>15</v>
      </c>
      <c r="O3095">
        <v>8</v>
      </c>
      <c r="P3095">
        <v>5425.119999999999</v>
      </c>
      <c r="Q3095">
        <v>0</v>
      </c>
    </row>
    <row r="3096" spans="7:17" x14ac:dyDescent="0.25">
      <c r="G3096" t="str">
        <f t="shared" si="48"/>
        <v/>
      </c>
      <c r="H3096" t="s">
        <v>47</v>
      </c>
      <c r="I3096" t="s">
        <v>11</v>
      </c>
      <c r="J3096" t="s">
        <v>7</v>
      </c>
      <c r="K3096" t="s">
        <v>25</v>
      </c>
      <c r="L3096" t="s">
        <v>40</v>
      </c>
      <c r="M3096" t="s">
        <v>19</v>
      </c>
      <c r="N3096">
        <v>1</v>
      </c>
      <c r="O3096">
        <v>0</v>
      </c>
      <c r="P3096">
        <v>590.84</v>
      </c>
      <c r="Q3096">
        <v>438.15999999999997</v>
      </c>
    </row>
    <row r="3097" spans="7:17" x14ac:dyDescent="0.25">
      <c r="G3097" t="str">
        <f t="shared" si="48"/>
        <v/>
      </c>
      <c r="H3097" t="s">
        <v>47</v>
      </c>
      <c r="I3097" t="s">
        <v>11</v>
      </c>
      <c r="J3097" t="s">
        <v>7</v>
      </c>
      <c r="K3097" t="s">
        <v>25</v>
      </c>
      <c r="L3097" t="s">
        <v>40</v>
      </c>
      <c r="M3097" t="s">
        <v>20</v>
      </c>
      <c r="N3097">
        <v>9</v>
      </c>
      <c r="O3097">
        <v>2</v>
      </c>
      <c r="P3097">
        <v>5521.6</v>
      </c>
      <c r="Q3097">
        <v>0</v>
      </c>
    </row>
    <row r="3098" spans="7:17" x14ac:dyDescent="0.25">
      <c r="G3098" t="str">
        <f t="shared" si="48"/>
        <v/>
      </c>
      <c r="H3098" t="s">
        <v>47</v>
      </c>
      <c r="I3098" t="s">
        <v>11</v>
      </c>
      <c r="J3098" t="s">
        <v>7</v>
      </c>
      <c r="K3098" t="s">
        <v>25</v>
      </c>
      <c r="L3098" t="s">
        <v>41</v>
      </c>
      <c r="M3098" t="s">
        <v>19</v>
      </c>
      <c r="N3098">
        <v>1</v>
      </c>
      <c r="O3098">
        <v>0</v>
      </c>
      <c r="P3098">
        <v>140.9</v>
      </c>
      <c r="Q3098">
        <v>140.89999999999998</v>
      </c>
    </row>
    <row r="3099" spans="7:17" x14ac:dyDescent="0.25">
      <c r="G3099" t="str">
        <f t="shared" si="48"/>
        <v/>
      </c>
      <c r="H3099" t="s">
        <v>47</v>
      </c>
      <c r="I3099" t="s">
        <v>11</v>
      </c>
      <c r="J3099" t="s">
        <v>7</v>
      </c>
      <c r="K3099" t="s">
        <v>25</v>
      </c>
      <c r="L3099" t="s">
        <v>41</v>
      </c>
      <c r="M3099" t="s">
        <v>20</v>
      </c>
      <c r="N3099">
        <v>14</v>
      </c>
      <c r="O3099">
        <v>1</v>
      </c>
      <c r="P3099">
        <v>7157.38</v>
      </c>
      <c r="Q3099">
        <v>0</v>
      </c>
    </row>
    <row r="3100" spans="7:17" x14ac:dyDescent="0.25">
      <c r="G3100" t="str">
        <f t="shared" si="48"/>
        <v/>
      </c>
      <c r="H3100" t="s">
        <v>47</v>
      </c>
      <c r="I3100" t="s">
        <v>11</v>
      </c>
      <c r="J3100" t="s">
        <v>7</v>
      </c>
      <c r="K3100" t="s">
        <v>25</v>
      </c>
      <c r="L3100" t="s">
        <v>45</v>
      </c>
      <c r="M3100" t="s">
        <v>19</v>
      </c>
      <c r="N3100">
        <v>30</v>
      </c>
      <c r="O3100">
        <v>2</v>
      </c>
      <c r="P3100">
        <v>79087.329999999987</v>
      </c>
      <c r="Q3100">
        <v>47035.799999999988</v>
      </c>
    </row>
    <row r="3101" spans="7:17" x14ac:dyDescent="0.25">
      <c r="G3101" t="str">
        <f t="shared" si="48"/>
        <v/>
      </c>
      <c r="H3101" t="s">
        <v>47</v>
      </c>
      <c r="I3101" t="s">
        <v>11</v>
      </c>
      <c r="J3101" t="s">
        <v>7</v>
      </c>
      <c r="K3101" t="s">
        <v>25</v>
      </c>
      <c r="L3101" t="s">
        <v>45</v>
      </c>
      <c r="M3101" t="s">
        <v>20</v>
      </c>
      <c r="N3101">
        <v>66</v>
      </c>
      <c r="O3101">
        <v>22</v>
      </c>
      <c r="P3101">
        <v>46858.589999999989</v>
      </c>
      <c r="Q3101">
        <v>0</v>
      </c>
    </row>
    <row r="3102" spans="7:17" x14ac:dyDescent="0.25">
      <c r="G3102" t="str">
        <f t="shared" si="48"/>
        <v/>
      </c>
      <c r="H3102" t="s">
        <v>47</v>
      </c>
      <c r="I3102" t="s">
        <v>11</v>
      </c>
      <c r="J3102" t="s">
        <v>7</v>
      </c>
      <c r="K3102" t="s">
        <v>26</v>
      </c>
      <c r="L3102" t="s">
        <v>42</v>
      </c>
      <c r="M3102" t="s">
        <v>19</v>
      </c>
      <c r="N3102">
        <v>160</v>
      </c>
      <c r="O3102">
        <v>10</v>
      </c>
      <c r="P3102">
        <v>77071.500000000015</v>
      </c>
      <c r="Q3102">
        <v>76730.780000000013</v>
      </c>
    </row>
    <row r="3103" spans="7:17" x14ac:dyDescent="0.25">
      <c r="G3103" t="str">
        <f t="shared" si="48"/>
        <v/>
      </c>
      <c r="H3103" t="s">
        <v>47</v>
      </c>
      <c r="I3103" t="s">
        <v>11</v>
      </c>
      <c r="J3103" t="s">
        <v>7</v>
      </c>
      <c r="K3103" t="s">
        <v>26</v>
      </c>
      <c r="L3103" t="s">
        <v>42</v>
      </c>
      <c r="M3103" t="s">
        <v>20</v>
      </c>
      <c r="N3103">
        <v>406</v>
      </c>
      <c r="O3103">
        <v>43</v>
      </c>
      <c r="P3103">
        <v>61505.819999999992</v>
      </c>
      <c r="Q3103">
        <v>0</v>
      </c>
    </row>
    <row r="3104" spans="7:17" x14ac:dyDescent="0.25">
      <c r="G3104" t="str">
        <f t="shared" si="48"/>
        <v/>
      </c>
      <c r="H3104" t="s">
        <v>47</v>
      </c>
      <c r="I3104" t="s">
        <v>11</v>
      </c>
      <c r="J3104" t="s">
        <v>7</v>
      </c>
      <c r="K3104" t="s">
        <v>26</v>
      </c>
      <c r="L3104" t="s">
        <v>43</v>
      </c>
      <c r="M3104" t="s">
        <v>19</v>
      </c>
      <c r="N3104">
        <v>78</v>
      </c>
      <c r="O3104">
        <v>12</v>
      </c>
      <c r="P3104">
        <v>44117.11</v>
      </c>
      <c r="Q3104">
        <v>43379.35</v>
      </c>
    </row>
    <row r="3105" spans="7:17" x14ac:dyDescent="0.25">
      <c r="G3105" t="str">
        <f t="shared" si="48"/>
        <v/>
      </c>
      <c r="H3105" t="s">
        <v>47</v>
      </c>
      <c r="I3105" t="s">
        <v>11</v>
      </c>
      <c r="J3105" t="s">
        <v>7</v>
      </c>
      <c r="K3105" t="s">
        <v>26</v>
      </c>
      <c r="L3105" t="s">
        <v>43</v>
      </c>
      <c r="M3105" t="s">
        <v>20</v>
      </c>
      <c r="N3105">
        <v>117</v>
      </c>
      <c r="O3105">
        <v>33</v>
      </c>
      <c r="P3105">
        <v>50588.87999999999</v>
      </c>
      <c r="Q3105">
        <v>0</v>
      </c>
    </row>
    <row r="3106" spans="7:17" x14ac:dyDescent="0.25">
      <c r="G3106" t="str">
        <f t="shared" si="48"/>
        <v/>
      </c>
      <c r="H3106" t="s">
        <v>47</v>
      </c>
      <c r="I3106" t="s">
        <v>11</v>
      </c>
      <c r="J3106" t="s">
        <v>7</v>
      </c>
      <c r="K3106" t="s">
        <v>26</v>
      </c>
      <c r="L3106" t="s">
        <v>44</v>
      </c>
      <c r="M3106" t="s">
        <v>19</v>
      </c>
      <c r="N3106">
        <v>17</v>
      </c>
      <c r="O3106">
        <v>5</v>
      </c>
      <c r="P3106">
        <v>20199.369999999995</v>
      </c>
      <c r="Q3106">
        <v>17863.629999999997</v>
      </c>
    </row>
    <row r="3107" spans="7:17" x14ac:dyDescent="0.25">
      <c r="G3107" t="str">
        <f t="shared" si="48"/>
        <v/>
      </c>
      <c r="H3107" t="s">
        <v>47</v>
      </c>
      <c r="I3107" t="s">
        <v>11</v>
      </c>
      <c r="J3107" t="s">
        <v>7</v>
      </c>
      <c r="K3107" t="s">
        <v>26</v>
      </c>
      <c r="L3107" t="s">
        <v>44</v>
      </c>
      <c r="M3107" t="s">
        <v>20</v>
      </c>
      <c r="N3107">
        <v>25</v>
      </c>
      <c r="O3107">
        <v>13</v>
      </c>
      <c r="P3107">
        <v>12192.119999999999</v>
      </c>
      <c r="Q3107">
        <v>0</v>
      </c>
    </row>
    <row r="3108" spans="7:17" x14ac:dyDescent="0.25">
      <c r="G3108" t="str">
        <f t="shared" si="48"/>
        <v/>
      </c>
      <c r="H3108" t="s">
        <v>47</v>
      </c>
      <c r="I3108" t="s">
        <v>11</v>
      </c>
      <c r="J3108" t="s">
        <v>7</v>
      </c>
      <c r="K3108" t="s">
        <v>26</v>
      </c>
      <c r="L3108" t="s">
        <v>39</v>
      </c>
      <c r="M3108" t="s">
        <v>19</v>
      </c>
      <c r="N3108">
        <v>2</v>
      </c>
      <c r="O3108">
        <v>2</v>
      </c>
      <c r="P3108">
        <v>1907.97</v>
      </c>
      <c r="Q3108">
        <v>1904.26</v>
      </c>
    </row>
    <row r="3109" spans="7:17" x14ac:dyDescent="0.25">
      <c r="G3109" t="str">
        <f t="shared" si="48"/>
        <v/>
      </c>
      <c r="H3109" t="s">
        <v>47</v>
      </c>
      <c r="I3109" t="s">
        <v>11</v>
      </c>
      <c r="J3109" t="s">
        <v>7</v>
      </c>
      <c r="K3109" t="s">
        <v>26</v>
      </c>
      <c r="L3109" t="s">
        <v>39</v>
      </c>
      <c r="M3109" t="s">
        <v>20</v>
      </c>
      <c r="N3109">
        <v>21</v>
      </c>
      <c r="O3109">
        <v>11</v>
      </c>
      <c r="P3109">
        <v>12859.120000000003</v>
      </c>
      <c r="Q3109">
        <v>0</v>
      </c>
    </row>
    <row r="3110" spans="7:17" x14ac:dyDescent="0.25">
      <c r="G3110" t="str">
        <f t="shared" si="48"/>
        <v/>
      </c>
      <c r="H3110" t="s">
        <v>47</v>
      </c>
      <c r="I3110" t="s">
        <v>11</v>
      </c>
      <c r="J3110" t="s">
        <v>7</v>
      </c>
      <c r="K3110" t="s">
        <v>26</v>
      </c>
      <c r="L3110" t="s">
        <v>40</v>
      </c>
      <c r="M3110" t="s">
        <v>19</v>
      </c>
      <c r="N3110">
        <v>1</v>
      </c>
      <c r="O3110">
        <v>0</v>
      </c>
      <c r="P3110">
        <v>1977.83</v>
      </c>
      <c r="Q3110">
        <v>1977.83</v>
      </c>
    </row>
    <row r="3111" spans="7:17" x14ac:dyDescent="0.25">
      <c r="G3111" t="str">
        <f t="shared" si="48"/>
        <v/>
      </c>
      <c r="H3111" t="s">
        <v>47</v>
      </c>
      <c r="I3111" t="s">
        <v>11</v>
      </c>
      <c r="J3111" t="s">
        <v>7</v>
      </c>
      <c r="K3111" t="s">
        <v>26</v>
      </c>
      <c r="L3111" t="s">
        <v>40</v>
      </c>
      <c r="M3111" t="s">
        <v>20</v>
      </c>
      <c r="N3111">
        <v>34</v>
      </c>
      <c r="O3111">
        <v>5</v>
      </c>
      <c r="P3111">
        <v>16602.189999999999</v>
      </c>
      <c r="Q3111">
        <v>0</v>
      </c>
    </row>
    <row r="3112" spans="7:17" x14ac:dyDescent="0.25">
      <c r="G3112" t="str">
        <f t="shared" si="48"/>
        <v/>
      </c>
      <c r="H3112" t="s">
        <v>47</v>
      </c>
      <c r="I3112" t="s">
        <v>11</v>
      </c>
      <c r="J3112" t="s">
        <v>7</v>
      </c>
      <c r="K3112" t="s">
        <v>26</v>
      </c>
      <c r="L3112" t="s">
        <v>41</v>
      </c>
      <c r="M3112" t="s">
        <v>20</v>
      </c>
      <c r="N3112">
        <v>27</v>
      </c>
      <c r="O3112">
        <v>8</v>
      </c>
      <c r="P3112">
        <v>22302.140000000003</v>
      </c>
      <c r="Q3112">
        <v>0</v>
      </c>
    </row>
    <row r="3113" spans="7:17" x14ac:dyDescent="0.25">
      <c r="G3113" t="str">
        <f t="shared" si="48"/>
        <v/>
      </c>
      <c r="H3113" t="s">
        <v>47</v>
      </c>
      <c r="I3113" t="s">
        <v>11</v>
      </c>
      <c r="J3113" t="s">
        <v>7</v>
      </c>
      <c r="K3113" t="s">
        <v>26</v>
      </c>
      <c r="L3113" t="s">
        <v>45</v>
      </c>
      <c r="M3113" t="s">
        <v>19</v>
      </c>
      <c r="N3113">
        <v>3</v>
      </c>
      <c r="O3113">
        <v>1</v>
      </c>
      <c r="P3113">
        <v>2166.8199999999997</v>
      </c>
      <c r="Q3113">
        <v>2166.8199999999997</v>
      </c>
    </row>
    <row r="3114" spans="7:17" x14ac:dyDescent="0.25">
      <c r="G3114" t="str">
        <f t="shared" si="48"/>
        <v/>
      </c>
      <c r="H3114" t="s">
        <v>47</v>
      </c>
      <c r="I3114" t="s">
        <v>11</v>
      </c>
      <c r="J3114" t="s">
        <v>7</v>
      </c>
      <c r="K3114" t="s">
        <v>26</v>
      </c>
      <c r="L3114" t="s">
        <v>45</v>
      </c>
      <c r="M3114" t="s">
        <v>20</v>
      </c>
      <c r="N3114">
        <v>164</v>
      </c>
      <c r="O3114">
        <v>39</v>
      </c>
      <c r="P3114">
        <v>98392.07</v>
      </c>
      <c r="Q3114">
        <v>0</v>
      </c>
    </row>
    <row r="3115" spans="7:17" x14ac:dyDescent="0.25">
      <c r="G3115" t="str">
        <f t="shared" si="48"/>
        <v/>
      </c>
      <c r="H3115" t="s">
        <v>47</v>
      </c>
      <c r="I3115" t="s">
        <v>11</v>
      </c>
      <c r="J3115" t="s">
        <v>7</v>
      </c>
      <c r="K3115" t="s">
        <v>27</v>
      </c>
      <c r="L3115" t="s">
        <v>42</v>
      </c>
      <c r="M3115" t="s">
        <v>19</v>
      </c>
      <c r="N3115">
        <v>5</v>
      </c>
      <c r="O3115">
        <v>2</v>
      </c>
      <c r="P3115">
        <v>0.88000000000000012</v>
      </c>
      <c r="Q3115">
        <v>0.88000000000000012</v>
      </c>
    </row>
    <row r="3116" spans="7:17" x14ac:dyDescent="0.25">
      <c r="G3116" t="str">
        <f t="shared" si="48"/>
        <v/>
      </c>
      <c r="H3116" t="s">
        <v>47</v>
      </c>
      <c r="I3116" t="s">
        <v>11</v>
      </c>
      <c r="J3116" t="s">
        <v>7</v>
      </c>
      <c r="K3116" t="s">
        <v>27</v>
      </c>
      <c r="L3116" t="s">
        <v>42</v>
      </c>
      <c r="M3116" t="s">
        <v>20</v>
      </c>
      <c r="N3116">
        <v>68</v>
      </c>
      <c r="O3116">
        <v>5</v>
      </c>
      <c r="P3116">
        <v>20367.219999999994</v>
      </c>
      <c r="Q3116">
        <v>0</v>
      </c>
    </row>
    <row r="3117" spans="7:17" x14ac:dyDescent="0.25">
      <c r="G3117" t="str">
        <f t="shared" si="48"/>
        <v/>
      </c>
      <c r="H3117" t="s">
        <v>47</v>
      </c>
      <c r="I3117" t="s">
        <v>11</v>
      </c>
      <c r="J3117" t="s">
        <v>7</v>
      </c>
      <c r="K3117" t="s">
        <v>27</v>
      </c>
      <c r="L3117" t="s">
        <v>43</v>
      </c>
      <c r="M3117" t="s">
        <v>20</v>
      </c>
      <c r="N3117">
        <v>22</v>
      </c>
      <c r="O3117">
        <v>1</v>
      </c>
      <c r="P3117">
        <v>6664.61</v>
      </c>
      <c r="Q3117">
        <v>0</v>
      </c>
    </row>
    <row r="3118" spans="7:17" x14ac:dyDescent="0.25">
      <c r="G3118" t="str">
        <f t="shared" si="48"/>
        <v/>
      </c>
      <c r="H3118" t="s">
        <v>47</v>
      </c>
      <c r="I3118" t="s">
        <v>11</v>
      </c>
      <c r="J3118" t="s">
        <v>7</v>
      </c>
      <c r="K3118" t="s">
        <v>27</v>
      </c>
      <c r="L3118" t="s">
        <v>44</v>
      </c>
      <c r="M3118" t="s">
        <v>19</v>
      </c>
      <c r="N3118">
        <v>2</v>
      </c>
      <c r="O3118">
        <v>1</v>
      </c>
      <c r="P3118">
        <v>5004.4400000000005</v>
      </c>
      <c r="Q3118">
        <v>289.77999999999997</v>
      </c>
    </row>
    <row r="3119" spans="7:17" x14ac:dyDescent="0.25">
      <c r="G3119" t="str">
        <f t="shared" si="48"/>
        <v/>
      </c>
      <c r="H3119" t="s">
        <v>47</v>
      </c>
      <c r="I3119" t="s">
        <v>11</v>
      </c>
      <c r="J3119" t="s">
        <v>7</v>
      </c>
      <c r="K3119" t="s">
        <v>27</v>
      </c>
      <c r="L3119" t="s">
        <v>44</v>
      </c>
      <c r="M3119" t="s">
        <v>20</v>
      </c>
      <c r="N3119">
        <v>1</v>
      </c>
      <c r="O3119">
        <v>0</v>
      </c>
      <c r="P3119">
        <v>28.55</v>
      </c>
      <c r="Q3119">
        <v>0</v>
      </c>
    </row>
    <row r="3120" spans="7:17" x14ac:dyDescent="0.25">
      <c r="G3120" t="str">
        <f t="shared" si="48"/>
        <v/>
      </c>
      <c r="H3120" t="s">
        <v>47</v>
      </c>
      <c r="I3120" t="s">
        <v>11</v>
      </c>
      <c r="J3120" t="s">
        <v>7</v>
      </c>
      <c r="K3120" t="s">
        <v>27</v>
      </c>
      <c r="L3120" t="s">
        <v>39</v>
      </c>
      <c r="M3120" t="s">
        <v>20</v>
      </c>
      <c r="N3120">
        <v>4</v>
      </c>
      <c r="O3120">
        <v>3</v>
      </c>
      <c r="P3120">
        <v>2703.67</v>
      </c>
      <c r="Q3120">
        <v>0</v>
      </c>
    </row>
    <row r="3121" spans="7:17" x14ac:dyDescent="0.25">
      <c r="G3121" t="str">
        <f t="shared" si="48"/>
        <v/>
      </c>
      <c r="H3121" t="s">
        <v>47</v>
      </c>
      <c r="I3121" t="s">
        <v>11</v>
      </c>
      <c r="J3121" t="s">
        <v>7</v>
      </c>
      <c r="K3121" t="s">
        <v>27</v>
      </c>
      <c r="L3121" t="s">
        <v>40</v>
      </c>
      <c r="M3121" t="s">
        <v>20</v>
      </c>
      <c r="N3121">
        <v>4</v>
      </c>
      <c r="O3121">
        <v>1</v>
      </c>
      <c r="P3121">
        <v>3994.98</v>
      </c>
      <c r="Q3121">
        <v>0</v>
      </c>
    </row>
    <row r="3122" spans="7:17" x14ac:dyDescent="0.25">
      <c r="G3122" t="str">
        <f t="shared" si="48"/>
        <v/>
      </c>
      <c r="H3122" t="s">
        <v>47</v>
      </c>
      <c r="I3122" t="s">
        <v>11</v>
      </c>
      <c r="J3122" t="s">
        <v>7</v>
      </c>
      <c r="K3122" t="s">
        <v>27</v>
      </c>
      <c r="L3122" t="s">
        <v>41</v>
      </c>
      <c r="M3122" t="s">
        <v>20</v>
      </c>
      <c r="N3122">
        <v>9</v>
      </c>
      <c r="O3122">
        <v>0</v>
      </c>
      <c r="P3122">
        <v>4628.16</v>
      </c>
      <c r="Q3122">
        <v>0</v>
      </c>
    </row>
    <row r="3123" spans="7:17" x14ac:dyDescent="0.25">
      <c r="G3123" t="str">
        <f t="shared" si="48"/>
        <v/>
      </c>
      <c r="H3123" t="s">
        <v>47</v>
      </c>
      <c r="I3123" t="s">
        <v>11</v>
      </c>
      <c r="J3123" t="s">
        <v>7</v>
      </c>
      <c r="K3123" t="s">
        <v>27</v>
      </c>
      <c r="L3123" t="s">
        <v>45</v>
      </c>
      <c r="M3123" t="s">
        <v>19</v>
      </c>
      <c r="N3123">
        <v>1</v>
      </c>
      <c r="O3123">
        <v>1</v>
      </c>
      <c r="P3123">
        <v>53</v>
      </c>
      <c r="Q3123">
        <v>15.71</v>
      </c>
    </row>
    <row r="3124" spans="7:17" x14ac:dyDescent="0.25">
      <c r="G3124" t="str">
        <f t="shared" si="48"/>
        <v/>
      </c>
      <c r="H3124" t="s">
        <v>47</v>
      </c>
      <c r="I3124" t="s">
        <v>11</v>
      </c>
      <c r="J3124" t="s">
        <v>7</v>
      </c>
      <c r="K3124" t="s">
        <v>27</v>
      </c>
      <c r="L3124" t="s">
        <v>45</v>
      </c>
      <c r="M3124" t="s">
        <v>20</v>
      </c>
      <c r="N3124">
        <v>13</v>
      </c>
      <c r="O3124">
        <v>4</v>
      </c>
      <c r="P3124">
        <v>5814.4599999999991</v>
      </c>
      <c r="Q3124">
        <v>0</v>
      </c>
    </row>
    <row r="3125" spans="7:17" x14ac:dyDescent="0.25">
      <c r="G3125" t="str">
        <f t="shared" si="48"/>
        <v/>
      </c>
      <c r="H3125" t="s">
        <v>47</v>
      </c>
      <c r="I3125" t="s">
        <v>11</v>
      </c>
      <c r="J3125" t="s">
        <v>7</v>
      </c>
      <c r="K3125" t="s">
        <v>28</v>
      </c>
      <c r="L3125" t="s">
        <v>42</v>
      </c>
      <c r="M3125" t="s">
        <v>19</v>
      </c>
      <c r="N3125">
        <v>26</v>
      </c>
      <c r="O3125">
        <v>6</v>
      </c>
      <c r="P3125">
        <v>12681.330000000002</v>
      </c>
      <c r="Q3125">
        <v>12419.09</v>
      </c>
    </row>
    <row r="3126" spans="7:17" x14ac:dyDescent="0.25">
      <c r="G3126" t="str">
        <f t="shared" si="48"/>
        <v/>
      </c>
      <c r="H3126" t="s">
        <v>47</v>
      </c>
      <c r="I3126" t="s">
        <v>11</v>
      </c>
      <c r="J3126" t="s">
        <v>7</v>
      </c>
      <c r="K3126" t="s">
        <v>28</v>
      </c>
      <c r="L3126" t="s">
        <v>42</v>
      </c>
      <c r="M3126" t="s">
        <v>20</v>
      </c>
      <c r="N3126">
        <v>133</v>
      </c>
      <c r="O3126">
        <v>15</v>
      </c>
      <c r="P3126">
        <v>12136.420000000006</v>
      </c>
      <c r="Q3126">
        <v>0</v>
      </c>
    </row>
    <row r="3127" spans="7:17" x14ac:dyDescent="0.25">
      <c r="G3127" t="str">
        <f t="shared" si="48"/>
        <v/>
      </c>
      <c r="H3127" t="s">
        <v>47</v>
      </c>
      <c r="I3127" t="s">
        <v>11</v>
      </c>
      <c r="J3127" t="s">
        <v>7</v>
      </c>
      <c r="K3127" t="s">
        <v>28</v>
      </c>
      <c r="L3127" t="s">
        <v>43</v>
      </c>
      <c r="M3127" t="s">
        <v>19</v>
      </c>
      <c r="N3127">
        <v>7</v>
      </c>
      <c r="O3127">
        <v>3</v>
      </c>
      <c r="P3127">
        <v>4640.92</v>
      </c>
      <c r="Q3127">
        <v>4348.8999999999996</v>
      </c>
    </row>
    <row r="3128" spans="7:17" x14ac:dyDescent="0.25">
      <c r="G3128" t="str">
        <f t="shared" si="48"/>
        <v/>
      </c>
      <c r="H3128" t="s">
        <v>47</v>
      </c>
      <c r="I3128" t="s">
        <v>11</v>
      </c>
      <c r="J3128" t="s">
        <v>7</v>
      </c>
      <c r="K3128" t="s">
        <v>28</v>
      </c>
      <c r="L3128" t="s">
        <v>43</v>
      </c>
      <c r="M3128" t="s">
        <v>20</v>
      </c>
      <c r="N3128">
        <v>22</v>
      </c>
      <c r="O3128">
        <v>6</v>
      </c>
      <c r="P3128">
        <v>5270.33</v>
      </c>
      <c r="Q3128">
        <v>0</v>
      </c>
    </row>
    <row r="3129" spans="7:17" x14ac:dyDescent="0.25">
      <c r="G3129" t="str">
        <f t="shared" si="48"/>
        <v/>
      </c>
      <c r="H3129" t="s">
        <v>47</v>
      </c>
      <c r="I3129" t="s">
        <v>11</v>
      </c>
      <c r="J3129" t="s">
        <v>7</v>
      </c>
      <c r="K3129" t="s">
        <v>28</v>
      </c>
      <c r="L3129" t="s">
        <v>44</v>
      </c>
      <c r="M3129" t="s">
        <v>19</v>
      </c>
      <c r="N3129">
        <v>4</v>
      </c>
      <c r="O3129">
        <v>2</v>
      </c>
      <c r="P3129">
        <v>4676.1200000000008</v>
      </c>
      <c r="Q3129">
        <v>3561.8600000000006</v>
      </c>
    </row>
    <row r="3130" spans="7:17" x14ac:dyDescent="0.25">
      <c r="G3130" t="str">
        <f t="shared" si="48"/>
        <v/>
      </c>
      <c r="H3130" t="s">
        <v>47</v>
      </c>
      <c r="I3130" t="s">
        <v>11</v>
      </c>
      <c r="J3130" t="s">
        <v>7</v>
      </c>
      <c r="K3130" t="s">
        <v>28</v>
      </c>
      <c r="L3130" t="s">
        <v>44</v>
      </c>
      <c r="M3130" t="s">
        <v>20</v>
      </c>
      <c r="N3130">
        <v>6</v>
      </c>
      <c r="O3130">
        <v>2</v>
      </c>
      <c r="P3130">
        <v>4899.1099999999997</v>
      </c>
      <c r="Q3130">
        <v>0</v>
      </c>
    </row>
    <row r="3131" spans="7:17" x14ac:dyDescent="0.25">
      <c r="G3131" t="str">
        <f t="shared" si="48"/>
        <v/>
      </c>
      <c r="H3131" t="s">
        <v>47</v>
      </c>
      <c r="I3131" t="s">
        <v>11</v>
      </c>
      <c r="J3131" t="s">
        <v>7</v>
      </c>
      <c r="K3131" t="s">
        <v>28</v>
      </c>
      <c r="L3131" t="s">
        <v>39</v>
      </c>
      <c r="M3131" t="s">
        <v>19</v>
      </c>
      <c r="N3131">
        <v>1</v>
      </c>
      <c r="O3131">
        <v>0</v>
      </c>
      <c r="P3131">
        <v>1083.18</v>
      </c>
      <c r="Q3131">
        <v>1083.18</v>
      </c>
    </row>
    <row r="3132" spans="7:17" x14ac:dyDescent="0.25">
      <c r="G3132" t="str">
        <f t="shared" si="48"/>
        <v/>
      </c>
      <c r="H3132" t="s">
        <v>47</v>
      </c>
      <c r="I3132" t="s">
        <v>11</v>
      </c>
      <c r="J3132" t="s">
        <v>7</v>
      </c>
      <c r="K3132" t="s">
        <v>28</v>
      </c>
      <c r="L3132" t="s">
        <v>39</v>
      </c>
      <c r="M3132" t="s">
        <v>20</v>
      </c>
      <c r="N3132">
        <v>12</v>
      </c>
      <c r="O3132">
        <v>8</v>
      </c>
      <c r="P3132">
        <v>3489.98</v>
      </c>
      <c r="Q3132">
        <v>0</v>
      </c>
    </row>
    <row r="3133" spans="7:17" x14ac:dyDescent="0.25">
      <c r="G3133" t="str">
        <f t="shared" si="48"/>
        <v/>
      </c>
      <c r="H3133" t="s">
        <v>47</v>
      </c>
      <c r="I3133" t="s">
        <v>11</v>
      </c>
      <c r="J3133" t="s">
        <v>7</v>
      </c>
      <c r="K3133" t="s">
        <v>28</v>
      </c>
      <c r="L3133" t="s">
        <v>40</v>
      </c>
      <c r="M3133" t="s">
        <v>20</v>
      </c>
      <c r="N3133">
        <v>7</v>
      </c>
      <c r="O3133">
        <v>2</v>
      </c>
      <c r="P3133">
        <v>4895.5700000000006</v>
      </c>
      <c r="Q3133">
        <v>0</v>
      </c>
    </row>
    <row r="3134" spans="7:17" x14ac:dyDescent="0.25">
      <c r="G3134" t="str">
        <f t="shared" si="48"/>
        <v/>
      </c>
      <c r="H3134" t="s">
        <v>47</v>
      </c>
      <c r="I3134" t="s">
        <v>11</v>
      </c>
      <c r="J3134" t="s">
        <v>7</v>
      </c>
      <c r="K3134" t="s">
        <v>28</v>
      </c>
      <c r="L3134" t="s">
        <v>41</v>
      </c>
      <c r="M3134" t="s">
        <v>20</v>
      </c>
      <c r="N3134">
        <v>8</v>
      </c>
      <c r="O3134">
        <v>3</v>
      </c>
      <c r="P3134">
        <v>708.71</v>
      </c>
      <c r="Q3134">
        <v>0</v>
      </c>
    </row>
    <row r="3135" spans="7:17" x14ac:dyDescent="0.25">
      <c r="G3135" t="str">
        <f t="shared" si="48"/>
        <v/>
      </c>
      <c r="H3135" t="s">
        <v>47</v>
      </c>
      <c r="I3135" t="s">
        <v>11</v>
      </c>
      <c r="J3135" t="s">
        <v>7</v>
      </c>
      <c r="K3135" t="s">
        <v>28</v>
      </c>
      <c r="L3135" t="s">
        <v>45</v>
      </c>
      <c r="M3135" t="s">
        <v>20</v>
      </c>
      <c r="N3135">
        <v>32</v>
      </c>
      <c r="O3135">
        <v>12</v>
      </c>
      <c r="P3135">
        <v>48234.69</v>
      </c>
      <c r="Q3135">
        <v>0</v>
      </c>
    </row>
    <row r="3136" spans="7:17" x14ac:dyDescent="0.25">
      <c r="G3136" t="str">
        <f t="shared" si="48"/>
        <v/>
      </c>
      <c r="H3136" t="s">
        <v>47</v>
      </c>
      <c r="I3136" t="s">
        <v>11</v>
      </c>
      <c r="J3136" t="s">
        <v>7</v>
      </c>
      <c r="K3136" t="s">
        <v>29</v>
      </c>
      <c r="L3136" t="s">
        <v>42</v>
      </c>
      <c r="M3136" t="s">
        <v>19</v>
      </c>
      <c r="N3136">
        <v>10</v>
      </c>
      <c r="O3136">
        <v>0</v>
      </c>
      <c r="P3136">
        <v>3120.81</v>
      </c>
      <c r="Q3136">
        <v>3120.81</v>
      </c>
    </row>
    <row r="3137" spans="7:17" x14ac:dyDescent="0.25">
      <c r="G3137" t="str">
        <f t="shared" si="48"/>
        <v/>
      </c>
      <c r="H3137" t="s">
        <v>47</v>
      </c>
      <c r="I3137" t="s">
        <v>11</v>
      </c>
      <c r="J3137" t="s">
        <v>7</v>
      </c>
      <c r="K3137" t="s">
        <v>29</v>
      </c>
      <c r="L3137" t="s">
        <v>42</v>
      </c>
      <c r="M3137" t="s">
        <v>20</v>
      </c>
      <c r="N3137">
        <v>105</v>
      </c>
      <c r="O3137">
        <v>15</v>
      </c>
      <c r="P3137">
        <v>27311.370000000003</v>
      </c>
      <c r="Q3137">
        <v>0</v>
      </c>
    </row>
    <row r="3138" spans="7:17" x14ac:dyDescent="0.25">
      <c r="G3138" t="str">
        <f t="shared" ref="G3138:G3201" si="49">IF(G$1="Overall","Overall",IF(G$1=L3138,L3138,""))</f>
        <v/>
      </c>
      <c r="H3138" t="s">
        <v>47</v>
      </c>
      <c r="I3138" t="s">
        <v>11</v>
      </c>
      <c r="J3138" t="s">
        <v>7</v>
      </c>
      <c r="K3138" t="s">
        <v>29</v>
      </c>
      <c r="L3138" t="s">
        <v>43</v>
      </c>
      <c r="M3138" t="s">
        <v>19</v>
      </c>
      <c r="N3138">
        <v>7</v>
      </c>
      <c r="O3138">
        <v>3</v>
      </c>
      <c r="P3138">
        <v>2504.14</v>
      </c>
      <c r="Q3138">
        <v>2466.7200000000003</v>
      </c>
    </row>
    <row r="3139" spans="7:17" x14ac:dyDescent="0.25">
      <c r="G3139" t="str">
        <f t="shared" si="49"/>
        <v/>
      </c>
      <c r="H3139" t="s">
        <v>47</v>
      </c>
      <c r="I3139" t="s">
        <v>11</v>
      </c>
      <c r="J3139" t="s">
        <v>7</v>
      </c>
      <c r="K3139" t="s">
        <v>29</v>
      </c>
      <c r="L3139" t="s">
        <v>43</v>
      </c>
      <c r="M3139" t="s">
        <v>20</v>
      </c>
      <c r="N3139">
        <v>13</v>
      </c>
      <c r="O3139">
        <v>7</v>
      </c>
      <c r="P3139">
        <v>4269.99</v>
      </c>
      <c r="Q3139">
        <v>0</v>
      </c>
    </row>
    <row r="3140" spans="7:17" x14ac:dyDescent="0.25">
      <c r="G3140" t="str">
        <f t="shared" si="49"/>
        <v/>
      </c>
      <c r="H3140" t="s">
        <v>47</v>
      </c>
      <c r="I3140" t="s">
        <v>11</v>
      </c>
      <c r="J3140" t="s">
        <v>7</v>
      </c>
      <c r="K3140" t="s">
        <v>29</v>
      </c>
      <c r="L3140" t="s">
        <v>44</v>
      </c>
      <c r="M3140" t="s">
        <v>20</v>
      </c>
      <c r="N3140">
        <v>9</v>
      </c>
      <c r="O3140">
        <v>4</v>
      </c>
      <c r="P3140">
        <v>2696.82</v>
      </c>
      <c r="Q3140">
        <v>0</v>
      </c>
    </row>
    <row r="3141" spans="7:17" x14ac:dyDescent="0.25">
      <c r="G3141" t="str">
        <f t="shared" si="49"/>
        <v/>
      </c>
      <c r="H3141" t="s">
        <v>47</v>
      </c>
      <c r="I3141" t="s">
        <v>11</v>
      </c>
      <c r="J3141" t="s">
        <v>7</v>
      </c>
      <c r="K3141" t="s">
        <v>29</v>
      </c>
      <c r="L3141" t="s">
        <v>39</v>
      </c>
      <c r="M3141" t="s">
        <v>20</v>
      </c>
      <c r="N3141">
        <v>4</v>
      </c>
      <c r="O3141">
        <v>1</v>
      </c>
      <c r="P3141">
        <v>3186.2</v>
      </c>
      <c r="Q3141">
        <v>0</v>
      </c>
    </row>
    <row r="3142" spans="7:17" x14ac:dyDescent="0.25">
      <c r="G3142" t="str">
        <f t="shared" si="49"/>
        <v/>
      </c>
      <c r="H3142" t="s">
        <v>47</v>
      </c>
      <c r="I3142" t="s">
        <v>11</v>
      </c>
      <c r="J3142" t="s">
        <v>7</v>
      </c>
      <c r="K3142" t="s">
        <v>29</v>
      </c>
      <c r="L3142" t="s">
        <v>40</v>
      </c>
      <c r="M3142" t="s">
        <v>20</v>
      </c>
      <c r="N3142">
        <v>4</v>
      </c>
      <c r="O3142">
        <v>0</v>
      </c>
      <c r="P3142">
        <v>3649.29</v>
      </c>
      <c r="Q3142">
        <v>0</v>
      </c>
    </row>
    <row r="3143" spans="7:17" x14ac:dyDescent="0.25">
      <c r="G3143" t="str">
        <f t="shared" si="49"/>
        <v/>
      </c>
      <c r="H3143" t="s">
        <v>47</v>
      </c>
      <c r="I3143" t="s">
        <v>11</v>
      </c>
      <c r="J3143" t="s">
        <v>7</v>
      </c>
      <c r="K3143" t="s">
        <v>29</v>
      </c>
      <c r="L3143" t="s">
        <v>41</v>
      </c>
      <c r="M3143" t="s">
        <v>20</v>
      </c>
      <c r="N3143">
        <v>1</v>
      </c>
      <c r="O3143">
        <v>0</v>
      </c>
      <c r="P3143">
        <v>545.91999999999996</v>
      </c>
      <c r="Q3143">
        <v>0</v>
      </c>
    </row>
    <row r="3144" spans="7:17" x14ac:dyDescent="0.25">
      <c r="G3144" t="str">
        <f t="shared" si="49"/>
        <v/>
      </c>
      <c r="H3144" t="s">
        <v>47</v>
      </c>
      <c r="I3144" t="s">
        <v>11</v>
      </c>
      <c r="J3144" t="s">
        <v>7</v>
      </c>
      <c r="K3144" t="s">
        <v>29</v>
      </c>
      <c r="L3144" t="s">
        <v>45</v>
      </c>
      <c r="M3144" t="s">
        <v>20</v>
      </c>
      <c r="N3144">
        <v>23</v>
      </c>
      <c r="O3144">
        <v>7</v>
      </c>
      <c r="P3144">
        <v>20966.98</v>
      </c>
      <c r="Q3144">
        <v>0</v>
      </c>
    </row>
    <row r="3145" spans="7:17" x14ac:dyDescent="0.25">
      <c r="G3145" t="str">
        <f t="shared" si="49"/>
        <v/>
      </c>
      <c r="H3145" t="s">
        <v>47</v>
      </c>
      <c r="I3145" t="s">
        <v>11</v>
      </c>
      <c r="J3145" t="s">
        <v>7</v>
      </c>
      <c r="K3145" t="s">
        <v>30</v>
      </c>
      <c r="L3145" t="s">
        <v>43</v>
      </c>
      <c r="M3145" t="s">
        <v>20</v>
      </c>
      <c r="N3145">
        <v>18</v>
      </c>
      <c r="O3145">
        <v>0</v>
      </c>
      <c r="P3145">
        <v>13779.260000000002</v>
      </c>
      <c r="Q3145">
        <v>0</v>
      </c>
    </row>
    <row r="3146" spans="7:17" x14ac:dyDescent="0.25">
      <c r="G3146" t="str">
        <f t="shared" si="49"/>
        <v/>
      </c>
      <c r="H3146" t="s">
        <v>47</v>
      </c>
      <c r="I3146" t="s">
        <v>11</v>
      </c>
      <c r="J3146" t="s">
        <v>7</v>
      </c>
      <c r="K3146" t="s">
        <v>30</v>
      </c>
      <c r="L3146" t="s">
        <v>45</v>
      </c>
      <c r="M3146" t="s">
        <v>20</v>
      </c>
      <c r="N3146">
        <v>5</v>
      </c>
      <c r="O3146">
        <v>1</v>
      </c>
      <c r="P3146">
        <v>368.87</v>
      </c>
      <c r="Q3146">
        <v>0</v>
      </c>
    </row>
    <row r="3147" spans="7:17" x14ac:dyDescent="0.25">
      <c r="G3147" t="str">
        <f t="shared" si="49"/>
        <v/>
      </c>
      <c r="H3147" t="s">
        <v>47</v>
      </c>
      <c r="I3147" t="s">
        <v>11</v>
      </c>
      <c r="J3147" t="s">
        <v>7</v>
      </c>
      <c r="K3147" t="s">
        <v>31</v>
      </c>
      <c r="L3147" t="s">
        <v>42</v>
      </c>
      <c r="M3147" t="s">
        <v>19</v>
      </c>
      <c r="N3147">
        <v>5</v>
      </c>
      <c r="O3147">
        <v>1</v>
      </c>
      <c r="P3147">
        <v>2077.29</v>
      </c>
      <c r="Q3147">
        <v>1841.43</v>
      </c>
    </row>
    <row r="3148" spans="7:17" x14ac:dyDescent="0.25">
      <c r="G3148" t="str">
        <f t="shared" si="49"/>
        <v/>
      </c>
      <c r="H3148" t="s">
        <v>47</v>
      </c>
      <c r="I3148" t="s">
        <v>11</v>
      </c>
      <c r="J3148" t="s">
        <v>7</v>
      </c>
      <c r="K3148" t="s">
        <v>31</v>
      </c>
      <c r="L3148" t="s">
        <v>42</v>
      </c>
      <c r="M3148" t="s">
        <v>20</v>
      </c>
      <c r="N3148">
        <v>7</v>
      </c>
      <c r="O3148">
        <v>3</v>
      </c>
      <c r="P3148">
        <v>3063.0600000000004</v>
      </c>
      <c r="Q3148">
        <v>0</v>
      </c>
    </row>
    <row r="3149" spans="7:17" x14ac:dyDescent="0.25">
      <c r="G3149" t="str">
        <f t="shared" si="49"/>
        <v/>
      </c>
      <c r="H3149" t="s">
        <v>47</v>
      </c>
      <c r="I3149" t="s">
        <v>11</v>
      </c>
      <c r="J3149" t="s">
        <v>7</v>
      </c>
      <c r="K3149" t="s">
        <v>31</v>
      </c>
      <c r="L3149" t="s">
        <v>43</v>
      </c>
      <c r="M3149" t="s">
        <v>19</v>
      </c>
      <c r="N3149">
        <v>31</v>
      </c>
      <c r="O3149">
        <v>2</v>
      </c>
      <c r="P3149">
        <v>15113.210000000003</v>
      </c>
      <c r="Q3149">
        <v>15035.020000000002</v>
      </c>
    </row>
    <row r="3150" spans="7:17" x14ac:dyDescent="0.25">
      <c r="G3150" t="str">
        <f t="shared" si="49"/>
        <v/>
      </c>
      <c r="H3150" t="s">
        <v>47</v>
      </c>
      <c r="I3150" t="s">
        <v>11</v>
      </c>
      <c r="J3150" t="s">
        <v>7</v>
      </c>
      <c r="K3150" t="s">
        <v>31</v>
      </c>
      <c r="L3150" t="s">
        <v>44</v>
      </c>
      <c r="M3150" t="s">
        <v>20</v>
      </c>
      <c r="N3150">
        <v>1</v>
      </c>
      <c r="O3150">
        <v>1</v>
      </c>
      <c r="P3150">
        <v>1.99</v>
      </c>
      <c r="Q3150">
        <v>0</v>
      </c>
    </row>
    <row r="3151" spans="7:17" x14ac:dyDescent="0.25">
      <c r="G3151" t="str">
        <f t="shared" si="49"/>
        <v/>
      </c>
      <c r="H3151" t="s">
        <v>47</v>
      </c>
      <c r="I3151" t="s">
        <v>11</v>
      </c>
      <c r="J3151" t="s">
        <v>7</v>
      </c>
      <c r="K3151" t="s">
        <v>31</v>
      </c>
      <c r="L3151" t="s">
        <v>41</v>
      </c>
      <c r="M3151" t="s">
        <v>20</v>
      </c>
      <c r="N3151">
        <v>2</v>
      </c>
      <c r="O3151">
        <v>0</v>
      </c>
      <c r="P3151">
        <v>1771.86</v>
      </c>
      <c r="Q3151">
        <v>0</v>
      </c>
    </row>
    <row r="3152" spans="7:17" x14ac:dyDescent="0.25">
      <c r="G3152" t="str">
        <f t="shared" si="49"/>
        <v/>
      </c>
      <c r="H3152" t="s">
        <v>47</v>
      </c>
      <c r="I3152" t="s">
        <v>11</v>
      </c>
      <c r="J3152" t="s">
        <v>7</v>
      </c>
      <c r="K3152" t="s">
        <v>31</v>
      </c>
      <c r="L3152" t="s">
        <v>45</v>
      </c>
      <c r="M3152" t="s">
        <v>20</v>
      </c>
      <c r="N3152">
        <v>14</v>
      </c>
      <c r="O3152">
        <v>2</v>
      </c>
      <c r="P3152">
        <v>10795.18</v>
      </c>
      <c r="Q3152">
        <v>0</v>
      </c>
    </row>
    <row r="3153" spans="7:17" x14ac:dyDescent="0.25">
      <c r="G3153" t="str">
        <f t="shared" si="49"/>
        <v/>
      </c>
      <c r="H3153" t="s">
        <v>47</v>
      </c>
      <c r="I3153" t="s">
        <v>11</v>
      </c>
      <c r="J3153" t="s">
        <v>7</v>
      </c>
      <c r="K3153" t="s">
        <v>32</v>
      </c>
      <c r="L3153" t="s">
        <v>42</v>
      </c>
      <c r="M3153" t="s">
        <v>19</v>
      </c>
      <c r="N3153">
        <v>15</v>
      </c>
      <c r="O3153">
        <v>2</v>
      </c>
      <c r="P3153">
        <v>4007.2300000000005</v>
      </c>
      <c r="Q3153">
        <v>3960.1600000000003</v>
      </c>
    </row>
    <row r="3154" spans="7:17" x14ac:dyDescent="0.25">
      <c r="G3154" t="str">
        <f t="shared" si="49"/>
        <v/>
      </c>
      <c r="H3154" t="s">
        <v>47</v>
      </c>
      <c r="I3154" t="s">
        <v>11</v>
      </c>
      <c r="J3154" t="s">
        <v>7</v>
      </c>
      <c r="K3154" t="s">
        <v>32</v>
      </c>
      <c r="L3154" t="s">
        <v>42</v>
      </c>
      <c r="M3154" t="s">
        <v>20</v>
      </c>
      <c r="N3154">
        <v>19</v>
      </c>
      <c r="O3154">
        <v>3</v>
      </c>
      <c r="P3154">
        <v>2148.7400000000002</v>
      </c>
      <c r="Q3154">
        <v>0</v>
      </c>
    </row>
    <row r="3155" spans="7:17" x14ac:dyDescent="0.25">
      <c r="G3155" t="str">
        <f t="shared" si="49"/>
        <v/>
      </c>
      <c r="H3155" t="s">
        <v>47</v>
      </c>
      <c r="I3155" t="s">
        <v>11</v>
      </c>
      <c r="J3155" t="s">
        <v>7</v>
      </c>
      <c r="K3155" t="s">
        <v>32</v>
      </c>
      <c r="L3155" t="s">
        <v>43</v>
      </c>
      <c r="M3155" t="s">
        <v>19</v>
      </c>
      <c r="N3155">
        <v>259</v>
      </c>
      <c r="O3155">
        <v>0</v>
      </c>
      <c r="P3155">
        <v>139650.65999999995</v>
      </c>
      <c r="Q3155">
        <v>99648.180000000008</v>
      </c>
    </row>
    <row r="3156" spans="7:17" x14ac:dyDescent="0.25">
      <c r="G3156" t="str">
        <f t="shared" si="49"/>
        <v/>
      </c>
      <c r="H3156" t="s">
        <v>47</v>
      </c>
      <c r="I3156" t="s">
        <v>11</v>
      </c>
      <c r="J3156" t="s">
        <v>7</v>
      </c>
      <c r="K3156" t="s">
        <v>32</v>
      </c>
      <c r="L3156" t="s">
        <v>43</v>
      </c>
      <c r="M3156" t="s">
        <v>20</v>
      </c>
      <c r="N3156">
        <v>92</v>
      </c>
      <c r="O3156">
        <v>1</v>
      </c>
      <c r="P3156">
        <v>33955.14</v>
      </c>
      <c r="Q3156">
        <v>0</v>
      </c>
    </row>
    <row r="3157" spans="7:17" x14ac:dyDescent="0.25">
      <c r="G3157" t="str">
        <f t="shared" si="49"/>
        <v/>
      </c>
      <c r="H3157" t="s">
        <v>47</v>
      </c>
      <c r="I3157" t="s">
        <v>11</v>
      </c>
      <c r="J3157" t="s">
        <v>7</v>
      </c>
      <c r="K3157" t="s">
        <v>32</v>
      </c>
      <c r="L3157" t="s">
        <v>44</v>
      </c>
      <c r="M3157" t="s">
        <v>19</v>
      </c>
      <c r="N3157">
        <v>78</v>
      </c>
      <c r="O3157">
        <v>0</v>
      </c>
      <c r="P3157">
        <v>77507.859999999971</v>
      </c>
      <c r="Q3157">
        <v>57111.19999999999</v>
      </c>
    </row>
    <row r="3158" spans="7:17" x14ac:dyDescent="0.25">
      <c r="G3158" t="str">
        <f t="shared" si="49"/>
        <v/>
      </c>
      <c r="H3158" t="s">
        <v>47</v>
      </c>
      <c r="I3158" t="s">
        <v>11</v>
      </c>
      <c r="J3158" t="s">
        <v>7</v>
      </c>
      <c r="K3158" t="s">
        <v>32</v>
      </c>
      <c r="L3158" t="s">
        <v>44</v>
      </c>
      <c r="M3158" t="s">
        <v>20</v>
      </c>
      <c r="N3158">
        <v>15</v>
      </c>
      <c r="O3158">
        <v>0</v>
      </c>
      <c r="P3158">
        <v>6348.89</v>
      </c>
      <c r="Q3158">
        <v>0</v>
      </c>
    </row>
    <row r="3159" spans="7:17" x14ac:dyDescent="0.25">
      <c r="G3159" t="str">
        <f t="shared" si="49"/>
        <v/>
      </c>
      <c r="H3159" t="s">
        <v>47</v>
      </c>
      <c r="I3159" t="s">
        <v>11</v>
      </c>
      <c r="J3159" t="s">
        <v>7</v>
      </c>
      <c r="K3159" t="s">
        <v>32</v>
      </c>
      <c r="L3159" t="s">
        <v>39</v>
      </c>
      <c r="M3159" t="s">
        <v>19</v>
      </c>
      <c r="N3159">
        <v>8</v>
      </c>
      <c r="O3159">
        <v>2</v>
      </c>
      <c r="P3159">
        <v>13780.869999999999</v>
      </c>
      <c r="Q3159">
        <v>7968.52</v>
      </c>
    </row>
    <row r="3160" spans="7:17" x14ac:dyDescent="0.25">
      <c r="G3160" t="str">
        <f t="shared" si="49"/>
        <v/>
      </c>
      <c r="H3160" t="s">
        <v>47</v>
      </c>
      <c r="I3160" t="s">
        <v>11</v>
      </c>
      <c r="J3160" t="s">
        <v>7</v>
      </c>
      <c r="K3160" t="s">
        <v>32</v>
      </c>
      <c r="L3160" t="s">
        <v>39</v>
      </c>
      <c r="M3160" t="s">
        <v>20</v>
      </c>
      <c r="N3160">
        <v>8</v>
      </c>
      <c r="O3160">
        <v>1</v>
      </c>
      <c r="P3160">
        <v>1905.0200000000002</v>
      </c>
      <c r="Q3160">
        <v>0</v>
      </c>
    </row>
    <row r="3161" spans="7:17" x14ac:dyDescent="0.25">
      <c r="G3161" t="str">
        <f t="shared" si="49"/>
        <v/>
      </c>
      <c r="H3161" t="s">
        <v>47</v>
      </c>
      <c r="I3161" t="s">
        <v>11</v>
      </c>
      <c r="J3161" t="s">
        <v>7</v>
      </c>
      <c r="K3161" t="s">
        <v>32</v>
      </c>
      <c r="L3161" t="s">
        <v>40</v>
      </c>
      <c r="M3161" t="s">
        <v>19</v>
      </c>
      <c r="N3161">
        <v>28</v>
      </c>
      <c r="O3161">
        <v>0</v>
      </c>
      <c r="P3161">
        <v>11666.44</v>
      </c>
      <c r="Q3161">
        <v>6960.1299999999992</v>
      </c>
    </row>
    <row r="3162" spans="7:17" x14ac:dyDescent="0.25">
      <c r="G3162" t="str">
        <f t="shared" si="49"/>
        <v/>
      </c>
      <c r="H3162" t="s">
        <v>47</v>
      </c>
      <c r="I3162" t="s">
        <v>11</v>
      </c>
      <c r="J3162" t="s">
        <v>7</v>
      </c>
      <c r="K3162" t="s">
        <v>32</v>
      </c>
      <c r="L3162" t="s">
        <v>40</v>
      </c>
      <c r="M3162" t="s">
        <v>20</v>
      </c>
      <c r="N3162">
        <v>8</v>
      </c>
      <c r="O3162">
        <v>0</v>
      </c>
      <c r="P3162">
        <v>1642.02</v>
      </c>
      <c r="Q3162">
        <v>0</v>
      </c>
    </row>
    <row r="3163" spans="7:17" x14ac:dyDescent="0.25">
      <c r="G3163" t="str">
        <f t="shared" si="49"/>
        <v/>
      </c>
      <c r="H3163" t="s">
        <v>47</v>
      </c>
      <c r="I3163" t="s">
        <v>11</v>
      </c>
      <c r="J3163" t="s">
        <v>7</v>
      </c>
      <c r="K3163" t="s">
        <v>32</v>
      </c>
      <c r="L3163" t="s">
        <v>41</v>
      </c>
      <c r="M3163" t="s">
        <v>19</v>
      </c>
      <c r="N3163">
        <v>29</v>
      </c>
      <c r="O3163">
        <v>0</v>
      </c>
      <c r="P3163">
        <v>9930.3100000000013</v>
      </c>
      <c r="Q3163">
        <v>7314.8700000000008</v>
      </c>
    </row>
    <row r="3164" spans="7:17" x14ac:dyDescent="0.25">
      <c r="G3164" t="str">
        <f t="shared" si="49"/>
        <v/>
      </c>
      <c r="H3164" t="s">
        <v>47</v>
      </c>
      <c r="I3164" t="s">
        <v>11</v>
      </c>
      <c r="J3164" t="s">
        <v>7</v>
      </c>
      <c r="K3164" t="s">
        <v>32</v>
      </c>
      <c r="L3164" t="s">
        <v>41</v>
      </c>
      <c r="M3164" t="s">
        <v>20</v>
      </c>
      <c r="N3164">
        <v>3</v>
      </c>
      <c r="O3164">
        <v>0</v>
      </c>
      <c r="P3164">
        <v>1889.4399999999998</v>
      </c>
      <c r="Q3164">
        <v>0</v>
      </c>
    </row>
    <row r="3165" spans="7:17" x14ac:dyDescent="0.25">
      <c r="G3165" t="str">
        <f t="shared" si="49"/>
        <v/>
      </c>
      <c r="H3165" t="s">
        <v>47</v>
      </c>
      <c r="I3165" t="s">
        <v>11</v>
      </c>
      <c r="J3165" t="s">
        <v>7</v>
      </c>
      <c r="K3165" t="s">
        <v>32</v>
      </c>
      <c r="L3165" t="s">
        <v>45</v>
      </c>
      <c r="M3165" t="s">
        <v>19</v>
      </c>
      <c r="N3165">
        <v>19</v>
      </c>
      <c r="O3165">
        <v>0</v>
      </c>
      <c r="P3165">
        <v>18781.629999999994</v>
      </c>
      <c r="Q3165">
        <v>3174.8799999999997</v>
      </c>
    </row>
    <row r="3166" spans="7:17" x14ac:dyDescent="0.25">
      <c r="G3166" t="str">
        <f t="shared" si="49"/>
        <v/>
      </c>
      <c r="H3166" t="s">
        <v>47</v>
      </c>
      <c r="I3166" t="s">
        <v>11</v>
      </c>
      <c r="J3166" t="s">
        <v>7</v>
      </c>
      <c r="K3166" t="s">
        <v>32</v>
      </c>
      <c r="L3166" t="s">
        <v>45</v>
      </c>
      <c r="M3166" t="s">
        <v>20</v>
      </c>
      <c r="N3166">
        <v>57</v>
      </c>
      <c r="O3166">
        <v>2</v>
      </c>
      <c r="P3166">
        <v>26491.449999999997</v>
      </c>
      <c r="Q3166">
        <v>0</v>
      </c>
    </row>
    <row r="3167" spans="7:17" x14ac:dyDescent="0.25">
      <c r="G3167" t="str">
        <f t="shared" si="49"/>
        <v/>
      </c>
      <c r="H3167" t="s">
        <v>47</v>
      </c>
      <c r="I3167" t="s">
        <v>11</v>
      </c>
      <c r="J3167" t="s">
        <v>7</v>
      </c>
      <c r="K3167" t="s">
        <v>33</v>
      </c>
      <c r="L3167" t="s">
        <v>42</v>
      </c>
      <c r="M3167" t="s">
        <v>19</v>
      </c>
      <c r="N3167">
        <v>10</v>
      </c>
      <c r="O3167">
        <v>2</v>
      </c>
      <c r="P3167">
        <v>2256.56</v>
      </c>
      <c r="Q3167">
        <v>2254.8200000000002</v>
      </c>
    </row>
    <row r="3168" spans="7:17" x14ac:dyDescent="0.25">
      <c r="G3168" t="str">
        <f t="shared" si="49"/>
        <v/>
      </c>
      <c r="H3168" t="s">
        <v>47</v>
      </c>
      <c r="I3168" t="s">
        <v>11</v>
      </c>
      <c r="J3168" t="s">
        <v>7</v>
      </c>
      <c r="K3168" t="s">
        <v>33</v>
      </c>
      <c r="L3168" t="s">
        <v>42</v>
      </c>
      <c r="M3168" t="s">
        <v>20</v>
      </c>
      <c r="N3168">
        <v>115</v>
      </c>
      <c r="O3168">
        <v>11</v>
      </c>
      <c r="P3168">
        <v>8949.7999999999993</v>
      </c>
      <c r="Q3168">
        <v>0</v>
      </c>
    </row>
    <row r="3169" spans="7:17" x14ac:dyDescent="0.25">
      <c r="G3169" t="str">
        <f t="shared" si="49"/>
        <v/>
      </c>
      <c r="H3169" t="s">
        <v>47</v>
      </c>
      <c r="I3169" t="s">
        <v>11</v>
      </c>
      <c r="J3169" t="s">
        <v>7</v>
      </c>
      <c r="K3169" t="s">
        <v>33</v>
      </c>
      <c r="L3169" t="s">
        <v>43</v>
      </c>
      <c r="M3169" t="s">
        <v>19</v>
      </c>
      <c r="N3169">
        <v>19</v>
      </c>
      <c r="O3169">
        <v>2</v>
      </c>
      <c r="P3169">
        <v>5773.97</v>
      </c>
      <c r="Q3169">
        <v>5769.63</v>
      </c>
    </row>
    <row r="3170" spans="7:17" x14ac:dyDescent="0.25">
      <c r="G3170" t="str">
        <f t="shared" si="49"/>
        <v/>
      </c>
      <c r="H3170" t="s">
        <v>47</v>
      </c>
      <c r="I3170" t="s">
        <v>11</v>
      </c>
      <c r="J3170" t="s">
        <v>7</v>
      </c>
      <c r="K3170" t="s">
        <v>33</v>
      </c>
      <c r="L3170" t="s">
        <v>43</v>
      </c>
      <c r="M3170" t="s">
        <v>20</v>
      </c>
      <c r="N3170">
        <v>5</v>
      </c>
      <c r="O3170">
        <v>3</v>
      </c>
      <c r="P3170">
        <v>1795.91</v>
      </c>
      <c r="Q3170">
        <v>0</v>
      </c>
    </row>
    <row r="3171" spans="7:17" x14ac:dyDescent="0.25">
      <c r="G3171" t="str">
        <f t="shared" si="49"/>
        <v/>
      </c>
      <c r="H3171" t="s">
        <v>47</v>
      </c>
      <c r="I3171" t="s">
        <v>11</v>
      </c>
      <c r="J3171" t="s">
        <v>7</v>
      </c>
      <c r="K3171" t="s">
        <v>33</v>
      </c>
      <c r="L3171" t="s">
        <v>44</v>
      </c>
      <c r="M3171" t="s">
        <v>20</v>
      </c>
      <c r="N3171">
        <v>3</v>
      </c>
      <c r="O3171">
        <v>1</v>
      </c>
      <c r="P3171">
        <v>2661.24</v>
      </c>
      <c r="Q3171">
        <v>0</v>
      </c>
    </row>
    <row r="3172" spans="7:17" x14ac:dyDescent="0.25">
      <c r="G3172" t="str">
        <f t="shared" si="49"/>
        <v/>
      </c>
      <c r="H3172" t="s">
        <v>47</v>
      </c>
      <c r="I3172" t="s">
        <v>11</v>
      </c>
      <c r="J3172" t="s">
        <v>7</v>
      </c>
      <c r="K3172" t="s">
        <v>33</v>
      </c>
      <c r="L3172" t="s">
        <v>39</v>
      </c>
      <c r="M3172" t="s">
        <v>19</v>
      </c>
      <c r="N3172">
        <v>1</v>
      </c>
      <c r="O3172">
        <v>1</v>
      </c>
      <c r="P3172">
        <v>1793.08</v>
      </c>
      <c r="Q3172">
        <v>1793.08</v>
      </c>
    </row>
    <row r="3173" spans="7:17" x14ac:dyDescent="0.25">
      <c r="G3173" t="str">
        <f t="shared" si="49"/>
        <v/>
      </c>
      <c r="H3173" t="s">
        <v>47</v>
      </c>
      <c r="I3173" t="s">
        <v>11</v>
      </c>
      <c r="J3173" t="s">
        <v>7</v>
      </c>
      <c r="K3173" t="s">
        <v>33</v>
      </c>
      <c r="L3173" t="s">
        <v>39</v>
      </c>
      <c r="M3173" t="s">
        <v>20</v>
      </c>
      <c r="N3173">
        <v>1</v>
      </c>
      <c r="O3173">
        <v>1</v>
      </c>
      <c r="P3173">
        <v>1.35</v>
      </c>
      <c r="Q3173">
        <v>0</v>
      </c>
    </row>
    <row r="3174" spans="7:17" x14ac:dyDescent="0.25">
      <c r="G3174" t="str">
        <f t="shared" si="49"/>
        <v/>
      </c>
      <c r="H3174" t="s">
        <v>47</v>
      </c>
      <c r="I3174" t="s">
        <v>11</v>
      </c>
      <c r="J3174" t="s">
        <v>7</v>
      </c>
      <c r="K3174" t="s">
        <v>33</v>
      </c>
      <c r="L3174" t="s">
        <v>40</v>
      </c>
      <c r="M3174" t="s">
        <v>20</v>
      </c>
      <c r="N3174">
        <v>3</v>
      </c>
      <c r="O3174">
        <v>0</v>
      </c>
      <c r="P3174">
        <v>2106.37</v>
      </c>
      <c r="Q3174">
        <v>0</v>
      </c>
    </row>
    <row r="3175" spans="7:17" x14ac:dyDescent="0.25">
      <c r="G3175" t="str">
        <f t="shared" si="49"/>
        <v/>
      </c>
      <c r="H3175" t="s">
        <v>47</v>
      </c>
      <c r="I3175" t="s">
        <v>11</v>
      </c>
      <c r="J3175" t="s">
        <v>7</v>
      </c>
      <c r="K3175" t="s">
        <v>33</v>
      </c>
      <c r="L3175" t="s">
        <v>41</v>
      </c>
      <c r="M3175" t="s">
        <v>20</v>
      </c>
      <c r="N3175">
        <v>6</v>
      </c>
      <c r="O3175">
        <v>0</v>
      </c>
      <c r="P3175">
        <v>755.95</v>
      </c>
      <c r="Q3175">
        <v>0</v>
      </c>
    </row>
    <row r="3176" spans="7:17" x14ac:dyDescent="0.25">
      <c r="G3176" t="str">
        <f t="shared" si="49"/>
        <v/>
      </c>
      <c r="H3176" t="s">
        <v>47</v>
      </c>
      <c r="I3176" t="s">
        <v>11</v>
      </c>
      <c r="J3176" t="s">
        <v>7</v>
      </c>
      <c r="K3176" t="s">
        <v>33</v>
      </c>
      <c r="L3176" t="s">
        <v>45</v>
      </c>
      <c r="M3176" t="s">
        <v>20</v>
      </c>
      <c r="N3176">
        <v>19</v>
      </c>
      <c r="O3176">
        <v>6</v>
      </c>
      <c r="P3176">
        <v>1753.7299999999998</v>
      </c>
      <c r="Q3176">
        <v>0</v>
      </c>
    </row>
    <row r="3177" spans="7:17" x14ac:dyDescent="0.25">
      <c r="G3177" t="str">
        <f t="shared" si="49"/>
        <v/>
      </c>
      <c r="H3177" t="s">
        <v>47</v>
      </c>
      <c r="I3177" t="s">
        <v>11</v>
      </c>
      <c r="J3177" t="s">
        <v>7</v>
      </c>
      <c r="K3177" t="s">
        <v>34</v>
      </c>
      <c r="L3177" t="s">
        <v>42</v>
      </c>
      <c r="M3177" t="s">
        <v>19</v>
      </c>
      <c r="N3177">
        <v>5</v>
      </c>
      <c r="O3177">
        <v>0</v>
      </c>
      <c r="P3177">
        <v>1798.73</v>
      </c>
      <c r="Q3177">
        <v>1795.8200000000002</v>
      </c>
    </row>
    <row r="3178" spans="7:17" x14ac:dyDescent="0.25">
      <c r="G3178" t="str">
        <f t="shared" si="49"/>
        <v/>
      </c>
      <c r="H3178" t="s">
        <v>47</v>
      </c>
      <c r="I3178" t="s">
        <v>11</v>
      </c>
      <c r="J3178" t="s">
        <v>7</v>
      </c>
      <c r="K3178" t="s">
        <v>34</v>
      </c>
      <c r="L3178" t="s">
        <v>42</v>
      </c>
      <c r="M3178" t="s">
        <v>20</v>
      </c>
      <c r="N3178">
        <v>42</v>
      </c>
      <c r="O3178">
        <v>3</v>
      </c>
      <c r="P3178">
        <v>3066.5299999999997</v>
      </c>
      <c r="Q3178">
        <v>0</v>
      </c>
    </row>
    <row r="3179" spans="7:17" x14ac:dyDescent="0.25">
      <c r="G3179" t="str">
        <f t="shared" si="49"/>
        <v/>
      </c>
      <c r="H3179" t="s">
        <v>47</v>
      </c>
      <c r="I3179" t="s">
        <v>11</v>
      </c>
      <c r="J3179" t="s">
        <v>7</v>
      </c>
      <c r="K3179" t="s">
        <v>34</v>
      </c>
      <c r="L3179" t="s">
        <v>43</v>
      </c>
      <c r="M3179" t="s">
        <v>19</v>
      </c>
      <c r="N3179">
        <v>46</v>
      </c>
      <c r="O3179">
        <v>3</v>
      </c>
      <c r="P3179">
        <v>30388.55999999999</v>
      </c>
      <c r="Q3179">
        <v>28441.449999999993</v>
      </c>
    </row>
    <row r="3180" spans="7:17" x14ac:dyDescent="0.25">
      <c r="G3180" t="str">
        <f t="shared" si="49"/>
        <v/>
      </c>
      <c r="H3180" t="s">
        <v>47</v>
      </c>
      <c r="I3180" t="s">
        <v>11</v>
      </c>
      <c r="J3180" t="s">
        <v>7</v>
      </c>
      <c r="K3180" t="s">
        <v>34</v>
      </c>
      <c r="L3180" t="s">
        <v>43</v>
      </c>
      <c r="M3180" t="s">
        <v>20</v>
      </c>
      <c r="N3180">
        <v>18</v>
      </c>
      <c r="O3180">
        <v>5</v>
      </c>
      <c r="P3180">
        <v>7031.48</v>
      </c>
      <c r="Q3180">
        <v>0</v>
      </c>
    </row>
    <row r="3181" spans="7:17" x14ac:dyDescent="0.25">
      <c r="G3181" t="str">
        <f t="shared" si="49"/>
        <v/>
      </c>
      <c r="H3181" t="s">
        <v>47</v>
      </c>
      <c r="I3181" t="s">
        <v>11</v>
      </c>
      <c r="J3181" t="s">
        <v>7</v>
      </c>
      <c r="K3181" t="s">
        <v>34</v>
      </c>
      <c r="L3181" t="s">
        <v>44</v>
      </c>
      <c r="M3181" t="s">
        <v>19</v>
      </c>
      <c r="N3181">
        <v>1</v>
      </c>
      <c r="O3181">
        <v>1</v>
      </c>
      <c r="P3181">
        <v>568.97</v>
      </c>
      <c r="Q3181">
        <v>568.97</v>
      </c>
    </row>
    <row r="3182" spans="7:17" x14ac:dyDescent="0.25">
      <c r="G3182" t="str">
        <f t="shared" si="49"/>
        <v/>
      </c>
      <c r="H3182" t="s">
        <v>47</v>
      </c>
      <c r="I3182" t="s">
        <v>11</v>
      </c>
      <c r="J3182" t="s">
        <v>7</v>
      </c>
      <c r="K3182" t="s">
        <v>34</v>
      </c>
      <c r="L3182" t="s">
        <v>44</v>
      </c>
      <c r="M3182" t="s">
        <v>20</v>
      </c>
      <c r="N3182">
        <v>1</v>
      </c>
      <c r="O3182">
        <v>0</v>
      </c>
      <c r="P3182">
        <v>26.58</v>
      </c>
      <c r="Q3182">
        <v>0</v>
      </c>
    </row>
    <row r="3183" spans="7:17" x14ac:dyDescent="0.25">
      <c r="G3183" t="str">
        <f t="shared" si="49"/>
        <v/>
      </c>
      <c r="H3183" t="s">
        <v>47</v>
      </c>
      <c r="I3183" t="s">
        <v>11</v>
      </c>
      <c r="J3183" t="s">
        <v>7</v>
      </c>
      <c r="K3183" t="s">
        <v>34</v>
      </c>
      <c r="L3183" t="s">
        <v>39</v>
      </c>
      <c r="M3183" t="s">
        <v>19</v>
      </c>
      <c r="N3183">
        <v>2</v>
      </c>
      <c r="O3183">
        <v>2</v>
      </c>
      <c r="P3183">
        <v>1296.33</v>
      </c>
      <c r="Q3183">
        <v>1292.8200000000002</v>
      </c>
    </row>
    <row r="3184" spans="7:17" x14ac:dyDescent="0.25">
      <c r="G3184" t="str">
        <f t="shared" si="49"/>
        <v/>
      </c>
      <c r="H3184" t="s">
        <v>47</v>
      </c>
      <c r="I3184" t="s">
        <v>11</v>
      </c>
      <c r="J3184" t="s">
        <v>7</v>
      </c>
      <c r="K3184" t="s">
        <v>34</v>
      </c>
      <c r="L3184" t="s">
        <v>39</v>
      </c>
      <c r="M3184" t="s">
        <v>20</v>
      </c>
      <c r="N3184">
        <v>1</v>
      </c>
      <c r="O3184">
        <v>1</v>
      </c>
      <c r="P3184">
        <v>166.32</v>
      </c>
      <c r="Q3184">
        <v>0</v>
      </c>
    </row>
    <row r="3185" spans="7:17" x14ac:dyDescent="0.25">
      <c r="G3185" t="str">
        <f t="shared" si="49"/>
        <v/>
      </c>
      <c r="H3185" t="s">
        <v>47</v>
      </c>
      <c r="I3185" t="s">
        <v>11</v>
      </c>
      <c r="J3185" t="s">
        <v>7</v>
      </c>
      <c r="K3185" t="s">
        <v>34</v>
      </c>
      <c r="L3185" t="s">
        <v>40</v>
      </c>
      <c r="M3185" t="s">
        <v>20</v>
      </c>
      <c r="N3185">
        <v>3</v>
      </c>
      <c r="O3185">
        <v>2</v>
      </c>
      <c r="P3185">
        <v>657.13</v>
      </c>
      <c r="Q3185">
        <v>0</v>
      </c>
    </row>
    <row r="3186" spans="7:17" x14ac:dyDescent="0.25">
      <c r="G3186" t="str">
        <f t="shared" si="49"/>
        <v/>
      </c>
      <c r="H3186" t="s">
        <v>47</v>
      </c>
      <c r="I3186" t="s">
        <v>11</v>
      </c>
      <c r="J3186" t="s">
        <v>7</v>
      </c>
      <c r="K3186" t="s">
        <v>34</v>
      </c>
      <c r="L3186" t="s">
        <v>45</v>
      </c>
      <c r="M3186" t="s">
        <v>20</v>
      </c>
      <c r="N3186">
        <v>16</v>
      </c>
      <c r="O3186">
        <v>8</v>
      </c>
      <c r="P3186">
        <v>4331.18</v>
      </c>
      <c r="Q3186">
        <v>0</v>
      </c>
    </row>
    <row r="3187" spans="7:17" x14ac:dyDescent="0.25">
      <c r="G3187" t="str">
        <f t="shared" si="49"/>
        <v/>
      </c>
      <c r="H3187" t="s">
        <v>47</v>
      </c>
      <c r="I3187" t="s">
        <v>11</v>
      </c>
      <c r="J3187" t="s">
        <v>7</v>
      </c>
      <c r="K3187" t="s">
        <v>35</v>
      </c>
      <c r="L3187" t="s">
        <v>42</v>
      </c>
      <c r="M3187" t="s">
        <v>19</v>
      </c>
      <c r="N3187">
        <v>23</v>
      </c>
      <c r="O3187">
        <v>3</v>
      </c>
      <c r="P3187">
        <v>5088.1099999999997</v>
      </c>
      <c r="Q3187">
        <v>5062.2700000000004</v>
      </c>
    </row>
    <row r="3188" spans="7:17" x14ac:dyDescent="0.25">
      <c r="G3188" t="str">
        <f t="shared" si="49"/>
        <v/>
      </c>
      <c r="H3188" t="s">
        <v>47</v>
      </c>
      <c r="I3188" t="s">
        <v>11</v>
      </c>
      <c r="J3188" t="s">
        <v>7</v>
      </c>
      <c r="K3188" t="s">
        <v>35</v>
      </c>
      <c r="L3188" t="s">
        <v>42</v>
      </c>
      <c r="M3188" t="s">
        <v>20</v>
      </c>
      <c r="N3188">
        <v>101</v>
      </c>
      <c r="O3188">
        <v>11</v>
      </c>
      <c r="P3188">
        <v>7777.4799999999977</v>
      </c>
      <c r="Q3188">
        <v>0</v>
      </c>
    </row>
    <row r="3189" spans="7:17" x14ac:dyDescent="0.25">
      <c r="G3189" t="str">
        <f t="shared" si="49"/>
        <v/>
      </c>
      <c r="H3189" t="s">
        <v>47</v>
      </c>
      <c r="I3189" t="s">
        <v>11</v>
      </c>
      <c r="J3189" t="s">
        <v>7</v>
      </c>
      <c r="K3189" t="s">
        <v>35</v>
      </c>
      <c r="L3189" t="s">
        <v>43</v>
      </c>
      <c r="M3189" t="s">
        <v>19</v>
      </c>
      <c r="N3189">
        <v>12</v>
      </c>
      <c r="O3189">
        <v>2</v>
      </c>
      <c r="P3189">
        <v>3943.45</v>
      </c>
      <c r="Q3189">
        <v>3941.48</v>
      </c>
    </row>
    <row r="3190" spans="7:17" x14ac:dyDescent="0.25">
      <c r="G3190" t="str">
        <f t="shared" si="49"/>
        <v/>
      </c>
      <c r="H3190" t="s">
        <v>47</v>
      </c>
      <c r="I3190" t="s">
        <v>11</v>
      </c>
      <c r="J3190" t="s">
        <v>7</v>
      </c>
      <c r="K3190" t="s">
        <v>35</v>
      </c>
      <c r="L3190" t="s">
        <v>43</v>
      </c>
      <c r="M3190" t="s">
        <v>20</v>
      </c>
      <c r="N3190">
        <v>26</v>
      </c>
      <c r="O3190">
        <v>9</v>
      </c>
      <c r="P3190">
        <v>7574.15</v>
      </c>
      <c r="Q3190">
        <v>0</v>
      </c>
    </row>
    <row r="3191" spans="7:17" x14ac:dyDescent="0.25">
      <c r="G3191" t="str">
        <f t="shared" si="49"/>
        <v/>
      </c>
      <c r="H3191" t="s">
        <v>47</v>
      </c>
      <c r="I3191" t="s">
        <v>11</v>
      </c>
      <c r="J3191" t="s">
        <v>7</v>
      </c>
      <c r="K3191" t="s">
        <v>35</v>
      </c>
      <c r="L3191" t="s">
        <v>44</v>
      </c>
      <c r="M3191" t="s">
        <v>19</v>
      </c>
      <c r="N3191">
        <v>6</v>
      </c>
      <c r="O3191">
        <v>1</v>
      </c>
      <c r="P3191">
        <v>5644.9</v>
      </c>
      <c r="Q3191">
        <v>4208.4399999999996</v>
      </c>
    </row>
    <row r="3192" spans="7:17" x14ac:dyDescent="0.25">
      <c r="G3192" t="str">
        <f t="shared" si="49"/>
        <v/>
      </c>
      <c r="H3192" t="s">
        <v>47</v>
      </c>
      <c r="I3192" t="s">
        <v>11</v>
      </c>
      <c r="J3192" t="s">
        <v>7</v>
      </c>
      <c r="K3192" t="s">
        <v>35</v>
      </c>
      <c r="L3192" t="s">
        <v>44</v>
      </c>
      <c r="M3192" t="s">
        <v>20</v>
      </c>
      <c r="N3192">
        <v>6</v>
      </c>
      <c r="O3192">
        <v>0</v>
      </c>
      <c r="P3192">
        <v>4635.2800000000007</v>
      </c>
      <c r="Q3192">
        <v>0</v>
      </c>
    </row>
    <row r="3193" spans="7:17" x14ac:dyDescent="0.25">
      <c r="G3193" t="str">
        <f t="shared" si="49"/>
        <v/>
      </c>
      <c r="H3193" t="s">
        <v>47</v>
      </c>
      <c r="I3193" t="s">
        <v>11</v>
      </c>
      <c r="J3193" t="s">
        <v>7</v>
      </c>
      <c r="K3193" t="s">
        <v>35</v>
      </c>
      <c r="L3193" t="s">
        <v>39</v>
      </c>
      <c r="M3193" t="s">
        <v>19</v>
      </c>
      <c r="N3193">
        <v>2</v>
      </c>
      <c r="O3193">
        <v>0</v>
      </c>
      <c r="P3193">
        <v>1723.04</v>
      </c>
      <c r="Q3193">
        <v>1722</v>
      </c>
    </row>
    <row r="3194" spans="7:17" x14ac:dyDescent="0.25">
      <c r="G3194" t="str">
        <f t="shared" si="49"/>
        <v/>
      </c>
      <c r="H3194" t="s">
        <v>47</v>
      </c>
      <c r="I3194" t="s">
        <v>11</v>
      </c>
      <c r="J3194" t="s">
        <v>7</v>
      </c>
      <c r="K3194" t="s">
        <v>35</v>
      </c>
      <c r="L3194" t="s">
        <v>39</v>
      </c>
      <c r="M3194" t="s">
        <v>20</v>
      </c>
      <c r="N3194">
        <v>4</v>
      </c>
      <c r="O3194">
        <v>2</v>
      </c>
      <c r="P3194">
        <v>2452.46</v>
      </c>
      <c r="Q3194">
        <v>0</v>
      </c>
    </row>
    <row r="3195" spans="7:17" x14ac:dyDescent="0.25">
      <c r="G3195" t="str">
        <f t="shared" si="49"/>
        <v/>
      </c>
      <c r="H3195" t="s">
        <v>47</v>
      </c>
      <c r="I3195" t="s">
        <v>11</v>
      </c>
      <c r="J3195" t="s">
        <v>7</v>
      </c>
      <c r="K3195" t="s">
        <v>35</v>
      </c>
      <c r="L3195" t="s">
        <v>40</v>
      </c>
      <c r="M3195" t="s">
        <v>20</v>
      </c>
      <c r="N3195">
        <v>6</v>
      </c>
      <c r="O3195">
        <v>1</v>
      </c>
      <c r="P3195">
        <v>5314.85</v>
      </c>
      <c r="Q3195">
        <v>0</v>
      </c>
    </row>
    <row r="3196" spans="7:17" x14ac:dyDescent="0.25">
      <c r="G3196" t="str">
        <f t="shared" si="49"/>
        <v/>
      </c>
      <c r="H3196" t="s">
        <v>47</v>
      </c>
      <c r="I3196" t="s">
        <v>11</v>
      </c>
      <c r="J3196" t="s">
        <v>7</v>
      </c>
      <c r="K3196" t="s">
        <v>35</v>
      </c>
      <c r="L3196" t="s">
        <v>41</v>
      </c>
      <c r="M3196" t="s">
        <v>19</v>
      </c>
      <c r="N3196">
        <v>1</v>
      </c>
      <c r="O3196">
        <v>1</v>
      </c>
      <c r="P3196">
        <v>432.18</v>
      </c>
      <c r="Q3196">
        <v>280</v>
      </c>
    </row>
    <row r="3197" spans="7:17" x14ac:dyDescent="0.25">
      <c r="G3197" t="str">
        <f t="shared" si="49"/>
        <v/>
      </c>
      <c r="H3197" t="s">
        <v>47</v>
      </c>
      <c r="I3197" t="s">
        <v>11</v>
      </c>
      <c r="J3197" t="s">
        <v>7</v>
      </c>
      <c r="K3197" t="s">
        <v>35</v>
      </c>
      <c r="L3197" t="s">
        <v>41</v>
      </c>
      <c r="M3197" t="s">
        <v>20</v>
      </c>
      <c r="N3197">
        <v>3</v>
      </c>
      <c r="O3197">
        <v>1</v>
      </c>
      <c r="P3197">
        <v>2486.3900000000003</v>
      </c>
      <c r="Q3197">
        <v>0</v>
      </c>
    </row>
    <row r="3198" spans="7:17" x14ac:dyDescent="0.25">
      <c r="G3198" t="str">
        <f t="shared" si="49"/>
        <v/>
      </c>
      <c r="H3198" t="s">
        <v>47</v>
      </c>
      <c r="I3198" t="s">
        <v>11</v>
      </c>
      <c r="J3198" t="s">
        <v>7</v>
      </c>
      <c r="K3198" t="s">
        <v>35</v>
      </c>
      <c r="L3198" t="s">
        <v>45</v>
      </c>
      <c r="M3198" t="s">
        <v>20</v>
      </c>
      <c r="N3198">
        <v>44</v>
      </c>
      <c r="O3198">
        <v>5</v>
      </c>
      <c r="P3198">
        <v>13277.439999999999</v>
      </c>
      <c r="Q3198">
        <v>0</v>
      </c>
    </row>
    <row r="3199" spans="7:17" x14ac:dyDescent="0.25">
      <c r="G3199" t="str">
        <f t="shared" si="49"/>
        <v/>
      </c>
      <c r="H3199" t="s">
        <v>47</v>
      </c>
      <c r="I3199" t="s">
        <v>11</v>
      </c>
      <c r="J3199" t="s">
        <v>7</v>
      </c>
      <c r="K3199" t="s">
        <v>36</v>
      </c>
      <c r="L3199" t="s">
        <v>42</v>
      </c>
      <c r="M3199" t="s">
        <v>19</v>
      </c>
      <c r="N3199">
        <v>109</v>
      </c>
      <c r="O3199">
        <v>1</v>
      </c>
      <c r="P3199">
        <v>19317.510000000002</v>
      </c>
      <c r="Q3199">
        <v>18769.690000000002</v>
      </c>
    </row>
    <row r="3200" spans="7:17" x14ac:dyDescent="0.25">
      <c r="G3200" t="str">
        <f t="shared" si="49"/>
        <v/>
      </c>
      <c r="H3200" t="s">
        <v>47</v>
      </c>
      <c r="I3200" t="s">
        <v>11</v>
      </c>
      <c r="J3200" t="s">
        <v>7</v>
      </c>
      <c r="K3200" t="s">
        <v>36</v>
      </c>
      <c r="L3200" t="s">
        <v>42</v>
      </c>
      <c r="M3200" t="s">
        <v>20</v>
      </c>
      <c r="N3200">
        <v>258</v>
      </c>
      <c r="O3200">
        <v>16</v>
      </c>
      <c r="P3200">
        <v>36780.939999999944</v>
      </c>
      <c r="Q3200">
        <v>0</v>
      </c>
    </row>
    <row r="3201" spans="7:17" x14ac:dyDescent="0.25">
      <c r="G3201" t="str">
        <f t="shared" si="49"/>
        <v/>
      </c>
      <c r="H3201" t="s">
        <v>47</v>
      </c>
      <c r="I3201" t="s">
        <v>11</v>
      </c>
      <c r="J3201" t="s">
        <v>7</v>
      </c>
      <c r="K3201" t="s">
        <v>36</v>
      </c>
      <c r="L3201" t="s">
        <v>43</v>
      </c>
      <c r="M3201" t="s">
        <v>19</v>
      </c>
      <c r="N3201">
        <v>50</v>
      </c>
      <c r="O3201">
        <v>3</v>
      </c>
      <c r="P3201">
        <v>32409.679999999997</v>
      </c>
      <c r="Q3201">
        <v>27788.620000000006</v>
      </c>
    </row>
    <row r="3202" spans="7:17" x14ac:dyDescent="0.25">
      <c r="G3202" t="str">
        <f t="shared" ref="G3202:G3265" si="50">IF(G$1="Overall","Overall",IF(G$1=L3202,L3202,""))</f>
        <v/>
      </c>
      <c r="H3202" t="s">
        <v>47</v>
      </c>
      <c r="I3202" t="s">
        <v>11</v>
      </c>
      <c r="J3202" t="s">
        <v>7</v>
      </c>
      <c r="K3202" t="s">
        <v>36</v>
      </c>
      <c r="L3202" t="s">
        <v>43</v>
      </c>
      <c r="M3202" t="s">
        <v>20</v>
      </c>
      <c r="N3202">
        <v>637</v>
      </c>
      <c r="O3202">
        <v>5</v>
      </c>
      <c r="P3202">
        <v>407436.02000000165</v>
      </c>
      <c r="Q3202">
        <v>0</v>
      </c>
    </row>
    <row r="3203" spans="7:17" x14ac:dyDescent="0.25">
      <c r="G3203" t="str">
        <f t="shared" si="50"/>
        <v/>
      </c>
      <c r="H3203" t="s">
        <v>47</v>
      </c>
      <c r="I3203" t="s">
        <v>11</v>
      </c>
      <c r="J3203" t="s">
        <v>7</v>
      </c>
      <c r="K3203" t="s">
        <v>36</v>
      </c>
      <c r="L3203" t="s">
        <v>44</v>
      </c>
      <c r="M3203" t="s">
        <v>19</v>
      </c>
      <c r="N3203">
        <v>18</v>
      </c>
      <c r="O3203">
        <v>3</v>
      </c>
      <c r="P3203">
        <v>11309.55</v>
      </c>
      <c r="Q3203">
        <v>8898.92</v>
      </c>
    </row>
    <row r="3204" spans="7:17" x14ac:dyDescent="0.25">
      <c r="G3204" t="str">
        <f t="shared" si="50"/>
        <v/>
      </c>
      <c r="H3204" t="s">
        <v>47</v>
      </c>
      <c r="I3204" t="s">
        <v>11</v>
      </c>
      <c r="J3204" t="s">
        <v>7</v>
      </c>
      <c r="K3204" t="s">
        <v>36</v>
      </c>
      <c r="L3204" t="s">
        <v>44</v>
      </c>
      <c r="M3204" t="s">
        <v>20</v>
      </c>
      <c r="N3204">
        <v>12</v>
      </c>
      <c r="O3204">
        <v>4</v>
      </c>
      <c r="P3204">
        <v>8385.18</v>
      </c>
      <c r="Q3204">
        <v>0</v>
      </c>
    </row>
    <row r="3205" spans="7:17" x14ac:dyDescent="0.25">
      <c r="G3205" t="str">
        <f t="shared" si="50"/>
        <v/>
      </c>
      <c r="H3205" t="s">
        <v>47</v>
      </c>
      <c r="I3205" t="s">
        <v>11</v>
      </c>
      <c r="J3205" t="s">
        <v>7</v>
      </c>
      <c r="K3205" t="s">
        <v>36</v>
      </c>
      <c r="L3205" t="s">
        <v>39</v>
      </c>
      <c r="M3205" t="s">
        <v>19</v>
      </c>
      <c r="N3205">
        <v>3</v>
      </c>
      <c r="O3205">
        <v>1</v>
      </c>
      <c r="P3205">
        <v>2167.21</v>
      </c>
      <c r="Q3205">
        <v>2167.21</v>
      </c>
    </row>
    <row r="3206" spans="7:17" x14ac:dyDescent="0.25">
      <c r="G3206" t="str">
        <f t="shared" si="50"/>
        <v/>
      </c>
      <c r="H3206" t="s">
        <v>47</v>
      </c>
      <c r="I3206" t="s">
        <v>11</v>
      </c>
      <c r="J3206" t="s">
        <v>7</v>
      </c>
      <c r="K3206" t="s">
        <v>36</v>
      </c>
      <c r="L3206" t="s">
        <v>39</v>
      </c>
      <c r="M3206" t="s">
        <v>20</v>
      </c>
      <c r="N3206">
        <v>6</v>
      </c>
      <c r="O3206">
        <v>4</v>
      </c>
      <c r="P3206">
        <v>1243.1599999999999</v>
      </c>
      <c r="Q3206">
        <v>0</v>
      </c>
    </row>
    <row r="3207" spans="7:17" x14ac:dyDescent="0.25">
      <c r="G3207" t="str">
        <f t="shared" si="50"/>
        <v/>
      </c>
      <c r="H3207" t="s">
        <v>47</v>
      </c>
      <c r="I3207" t="s">
        <v>11</v>
      </c>
      <c r="J3207" t="s">
        <v>7</v>
      </c>
      <c r="K3207" t="s">
        <v>36</v>
      </c>
      <c r="L3207" t="s">
        <v>40</v>
      </c>
      <c r="M3207" t="s">
        <v>19</v>
      </c>
      <c r="N3207">
        <v>2</v>
      </c>
      <c r="O3207">
        <v>1</v>
      </c>
      <c r="P3207">
        <v>1069.3599999999999</v>
      </c>
      <c r="Q3207">
        <v>937.76</v>
      </c>
    </row>
    <row r="3208" spans="7:17" x14ac:dyDescent="0.25">
      <c r="G3208" t="str">
        <f t="shared" si="50"/>
        <v/>
      </c>
      <c r="H3208" t="s">
        <v>47</v>
      </c>
      <c r="I3208" t="s">
        <v>11</v>
      </c>
      <c r="J3208" t="s">
        <v>7</v>
      </c>
      <c r="K3208" t="s">
        <v>36</v>
      </c>
      <c r="L3208" t="s">
        <v>40</v>
      </c>
      <c r="M3208" t="s">
        <v>20</v>
      </c>
      <c r="N3208">
        <v>17</v>
      </c>
      <c r="O3208">
        <v>0</v>
      </c>
      <c r="P3208">
        <v>5386.13</v>
      </c>
      <c r="Q3208">
        <v>0</v>
      </c>
    </row>
    <row r="3209" spans="7:17" x14ac:dyDescent="0.25">
      <c r="G3209" t="str">
        <f t="shared" si="50"/>
        <v/>
      </c>
      <c r="H3209" t="s">
        <v>47</v>
      </c>
      <c r="I3209" t="s">
        <v>11</v>
      </c>
      <c r="J3209" t="s">
        <v>7</v>
      </c>
      <c r="K3209" t="s">
        <v>36</v>
      </c>
      <c r="L3209" t="s">
        <v>41</v>
      </c>
      <c r="M3209" t="s">
        <v>19</v>
      </c>
      <c r="N3209">
        <v>1</v>
      </c>
      <c r="O3209">
        <v>0</v>
      </c>
      <c r="P3209">
        <v>960.36</v>
      </c>
      <c r="Q3209">
        <v>750</v>
      </c>
    </row>
    <row r="3210" spans="7:17" x14ac:dyDescent="0.25">
      <c r="G3210" t="str">
        <f t="shared" si="50"/>
        <v/>
      </c>
      <c r="H3210" t="s">
        <v>47</v>
      </c>
      <c r="I3210" t="s">
        <v>11</v>
      </c>
      <c r="J3210" t="s">
        <v>7</v>
      </c>
      <c r="K3210" t="s">
        <v>36</v>
      </c>
      <c r="L3210" t="s">
        <v>41</v>
      </c>
      <c r="M3210" t="s">
        <v>20</v>
      </c>
      <c r="N3210">
        <v>5</v>
      </c>
      <c r="O3210">
        <v>0</v>
      </c>
      <c r="P3210">
        <v>3651.08</v>
      </c>
      <c r="Q3210">
        <v>0</v>
      </c>
    </row>
    <row r="3211" spans="7:17" x14ac:dyDescent="0.25">
      <c r="G3211" t="str">
        <f t="shared" si="50"/>
        <v/>
      </c>
      <c r="H3211" t="s">
        <v>47</v>
      </c>
      <c r="I3211" t="s">
        <v>11</v>
      </c>
      <c r="J3211" t="s">
        <v>7</v>
      </c>
      <c r="K3211" t="s">
        <v>36</v>
      </c>
      <c r="L3211" t="s">
        <v>45</v>
      </c>
      <c r="M3211" t="s">
        <v>19</v>
      </c>
      <c r="N3211">
        <v>1</v>
      </c>
      <c r="O3211">
        <v>0</v>
      </c>
      <c r="P3211">
        <v>182.97</v>
      </c>
      <c r="Q3211">
        <v>182.97</v>
      </c>
    </row>
    <row r="3212" spans="7:17" x14ac:dyDescent="0.25">
      <c r="G3212" t="str">
        <f t="shared" si="50"/>
        <v/>
      </c>
      <c r="H3212" t="s">
        <v>47</v>
      </c>
      <c r="I3212" t="s">
        <v>11</v>
      </c>
      <c r="J3212" t="s">
        <v>7</v>
      </c>
      <c r="K3212" t="s">
        <v>36</v>
      </c>
      <c r="L3212" t="s">
        <v>45</v>
      </c>
      <c r="M3212" t="s">
        <v>20</v>
      </c>
      <c r="N3212">
        <v>29</v>
      </c>
      <c r="O3212">
        <v>12</v>
      </c>
      <c r="P3212">
        <v>7059.8300000000017</v>
      </c>
      <c r="Q3212">
        <v>0</v>
      </c>
    </row>
    <row r="3213" spans="7:17" x14ac:dyDescent="0.25">
      <c r="G3213" t="str">
        <f t="shared" si="50"/>
        <v/>
      </c>
      <c r="H3213" t="s">
        <v>47</v>
      </c>
      <c r="I3213" t="s">
        <v>11</v>
      </c>
      <c r="J3213" t="s">
        <v>7</v>
      </c>
      <c r="K3213" t="s">
        <v>37</v>
      </c>
      <c r="L3213" t="s">
        <v>42</v>
      </c>
      <c r="M3213" t="s">
        <v>19</v>
      </c>
      <c r="N3213">
        <v>59</v>
      </c>
      <c r="O3213">
        <v>1</v>
      </c>
      <c r="P3213">
        <v>18218.579999999994</v>
      </c>
      <c r="Q3213">
        <v>18210.269999999997</v>
      </c>
    </row>
    <row r="3214" spans="7:17" x14ac:dyDescent="0.25">
      <c r="G3214" t="str">
        <f t="shared" si="50"/>
        <v/>
      </c>
      <c r="H3214" t="s">
        <v>47</v>
      </c>
      <c r="I3214" t="s">
        <v>11</v>
      </c>
      <c r="J3214" t="s">
        <v>7</v>
      </c>
      <c r="K3214" t="s">
        <v>37</v>
      </c>
      <c r="L3214" t="s">
        <v>42</v>
      </c>
      <c r="M3214" t="s">
        <v>20</v>
      </c>
      <c r="N3214">
        <v>196</v>
      </c>
      <c r="O3214">
        <v>10</v>
      </c>
      <c r="P3214">
        <v>26897.579999999976</v>
      </c>
      <c r="Q3214">
        <v>0</v>
      </c>
    </row>
    <row r="3215" spans="7:17" x14ac:dyDescent="0.25">
      <c r="G3215" t="str">
        <f t="shared" si="50"/>
        <v/>
      </c>
      <c r="H3215" t="s">
        <v>47</v>
      </c>
      <c r="I3215" t="s">
        <v>11</v>
      </c>
      <c r="J3215" t="s">
        <v>7</v>
      </c>
      <c r="K3215" t="s">
        <v>37</v>
      </c>
      <c r="L3215" t="s">
        <v>43</v>
      </c>
      <c r="M3215" t="s">
        <v>19</v>
      </c>
      <c r="N3215">
        <v>33</v>
      </c>
      <c r="O3215">
        <v>5</v>
      </c>
      <c r="P3215">
        <v>8620.6299999999992</v>
      </c>
      <c r="Q3215">
        <v>8615.5499999999993</v>
      </c>
    </row>
    <row r="3216" spans="7:17" x14ac:dyDescent="0.25">
      <c r="G3216" t="str">
        <f t="shared" si="50"/>
        <v/>
      </c>
      <c r="H3216" t="s">
        <v>47</v>
      </c>
      <c r="I3216" t="s">
        <v>11</v>
      </c>
      <c r="J3216" t="s">
        <v>7</v>
      </c>
      <c r="K3216" t="s">
        <v>37</v>
      </c>
      <c r="L3216" t="s">
        <v>43</v>
      </c>
      <c r="M3216" t="s">
        <v>20</v>
      </c>
      <c r="N3216">
        <v>36</v>
      </c>
      <c r="O3216">
        <v>5</v>
      </c>
      <c r="P3216">
        <v>21171.739999999998</v>
      </c>
      <c r="Q3216">
        <v>0</v>
      </c>
    </row>
    <row r="3217" spans="7:17" x14ac:dyDescent="0.25">
      <c r="G3217" t="str">
        <f t="shared" si="50"/>
        <v/>
      </c>
      <c r="H3217" t="s">
        <v>47</v>
      </c>
      <c r="I3217" t="s">
        <v>11</v>
      </c>
      <c r="J3217" t="s">
        <v>7</v>
      </c>
      <c r="K3217" t="s">
        <v>37</v>
      </c>
      <c r="L3217" t="s">
        <v>44</v>
      </c>
      <c r="M3217" t="s">
        <v>19</v>
      </c>
      <c r="N3217">
        <v>1</v>
      </c>
      <c r="O3217">
        <v>1</v>
      </c>
      <c r="P3217">
        <v>1469.93</v>
      </c>
      <c r="Q3217">
        <v>1469.93</v>
      </c>
    </row>
    <row r="3218" spans="7:17" x14ac:dyDescent="0.25">
      <c r="G3218" t="str">
        <f t="shared" si="50"/>
        <v/>
      </c>
      <c r="H3218" t="s">
        <v>47</v>
      </c>
      <c r="I3218" t="s">
        <v>11</v>
      </c>
      <c r="J3218" t="s">
        <v>7</v>
      </c>
      <c r="K3218" t="s">
        <v>37</v>
      </c>
      <c r="L3218" t="s">
        <v>44</v>
      </c>
      <c r="M3218" t="s">
        <v>20</v>
      </c>
      <c r="N3218">
        <v>3</v>
      </c>
      <c r="O3218">
        <v>3</v>
      </c>
      <c r="P3218">
        <v>1653.07</v>
      </c>
      <c r="Q3218">
        <v>0</v>
      </c>
    </row>
    <row r="3219" spans="7:17" x14ac:dyDescent="0.25">
      <c r="G3219" t="str">
        <f t="shared" si="50"/>
        <v/>
      </c>
      <c r="H3219" t="s">
        <v>47</v>
      </c>
      <c r="I3219" t="s">
        <v>11</v>
      </c>
      <c r="J3219" t="s">
        <v>7</v>
      </c>
      <c r="K3219" t="s">
        <v>37</v>
      </c>
      <c r="L3219" t="s">
        <v>39</v>
      </c>
      <c r="M3219" t="s">
        <v>20</v>
      </c>
      <c r="N3219">
        <v>8</v>
      </c>
      <c r="O3219">
        <v>4</v>
      </c>
      <c r="P3219">
        <v>2360.41</v>
      </c>
      <c r="Q3219">
        <v>0</v>
      </c>
    </row>
    <row r="3220" spans="7:17" x14ac:dyDescent="0.25">
      <c r="G3220" t="str">
        <f t="shared" si="50"/>
        <v/>
      </c>
      <c r="H3220" t="s">
        <v>47</v>
      </c>
      <c r="I3220" t="s">
        <v>11</v>
      </c>
      <c r="J3220" t="s">
        <v>7</v>
      </c>
      <c r="K3220" t="s">
        <v>37</v>
      </c>
      <c r="L3220" t="s">
        <v>40</v>
      </c>
      <c r="M3220" t="s">
        <v>20</v>
      </c>
      <c r="N3220">
        <v>10</v>
      </c>
      <c r="O3220">
        <v>1</v>
      </c>
      <c r="P3220">
        <v>2763.37</v>
      </c>
      <c r="Q3220">
        <v>0</v>
      </c>
    </row>
    <row r="3221" spans="7:17" x14ac:dyDescent="0.25">
      <c r="G3221" t="str">
        <f t="shared" si="50"/>
        <v/>
      </c>
      <c r="H3221" t="s">
        <v>47</v>
      </c>
      <c r="I3221" t="s">
        <v>11</v>
      </c>
      <c r="J3221" t="s">
        <v>7</v>
      </c>
      <c r="K3221" t="s">
        <v>37</v>
      </c>
      <c r="L3221" t="s">
        <v>41</v>
      </c>
      <c r="M3221" t="s">
        <v>20</v>
      </c>
      <c r="N3221">
        <v>2</v>
      </c>
      <c r="O3221">
        <v>0</v>
      </c>
      <c r="P3221">
        <v>1202.08</v>
      </c>
      <c r="Q3221">
        <v>0</v>
      </c>
    </row>
    <row r="3222" spans="7:17" x14ac:dyDescent="0.25">
      <c r="G3222" t="str">
        <f t="shared" si="50"/>
        <v/>
      </c>
      <c r="H3222" t="s">
        <v>47</v>
      </c>
      <c r="I3222" t="s">
        <v>11</v>
      </c>
      <c r="J3222" t="s">
        <v>7</v>
      </c>
      <c r="K3222" t="s">
        <v>37</v>
      </c>
      <c r="L3222" t="s">
        <v>45</v>
      </c>
      <c r="M3222" t="s">
        <v>20</v>
      </c>
      <c r="N3222">
        <v>31</v>
      </c>
      <c r="O3222">
        <v>13</v>
      </c>
      <c r="P3222">
        <v>38006.080000000002</v>
      </c>
      <c r="Q3222">
        <v>0</v>
      </c>
    </row>
    <row r="3223" spans="7:17" x14ac:dyDescent="0.25">
      <c r="G3223" t="str">
        <f t="shared" si="50"/>
        <v/>
      </c>
      <c r="H3223" t="s">
        <v>47</v>
      </c>
      <c r="I3223" t="s">
        <v>11</v>
      </c>
      <c r="J3223" t="s">
        <v>7</v>
      </c>
      <c r="K3223" t="s">
        <v>38</v>
      </c>
      <c r="L3223" t="s">
        <v>42</v>
      </c>
      <c r="M3223" t="s">
        <v>19</v>
      </c>
      <c r="N3223">
        <v>744</v>
      </c>
      <c r="O3223">
        <v>3</v>
      </c>
      <c r="P3223">
        <v>341603.82000000158</v>
      </c>
      <c r="Q3223">
        <v>326693.61000000074</v>
      </c>
    </row>
    <row r="3224" spans="7:17" x14ac:dyDescent="0.25">
      <c r="G3224" t="str">
        <f t="shared" si="50"/>
        <v/>
      </c>
      <c r="H3224" t="s">
        <v>47</v>
      </c>
      <c r="I3224" t="s">
        <v>11</v>
      </c>
      <c r="J3224" t="s">
        <v>7</v>
      </c>
      <c r="K3224" t="s">
        <v>38</v>
      </c>
      <c r="L3224" t="s">
        <v>42</v>
      </c>
      <c r="M3224" t="s">
        <v>20</v>
      </c>
      <c r="N3224">
        <v>39</v>
      </c>
      <c r="O3224">
        <v>5</v>
      </c>
      <c r="P3224">
        <v>13413.539999999997</v>
      </c>
      <c r="Q3224">
        <v>0</v>
      </c>
    </row>
    <row r="3225" spans="7:17" x14ac:dyDescent="0.25">
      <c r="G3225" t="str">
        <f t="shared" si="50"/>
        <v/>
      </c>
      <c r="H3225" t="s">
        <v>47</v>
      </c>
      <c r="I3225" t="s">
        <v>11</v>
      </c>
      <c r="J3225" t="s">
        <v>7</v>
      </c>
      <c r="K3225" t="s">
        <v>38</v>
      </c>
      <c r="L3225" t="s">
        <v>43</v>
      </c>
      <c r="M3225" t="s">
        <v>19</v>
      </c>
      <c r="N3225">
        <v>81</v>
      </c>
      <c r="O3225">
        <v>3</v>
      </c>
      <c r="P3225">
        <v>126797.05000000003</v>
      </c>
      <c r="Q3225">
        <v>112532.25000000001</v>
      </c>
    </row>
    <row r="3226" spans="7:17" x14ac:dyDescent="0.25">
      <c r="G3226" t="str">
        <f t="shared" si="50"/>
        <v/>
      </c>
      <c r="H3226" t="s">
        <v>47</v>
      </c>
      <c r="I3226" t="s">
        <v>11</v>
      </c>
      <c r="J3226" t="s">
        <v>7</v>
      </c>
      <c r="K3226" t="s">
        <v>38</v>
      </c>
      <c r="L3226" t="s">
        <v>43</v>
      </c>
      <c r="M3226" t="s">
        <v>20</v>
      </c>
      <c r="N3226">
        <v>14</v>
      </c>
      <c r="O3226">
        <v>3</v>
      </c>
      <c r="P3226">
        <v>8919.0899999999983</v>
      </c>
      <c r="Q3226">
        <v>0</v>
      </c>
    </row>
    <row r="3227" spans="7:17" x14ac:dyDescent="0.25">
      <c r="G3227" t="str">
        <f t="shared" si="50"/>
        <v/>
      </c>
      <c r="H3227" t="s">
        <v>47</v>
      </c>
      <c r="I3227" t="s">
        <v>11</v>
      </c>
      <c r="J3227" t="s">
        <v>7</v>
      </c>
      <c r="K3227" t="s">
        <v>38</v>
      </c>
      <c r="L3227" t="s">
        <v>44</v>
      </c>
      <c r="M3227" t="s">
        <v>19</v>
      </c>
      <c r="N3227">
        <v>44</v>
      </c>
      <c r="O3227">
        <v>3</v>
      </c>
      <c r="P3227">
        <v>69439.77</v>
      </c>
      <c r="Q3227">
        <v>27621.579999999998</v>
      </c>
    </row>
    <row r="3228" spans="7:17" x14ac:dyDescent="0.25">
      <c r="G3228" t="str">
        <f t="shared" si="50"/>
        <v/>
      </c>
      <c r="H3228" t="s">
        <v>47</v>
      </c>
      <c r="I3228" t="s">
        <v>11</v>
      </c>
      <c r="J3228" t="s">
        <v>7</v>
      </c>
      <c r="K3228" t="s">
        <v>38</v>
      </c>
      <c r="L3228" t="s">
        <v>44</v>
      </c>
      <c r="M3228" t="s">
        <v>20</v>
      </c>
      <c r="N3228">
        <v>2</v>
      </c>
      <c r="O3228">
        <v>1</v>
      </c>
      <c r="P3228">
        <v>2068.54</v>
      </c>
      <c r="Q3228">
        <v>0</v>
      </c>
    </row>
    <row r="3229" spans="7:17" x14ac:dyDescent="0.25">
      <c r="G3229" t="str">
        <f t="shared" si="50"/>
        <v/>
      </c>
      <c r="H3229" t="s">
        <v>47</v>
      </c>
      <c r="I3229" t="s">
        <v>11</v>
      </c>
      <c r="J3229" t="s">
        <v>7</v>
      </c>
      <c r="K3229" t="s">
        <v>38</v>
      </c>
      <c r="L3229" t="s">
        <v>39</v>
      </c>
      <c r="M3229" t="s">
        <v>20</v>
      </c>
      <c r="N3229">
        <v>1</v>
      </c>
      <c r="O3229">
        <v>1</v>
      </c>
      <c r="P3229">
        <v>1833.24</v>
      </c>
      <c r="Q3229">
        <v>0</v>
      </c>
    </row>
    <row r="3230" spans="7:17" x14ac:dyDescent="0.25">
      <c r="G3230" t="str">
        <f t="shared" si="50"/>
        <v/>
      </c>
      <c r="H3230" t="s">
        <v>47</v>
      </c>
      <c r="I3230" t="s">
        <v>11</v>
      </c>
      <c r="J3230" t="s">
        <v>7</v>
      </c>
      <c r="K3230" t="s">
        <v>38</v>
      </c>
      <c r="L3230" t="s">
        <v>40</v>
      </c>
      <c r="M3230" t="s">
        <v>19</v>
      </c>
      <c r="N3230">
        <v>1</v>
      </c>
      <c r="O3230">
        <v>0</v>
      </c>
      <c r="P3230">
        <v>1293.28</v>
      </c>
      <c r="Q3230">
        <v>1293.28</v>
      </c>
    </row>
    <row r="3231" spans="7:17" x14ac:dyDescent="0.25">
      <c r="G3231" t="str">
        <f t="shared" si="50"/>
        <v/>
      </c>
      <c r="H3231" t="s">
        <v>47</v>
      </c>
      <c r="I3231" t="s">
        <v>11</v>
      </c>
      <c r="J3231" t="s">
        <v>7</v>
      </c>
      <c r="K3231" t="s">
        <v>38</v>
      </c>
      <c r="L3231" t="s">
        <v>40</v>
      </c>
      <c r="M3231" t="s">
        <v>20</v>
      </c>
      <c r="N3231">
        <v>2</v>
      </c>
      <c r="O3231">
        <v>0</v>
      </c>
      <c r="P3231">
        <v>2283.13</v>
      </c>
      <c r="Q3231">
        <v>0</v>
      </c>
    </row>
    <row r="3232" spans="7:17" x14ac:dyDescent="0.25">
      <c r="G3232" t="str">
        <f t="shared" si="50"/>
        <v/>
      </c>
      <c r="H3232" t="s">
        <v>47</v>
      </c>
      <c r="I3232" t="s">
        <v>11</v>
      </c>
      <c r="J3232" t="s">
        <v>7</v>
      </c>
      <c r="K3232" t="s">
        <v>38</v>
      </c>
      <c r="L3232" t="s">
        <v>45</v>
      </c>
      <c r="M3232" t="s">
        <v>20</v>
      </c>
      <c r="N3232">
        <v>28</v>
      </c>
      <c r="O3232">
        <v>8</v>
      </c>
      <c r="P3232">
        <v>27404.199999999993</v>
      </c>
      <c r="Q3232">
        <v>0</v>
      </c>
    </row>
    <row r="3233" spans="7:17" x14ac:dyDescent="0.25">
      <c r="G3233" t="str">
        <f t="shared" si="50"/>
        <v/>
      </c>
      <c r="H3233" t="s">
        <v>47</v>
      </c>
      <c r="I3233" t="s">
        <v>11</v>
      </c>
      <c r="J3233" t="s">
        <v>4</v>
      </c>
      <c r="K3233" t="s">
        <v>23</v>
      </c>
      <c r="L3233" t="s">
        <v>42</v>
      </c>
      <c r="M3233" t="s">
        <v>19</v>
      </c>
      <c r="N3233">
        <v>247</v>
      </c>
      <c r="O3233">
        <v>7</v>
      </c>
      <c r="P3233">
        <v>66875.790000000037</v>
      </c>
      <c r="Q3233">
        <v>64230.700000000026</v>
      </c>
    </row>
    <row r="3234" spans="7:17" x14ac:dyDescent="0.25">
      <c r="G3234" t="str">
        <f t="shared" si="50"/>
        <v/>
      </c>
      <c r="H3234" t="s">
        <v>47</v>
      </c>
      <c r="I3234" t="s">
        <v>11</v>
      </c>
      <c r="J3234" t="s">
        <v>4</v>
      </c>
      <c r="K3234" t="s">
        <v>23</v>
      </c>
      <c r="L3234" t="s">
        <v>42</v>
      </c>
      <c r="M3234" t="s">
        <v>20</v>
      </c>
      <c r="N3234">
        <v>135</v>
      </c>
      <c r="O3234">
        <v>4</v>
      </c>
      <c r="P3234">
        <v>30034.459999999992</v>
      </c>
      <c r="Q3234">
        <v>0</v>
      </c>
    </row>
    <row r="3235" spans="7:17" x14ac:dyDescent="0.25">
      <c r="G3235" t="str">
        <f t="shared" si="50"/>
        <v/>
      </c>
      <c r="H3235" t="s">
        <v>47</v>
      </c>
      <c r="I3235" t="s">
        <v>11</v>
      </c>
      <c r="J3235" t="s">
        <v>4</v>
      </c>
      <c r="K3235" t="s">
        <v>23</v>
      </c>
      <c r="L3235" t="s">
        <v>43</v>
      </c>
      <c r="M3235" t="s">
        <v>19</v>
      </c>
      <c r="N3235">
        <v>205</v>
      </c>
      <c r="O3235">
        <v>5</v>
      </c>
      <c r="P3235">
        <v>158580.92000000004</v>
      </c>
      <c r="Q3235">
        <v>117614.60000000006</v>
      </c>
    </row>
    <row r="3236" spans="7:17" x14ac:dyDescent="0.25">
      <c r="G3236" t="str">
        <f t="shared" si="50"/>
        <v/>
      </c>
      <c r="H3236" t="s">
        <v>47</v>
      </c>
      <c r="I3236" t="s">
        <v>11</v>
      </c>
      <c r="J3236" t="s">
        <v>4</v>
      </c>
      <c r="K3236" t="s">
        <v>23</v>
      </c>
      <c r="L3236" t="s">
        <v>43</v>
      </c>
      <c r="M3236" t="s">
        <v>20</v>
      </c>
      <c r="N3236">
        <v>64</v>
      </c>
      <c r="O3236">
        <v>6</v>
      </c>
      <c r="P3236">
        <v>30779.210000000003</v>
      </c>
      <c r="Q3236">
        <v>0</v>
      </c>
    </row>
    <row r="3237" spans="7:17" x14ac:dyDescent="0.25">
      <c r="G3237" t="str">
        <f t="shared" si="50"/>
        <v/>
      </c>
      <c r="H3237" t="s">
        <v>47</v>
      </c>
      <c r="I3237" t="s">
        <v>11</v>
      </c>
      <c r="J3237" t="s">
        <v>4</v>
      </c>
      <c r="K3237" t="s">
        <v>23</v>
      </c>
      <c r="L3237" t="s">
        <v>44</v>
      </c>
      <c r="M3237" t="s">
        <v>19</v>
      </c>
      <c r="N3237">
        <v>74</v>
      </c>
      <c r="O3237">
        <v>7</v>
      </c>
      <c r="P3237">
        <v>87740.73000000001</v>
      </c>
      <c r="Q3237">
        <v>68930.970000000016</v>
      </c>
    </row>
    <row r="3238" spans="7:17" x14ac:dyDescent="0.25">
      <c r="G3238" t="str">
        <f t="shared" si="50"/>
        <v/>
      </c>
      <c r="H3238" t="s">
        <v>47</v>
      </c>
      <c r="I3238" t="s">
        <v>11</v>
      </c>
      <c r="J3238" t="s">
        <v>4</v>
      </c>
      <c r="K3238" t="s">
        <v>23</v>
      </c>
      <c r="L3238" t="s">
        <v>44</v>
      </c>
      <c r="M3238" t="s">
        <v>20</v>
      </c>
      <c r="N3238">
        <v>134</v>
      </c>
      <c r="O3238">
        <v>7</v>
      </c>
      <c r="P3238">
        <v>134643.50999999986</v>
      </c>
      <c r="Q3238">
        <v>0</v>
      </c>
    </row>
    <row r="3239" spans="7:17" x14ac:dyDescent="0.25">
      <c r="G3239" t="str">
        <f t="shared" si="50"/>
        <v/>
      </c>
      <c r="H3239" t="s">
        <v>47</v>
      </c>
      <c r="I3239" t="s">
        <v>11</v>
      </c>
      <c r="J3239" t="s">
        <v>4</v>
      </c>
      <c r="K3239" t="s">
        <v>23</v>
      </c>
      <c r="L3239" t="s">
        <v>39</v>
      </c>
      <c r="M3239" t="s">
        <v>19</v>
      </c>
      <c r="N3239">
        <v>19</v>
      </c>
      <c r="O3239">
        <v>2</v>
      </c>
      <c r="P3239">
        <v>34574.769999999997</v>
      </c>
      <c r="Q3239">
        <v>19512.759999999998</v>
      </c>
    </row>
    <row r="3240" spans="7:17" x14ac:dyDescent="0.25">
      <c r="G3240" t="str">
        <f t="shared" si="50"/>
        <v/>
      </c>
      <c r="H3240" t="s">
        <v>47</v>
      </c>
      <c r="I3240" t="s">
        <v>11</v>
      </c>
      <c r="J3240" t="s">
        <v>4</v>
      </c>
      <c r="K3240" t="s">
        <v>23</v>
      </c>
      <c r="L3240" t="s">
        <v>39</v>
      </c>
      <c r="M3240" t="s">
        <v>20</v>
      </c>
      <c r="N3240">
        <v>20</v>
      </c>
      <c r="O3240">
        <v>9</v>
      </c>
      <c r="P3240">
        <v>8662.3999999999978</v>
      </c>
      <c r="Q3240">
        <v>0</v>
      </c>
    </row>
    <row r="3241" spans="7:17" x14ac:dyDescent="0.25">
      <c r="G3241" t="str">
        <f t="shared" si="50"/>
        <v/>
      </c>
      <c r="H3241" t="s">
        <v>47</v>
      </c>
      <c r="I3241" t="s">
        <v>11</v>
      </c>
      <c r="J3241" t="s">
        <v>4</v>
      </c>
      <c r="K3241" t="s">
        <v>23</v>
      </c>
      <c r="L3241" t="s">
        <v>40</v>
      </c>
      <c r="M3241" t="s">
        <v>19</v>
      </c>
      <c r="N3241">
        <v>2</v>
      </c>
      <c r="O3241">
        <v>0</v>
      </c>
      <c r="P3241">
        <v>2171.66</v>
      </c>
      <c r="Q3241">
        <v>1631.77</v>
      </c>
    </row>
    <row r="3242" spans="7:17" x14ac:dyDescent="0.25">
      <c r="G3242" t="str">
        <f t="shared" si="50"/>
        <v/>
      </c>
      <c r="H3242" t="s">
        <v>47</v>
      </c>
      <c r="I3242" t="s">
        <v>11</v>
      </c>
      <c r="J3242" t="s">
        <v>4</v>
      </c>
      <c r="K3242" t="s">
        <v>23</v>
      </c>
      <c r="L3242" t="s">
        <v>40</v>
      </c>
      <c r="M3242" t="s">
        <v>20</v>
      </c>
      <c r="N3242">
        <v>15</v>
      </c>
      <c r="O3242">
        <v>1</v>
      </c>
      <c r="P3242">
        <v>8665.4800000000014</v>
      </c>
      <c r="Q3242">
        <v>0</v>
      </c>
    </row>
    <row r="3243" spans="7:17" x14ac:dyDescent="0.25">
      <c r="G3243" t="str">
        <f t="shared" si="50"/>
        <v/>
      </c>
      <c r="H3243" t="s">
        <v>47</v>
      </c>
      <c r="I3243" t="s">
        <v>11</v>
      </c>
      <c r="J3243" t="s">
        <v>4</v>
      </c>
      <c r="K3243" t="s">
        <v>23</v>
      </c>
      <c r="L3243" t="s">
        <v>41</v>
      </c>
      <c r="M3243" t="s">
        <v>19</v>
      </c>
      <c r="N3243">
        <v>4</v>
      </c>
      <c r="O3243">
        <v>0</v>
      </c>
      <c r="P3243">
        <v>12819.73</v>
      </c>
      <c r="Q3243">
        <v>7016.619999999999</v>
      </c>
    </row>
    <row r="3244" spans="7:17" x14ac:dyDescent="0.25">
      <c r="G3244" t="str">
        <f t="shared" si="50"/>
        <v/>
      </c>
      <c r="H3244" t="s">
        <v>47</v>
      </c>
      <c r="I3244" t="s">
        <v>11</v>
      </c>
      <c r="J3244" t="s">
        <v>4</v>
      </c>
      <c r="K3244" t="s">
        <v>23</v>
      </c>
      <c r="L3244" t="s">
        <v>41</v>
      </c>
      <c r="M3244" t="s">
        <v>20</v>
      </c>
      <c r="N3244">
        <v>10</v>
      </c>
      <c r="O3244">
        <v>0</v>
      </c>
      <c r="P3244">
        <v>3371.53</v>
      </c>
      <c r="Q3244">
        <v>0</v>
      </c>
    </row>
    <row r="3245" spans="7:17" x14ac:dyDescent="0.25">
      <c r="G3245" t="str">
        <f t="shared" si="50"/>
        <v/>
      </c>
      <c r="H3245" t="s">
        <v>47</v>
      </c>
      <c r="I3245" t="s">
        <v>11</v>
      </c>
      <c r="J3245" t="s">
        <v>4</v>
      </c>
      <c r="K3245" t="s">
        <v>23</v>
      </c>
      <c r="L3245" t="s">
        <v>45</v>
      </c>
      <c r="M3245" t="s">
        <v>19</v>
      </c>
      <c r="N3245">
        <v>3</v>
      </c>
      <c r="O3245">
        <v>0</v>
      </c>
      <c r="P3245">
        <v>621.2600000000001</v>
      </c>
      <c r="Q3245">
        <v>621.2600000000001</v>
      </c>
    </row>
    <row r="3246" spans="7:17" x14ac:dyDescent="0.25">
      <c r="G3246" t="str">
        <f t="shared" si="50"/>
        <v/>
      </c>
      <c r="H3246" t="s">
        <v>47</v>
      </c>
      <c r="I3246" t="s">
        <v>11</v>
      </c>
      <c r="J3246" t="s">
        <v>4</v>
      </c>
      <c r="K3246" t="s">
        <v>23</v>
      </c>
      <c r="L3246" t="s">
        <v>45</v>
      </c>
      <c r="M3246" t="s">
        <v>20</v>
      </c>
      <c r="N3246">
        <v>135</v>
      </c>
      <c r="O3246">
        <v>26</v>
      </c>
      <c r="P3246">
        <v>143332.65000000008</v>
      </c>
      <c r="Q3246">
        <v>0</v>
      </c>
    </row>
    <row r="3247" spans="7:17" x14ac:dyDescent="0.25">
      <c r="G3247" t="str">
        <f t="shared" si="50"/>
        <v/>
      </c>
      <c r="H3247" t="s">
        <v>47</v>
      </c>
      <c r="I3247" t="s">
        <v>11</v>
      </c>
      <c r="J3247" t="s">
        <v>4</v>
      </c>
      <c r="K3247" t="s">
        <v>24</v>
      </c>
      <c r="L3247" t="s">
        <v>42</v>
      </c>
      <c r="M3247" t="s">
        <v>19</v>
      </c>
      <c r="N3247">
        <v>237</v>
      </c>
      <c r="O3247">
        <v>9</v>
      </c>
      <c r="P3247">
        <v>25006.299999999977</v>
      </c>
      <c r="Q3247">
        <v>24869.809999999983</v>
      </c>
    </row>
    <row r="3248" spans="7:17" x14ac:dyDescent="0.25">
      <c r="G3248" t="str">
        <f t="shared" si="50"/>
        <v/>
      </c>
      <c r="H3248" t="s">
        <v>47</v>
      </c>
      <c r="I3248" t="s">
        <v>11</v>
      </c>
      <c r="J3248" t="s">
        <v>4</v>
      </c>
      <c r="K3248" t="s">
        <v>24</v>
      </c>
      <c r="L3248" t="s">
        <v>42</v>
      </c>
      <c r="M3248" t="s">
        <v>20</v>
      </c>
      <c r="N3248">
        <v>67</v>
      </c>
      <c r="O3248">
        <v>3</v>
      </c>
      <c r="P3248">
        <v>26897.849999999991</v>
      </c>
      <c r="Q3248">
        <v>0</v>
      </c>
    </row>
    <row r="3249" spans="7:17" x14ac:dyDescent="0.25">
      <c r="G3249" t="str">
        <f t="shared" si="50"/>
        <v/>
      </c>
      <c r="H3249" t="s">
        <v>47</v>
      </c>
      <c r="I3249" t="s">
        <v>11</v>
      </c>
      <c r="J3249" t="s">
        <v>4</v>
      </c>
      <c r="K3249" t="s">
        <v>24</v>
      </c>
      <c r="L3249" t="s">
        <v>43</v>
      </c>
      <c r="M3249" t="s">
        <v>19</v>
      </c>
      <c r="N3249">
        <v>192</v>
      </c>
      <c r="O3249">
        <v>3</v>
      </c>
      <c r="P3249">
        <v>139355.12000000005</v>
      </c>
      <c r="Q3249">
        <v>108113.41000000016</v>
      </c>
    </row>
    <row r="3250" spans="7:17" x14ac:dyDescent="0.25">
      <c r="G3250" t="str">
        <f t="shared" si="50"/>
        <v/>
      </c>
      <c r="H3250" t="s">
        <v>47</v>
      </c>
      <c r="I3250" t="s">
        <v>11</v>
      </c>
      <c r="J3250" t="s">
        <v>4</v>
      </c>
      <c r="K3250" t="s">
        <v>24</v>
      </c>
      <c r="L3250" t="s">
        <v>43</v>
      </c>
      <c r="M3250" t="s">
        <v>20</v>
      </c>
      <c r="N3250">
        <v>27</v>
      </c>
      <c r="O3250">
        <v>1</v>
      </c>
      <c r="P3250">
        <v>61043.770000000004</v>
      </c>
      <c r="Q3250">
        <v>0</v>
      </c>
    </row>
    <row r="3251" spans="7:17" x14ac:dyDescent="0.25">
      <c r="G3251" t="str">
        <f t="shared" si="50"/>
        <v/>
      </c>
      <c r="H3251" t="s">
        <v>47</v>
      </c>
      <c r="I3251" t="s">
        <v>11</v>
      </c>
      <c r="J3251" t="s">
        <v>4</v>
      </c>
      <c r="K3251" t="s">
        <v>24</v>
      </c>
      <c r="L3251" t="s">
        <v>44</v>
      </c>
      <c r="M3251" t="s">
        <v>19</v>
      </c>
      <c r="N3251">
        <v>35</v>
      </c>
      <c r="O3251">
        <v>4</v>
      </c>
      <c r="P3251">
        <v>48174.63</v>
      </c>
      <c r="Q3251">
        <v>26046.440000000002</v>
      </c>
    </row>
    <row r="3252" spans="7:17" x14ac:dyDescent="0.25">
      <c r="G3252" t="str">
        <f t="shared" si="50"/>
        <v/>
      </c>
      <c r="H3252" t="s">
        <v>47</v>
      </c>
      <c r="I3252" t="s">
        <v>11</v>
      </c>
      <c r="J3252" t="s">
        <v>4</v>
      </c>
      <c r="K3252" t="s">
        <v>24</v>
      </c>
      <c r="L3252" t="s">
        <v>44</v>
      </c>
      <c r="M3252" t="s">
        <v>20</v>
      </c>
      <c r="N3252">
        <v>14</v>
      </c>
      <c r="O3252">
        <v>6</v>
      </c>
      <c r="P3252">
        <v>13434.31</v>
      </c>
      <c r="Q3252">
        <v>0</v>
      </c>
    </row>
    <row r="3253" spans="7:17" x14ac:dyDescent="0.25">
      <c r="G3253" t="str">
        <f t="shared" si="50"/>
        <v/>
      </c>
      <c r="H3253" t="s">
        <v>47</v>
      </c>
      <c r="I3253" t="s">
        <v>11</v>
      </c>
      <c r="J3253" t="s">
        <v>4</v>
      </c>
      <c r="K3253" t="s">
        <v>24</v>
      </c>
      <c r="L3253" t="s">
        <v>39</v>
      </c>
      <c r="M3253" t="s">
        <v>19</v>
      </c>
      <c r="N3253">
        <v>1</v>
      </c>
      <c r="O3253">
        <v>0</v>
      </c>
      <c r="P3253">
        <v>7192.91</v>
      </c>
      <c r="Q3253">
        <v>1331</v>
      </c>
    </row>
    <row r="3254" spans="7:17" x14ac:dyDescent="0.25">
      <c r="G3254" t="str">
        <f t="shared" si="50"/>
        <v/>
      </c>
      <c r="H3254" t="s">
        <v>47</v>
      </c>
      <c r="I3254" t="s">
        <v>11</v>
      </c>
      <c r="J3254" t="s">
        <v>4</v>
      </c>
      <c r="K3254" t="s">
        <v>24</v>
      </c>
      <c r="L3254" t="s">
        <v>39</v>
      </c>
      <c r="M3254" t="s">
        <v>20</v>
      </c>
      <c r="N3254">
        <v>10</v>
      </c>
      <c r="O3254">
        <v>5</v>
      </c>
      <c r="P3254">
        <v>24601.649999999998</v>
      </c>
      <c r="Q3254">
        <v>0</v>
      </c>
    </row>
    <row r="3255" spans="7:17" x14ac:dyDescent="0.25">
      <c r="G3255" t="str">
        <f t="shared" si="50"/>
        <v/>
      </c>
      <c r="H3255" t="s">
        <v>47</v>
      </c>
      <c r="I3255" t="s">
        <v>11</v>
      </c>
      <c r="J3255" t="s">
        <v>4</v>
      </c>
      <c r="K3255" t="s">
        <v>24</v>
      </c>
      <c r="L3255" t="s">
        <v>45</v>
      </c>
      <c r="M3255" t="s">
        <v>20</v>
      </c>
      <c r="N3255">
        <v>40</v>
      </c>
      <c r="O3255">
        <v>6</v>
      </c>
      <c r="P3255">
        <v>14702.18</v>
      </c>
      <c r="Q3255">
        <v>0</v>
      </c>
    </row>
    <row r="3256" spans="7:17" x14ac:dyDescent="0.25">
      <c r="G3256" t="str">
        <f t="shared" si="50"/>
        <v/>
      </c>
      <c r="H3256" t="s">
        <v>47</v>
      </c>
      <c r="I3256" t="s">
        <v>11</v>
      </c>
      <c r="J3256" t="s">
        <v>4</v>
      </c>
      <c r="K3256" t="s">
        <v>25</v>
      </c>
      <c r="L3256" t="s">
        <v>42</v>
      </c>
      <c r="M3256" t="s">
        <v>19</v>
      </c>
      <c r="N3256">
        <v>752</v>
      </c>
      <c r="O3256">
        <v>37</v>
      </c>
      <c r="P3256">
        <v>223939.4400000014</v>
      </c>
      <c r="Q3256">
        <v>221823.81000000145</v>
      </c>
    </row>
    <row r="3257" spans="7:17" x14ac:dyDescent="0.25">
      <c r="G3257" t="str">
        <f t="shared" si="50"/>
        <v/>
      </c>
      <c r="H3257" t="s">
        <v>47</v>
      </c>
      <c r="I3257" t="s">
        <v>11</v>
      </c>
      <c r="J3257" t="s">
        <v>4</v>
      </c>
      <c r="K3257" t="s">
        <v>25</v>
      </c>
      <c r="L3257" t="s">
        <v>42</v>
      </c>
      <c r="M3257" t="s">
        <v>20</v>
      </c>
      <c r="N3257">
        <v>700</v>
      </c>
      <c r="O3257">
        <v>9</v>
      </c>
      <c r="P3257">
        <v>120575.44999999943</v>
      </c>
      <c r="Q3257">
        <v>0</v>
      </c>
    </row>
    <row r="3258" spans="7:17" x14ac:dyDescent="0.25">
      <c r="G3258" t="str">
        <f t="shared" si="50"/>
        <v/>
      </c>
      <c r="H3258" t="s">
        <v>47</v>
      </c>
      <c r="I3258" t="s">
        <v>11</v>
      </c>
      <c r="J3258" t="s">
        <v>4</v>
      </c>
      <c r="K3258" t="s">
        <v>25</v>
      </c>
      <c r="L3258" t="s">
        <v>43</v>
      </c>
      <c r="M3258" t="s">
        <v>19</v>
      </c>
      <c r="N3258">
        <v>153</v>
      </c>
      <c r="O3258">
        <v>19</v>
      </c>
      <c r="P3258">
        <v>113049.72</v>
      </c>
      <c r="Q3258">
        <v>107018.49000000008</v>
      </c>
    </row>
    <row r="3259" spans="7:17" x14ac:dyDescent="0.25">
      <c r="G3259" t="str">
        <f t="shared" si="50"/>
        <v/>
      </c>
      <c r="H3259" t="s">
        <v>47</v>
      </c>
      <c r="I3259" t="s">
        <v>11</v>
      </c>
      <c r="J3259" t="s">
        <v>4</v>
      </c>
      <c r="K3259" t="s">
        <v>25</v>
      </c>
      <c r="L3259" t="s">
        <v>43</v>
      </c>
      <c r="M3259" t="s">
        <v>20</v>
      </c>
      <c r="N3259">
        <v>1004</v>
      </c>
      <c r="O3259">
        <v>15</v>
      </c>
      <c r="P3259">
        <v>99132.329999999507</v>
      </c>
      <c r="Q3259">
        <v>0</v>
      </c>
    </row>
    <row r="3260" spans="7:17" x14ac:dyDescent="0.25">
      <c r="G3260" t="str">
        <f t="shared" si="50"/>
        <v/>
      </c>
      <c r="H3260" t="s">
        <v>47</v>
      </c>
      <c r="I3260" t="s">
        <v>11</v>
      </c>
      <c r="J3260" t="s">
        <v>4</v>
      </c>
      <c r="K3260" t="s">
        <v>25</v>
      </c>
      <c r="L3260" t="s">
        <v>44</v>
      </c>
      <c r="M3260" t="s">
        <v>19</v>
      </c>
      <c r="N3260">
        <v>48</v>
      </c>
      <c r="O3260">
        <v>9</v>
      </c>
      <c r="P3260">
        <v>58221.099999999984</v>
      </c>
      <c r="Q3260">
        <v>40658.080000000002</v>
      </c>
    </row>
    <row r="3261" spans="7:17" x14ac:dyDescent="0.25">
      <c r="G3261" t="str">
        <f t="shared" si="50"/>
        <v/>
      </c>
      <c r="H3261" t="s">
        <v>47</v>
      </c>
      <c r="I3261" t="s">
        <v>11</v>
      </c>
      <c r="J3261" t="s">
        <v>4</v>
      </c>
      <c r="K3261" t="s">
        <v>25</v>
      </c>
      <c r="L3261" t="s">
        <v>44</v>
      </c>
      <c r="M3261" t="s">
        <v>20</v>
      </c>
      <c r="N3261">
        <v>155</v>
      </c>
      <c r="O3261">
        <v>22</v>
      </c>
      <c r="P3261">
        <v>87049.660000000076</v>
      </c>
      <c r="Q3261">
        <v>0</v>
      </c>
    </row>
    <row r="3262" spans="7:17" x14ac:dyDescent="0.25">
      <c r="G3262" t="str">
        <f t="shared" si="50"/>
        <v/>
      </c>
      <c r="H3262" t="s">
        <v>47</v>
      </c>
      <c r="I3262" t="s">
        <v>11</v>
      </c>
      <c r="J3262" t="s">
        <v>4</v>
      </c>
      <c r="K3262" t="s">
        <v>25</v>
      </c>
      <c r="L3262" t="s">
        <v>39</v>
      </c>
      <c r="M3262" t="s">
        <v>19</v>
      </c>
      <c r="N3262">
        <v>23</v>
      </c>
      <c r="O3262">
        <v>5</v>
      </c>
      <c r="P3262">
        <v>31167.239999999998</v>
      </c>
      <c r="Q3262">
        <v>20990.67</v>
      </c>
    </row>
    <row r="3263" spans="7:17" x14ac:dyDescent="0.25">
      <c r="G3263" t="str">
        <f t="shared" si="50"/>
        <v/>
      </c>
      <c r="H3263" t="s">
        <v>47</v>
      </c>
      <c r="I3263" t="s">
        <v>11</v>
      </c>
      <c r="J3263" t="s">
        <v>4</v>
      </c>
      <c r="K3263" t="s">
        <v>25</v>
      </c>
      <c r="L3263" t="s">
        <v>39</v>
      </c>
      <c r="M3263" t="s">
        <v>20</v>
      </c>
      <c r="N3263">
        <v>176</v>
      </c>
      <c r="O3263">
        <v>18</v>
      </c>
      <c r="P3263">
        <v>53370.460000000348</v>
      </c>
      <c r="Q3263">
        <v>0</v>
      </c>
    </row>
    <row r="3264" spans="7:17" x14ac:dyDescent="0.25">
      <c r="G3264" t="str">
        <f t="shared" si="50"/>
        <v/>
      </c>
      <c r="H3264" t="s">
        <v>47</v>
      </c>
      <c r="I3264" t="s">
        <v>11</v>
      </c>
      <c r="J3264" t="s">
        <v>4</v>
      </c>
      <c r="K3264" t="s">
        <v>25</v>
      </c>
      <c r="L3264" t="s">
        <v>40</v>
      </c>
      <c r="M3264" t="s">
        <v>19</v>
      </c>
      <c r="N3264">
        <v>3</v>
      </c>
      <c r="O3264">
        <v>0</v>
      </c>
      <c r="P3264">
        <v>11476.76</v>
      </c>
      <c r="Q3264">
        <v>10683.28</v>
      </c>
    </row>
    <row r="3265" spans="7:17" x14ac:dyDescent="0.25">
      <c r="G3265" t="str">
        <f t="shared" si="50"/>
        <v/>
      </c>
      <c r="H3265" t="s">
        <v>47</v>
      </c>
      <c r="I3265" t="s">
        <v>11</v>
      </c>
      <c r="J3265" t="s">
        <v>4</v>
      </c>
      <c r="K3265" t="s">
        <v>25</v>
      </c>
      <c r="L3265" t="s">
        <v>40</v>
      </c>
      <c r="M3265" t="s">
        <v>20</v>
      </c>
      <c r="N3265">
        <v>21</v>
      </c>
      <c r="O3265">
        <v>2</v>
      </c>
      <c r="P3265">
        <v>10881.720000000001</v>
      </c>
      <c r="Q3265">
        <v>0</v>
      </c>
    </row>
    <row r="3266" spans="7:17" x14ac:dyDescent="0.25">
      <c r="G3266" t="str">
        <f t="shared" ref="G3266:G3329" si="51">IF(G$1="Overall","Overall",IF(G$1=L3266,L3266,""))</f>
        <v/>
      </c>
      <c r="H3266" t="s">
        <v>47</v>
      </c>
      <c r="I3266" t="s">
        <v>11</v>
      </c>
      <c r="J3266" t="s">
        <v>4</v>
      </c>
      <c r="K3266" t="s">
        <v>25</v>
      </c>
      <c r="L3266" t="s">
        <v>41</v>
      </c>
      <c r="M3266" t="s">
        <v>19</v>
      </c>
      <c r="N3266">
        <v>2</v>
      </c>
      <c r="O3266">
        <v>0</v>
      </c>
      <c r="P3266">
        <v>3413.67</v>
      </c>
      <c r="Q3266">
        <v>3413.67</v>
      </c>
    </row>
    <row r="3267" spans="7:17" x14ac:dyDescent="0.25">
      <c r="G3267" t="str">
        <f t="shared" si="51"/>
        <v/>
      </c>
      <c r="H3267" t="s">
        <v>47</v>
      </c>
      <c r="I3267" t="s">
        <v>11</v>
      </c>
      <c r="J3267" t="s">
        <v>4</v>
      </c>
      <c r="K3267" t="s">
        <v>25</v>
      </c>
      <c r="L3267" t="s">
        <v>41</v>
      </c>
      <c r="M3267" t="s">
        <v>20</v>
      </c>
      <c r="N3267">
        <v>17</v>
      </c>
      <c r="O3267">
        <v>2</v>
      </c>
      <c r="P3267">
        <v>10574.79</v>
      </c>
      <c r="Q3267">
        <v>0</v>
      </c>
    </row>
    <row r="3268" spans="7:17" x14ac:dyDescent="0.25">
      <c r="G3268" t="str">
        <f t="shared" si="51"/>
        <v/>
      </c>
      <c r="H3268" t="s">
        <v>47</v>
      </c>
      <c r="I3268" t="s">
        <v>11</v>
      </c>
      <c r="J3268" t="s">
        <v>4</v>
      </c>
      <c r="K3268" t="s">
        <v>25</v>
      </c>
      <c r="L3268" t="s">
        <v>45</v>
      </c>
      <c r="M3268" t="s">
        <v>19</v>
      </c>
      <c r="N3268">
        <v>4</v>
      </c>
      <c r="O3268">
        <v>0</v>
      </c>
      <c r="P3268">
        <v>7169.38</v>
      </c>
      <c r="Q3268">
        <v>7004.74</v>
      </c>
    </row>
    <row r="3269" spans="7:17" x14ac:dyDescent="0.25">
      <c r="G3269" t="str">
        <f t="shared" si="51"/>
        <v/>
      </c>
      <c r="H3269" t="s">
        <v>47</v>
      </c>
      <c r="I3269" t="s">
        <v>11</v>
      </c>
      <c r="J3269" t="s">
        <v>4</v>
      </c>
      <c r="K3269" t="s">
        <v>25</v>
      </c>
      <c r="L3269" t="s">
        <v>45</v>
      </c>
      <c r="M3269" t="s">
        <v>20</v>
      </c>
      <c r="N3269">
        <v>220</v>
      </c>
      <c r="O3269">
        <v>18</v>
      </c>
      <c r="P3269">
        <v>116842.60000000005</v>
      </c>
      <c r="Q3269">
        <v>0</v>
      </c>
    </row>
    <row r="3270" spans="7:17" x14ac:dyDescent="0.25">
      <c r="G3270" t="str">
        <f t="shared" si="51"/>
        <v/>
      </c>
      <c r="H3270" t="s">
        <v>47</v>
      </c>
      <c r="I3270" t="s">
        <v>11</v>
      </c>
      <c r="J3270" t="s">
        <v>4</v>
      </c>
      <c r="K3270" t="s">
        <v>26</v>
      </c>
      <c r="L3270" t="s">
        <v>42</v>
      </c>
      <c r="M3270" t="s">
        <v>19</v>
      </c>
      <c r="N3270">
        <v>397</v>
      </c>
      <c r="O3270">
        <v>27</v>
      </c>
      <c r="P3270">
        <v>91642.63000000031</v>
      </c>
      <c r="Q3270">
        <v>88053.560000000318</v>
      </c>
    </row>
    <row r="3271" spans="7:17" x14ac:dyDescent="0.25">
      <c r="G3271" t="str">
        <f t="shared" si="51"/>
        <v/>
      </c>
      <c r="H3271" t="s">
        <v>47</v>
      </c>
      <c r="I3271" t="s">
        <v>11</v>
      </c>
      <c r="J3271" t="s">
        <v>4</v>
      </c>
      <c r="K3271" t="s">
        <v>26</v>
      </c>
      <c r="L3271" t="s">
        <v>42</v>
      </c>
      <c r="M3271" t="s">
        <v>20</v>
      </c>
      <c r="N3271">
        <v>49</v>
      </c>
      <c r="O3271">
        <v>9</v>
      </c>
      <c r="P3271">
        <v>8496.2100000000009</v>
      </c>
      <c r="Q3271">
        <v>0</v>
      </c>
    </row>
    <row r="3272" spans="7:17" x14ac:dyDescent="0.25">
      <c r="G3272" t="str">
        <f t="shared" si="51"/>
        <v/>
      </c>
      <c r="H3272" t="s">
        <v>47</v>
      </c>
      <c r="I3272" t="s">
        <v>11</v>
      </c>
      <c r="J3272" t="s">
        <v>4</v>
      </c>
      <c r="K3272" t="s">
        <v>26</v>
      </c>
      <c r="L3272" t="s">
        <v>43</v>
      </c>
      <c r="M3272" t="s">
        <v>19</v>
      </c>
      <c r="N3272">
        <v>87</v>
      </c>
      <c r="O3272">
        <v>13</v>
      </c>
      <c r="P3272">
        <v>70849.959999999992</v>
      </c>
      <c r="Q3272">
        <v>55000.069999999978</v>
      </c>
    </row>
    <row r="3273" spans="7:17" x14ac:dyDescent="0.25">
      <c r="G3273" t="str">
        <f t="shared" si="51"/>
        <v/>
      </c>
      <c r="H3273" t="s">
        <v>47</v>
      </c>
      <c r="I3273" t="s">
        <v>11</v>
      </c>
      <c r="J3273" t="s">
        <v>4</v>
      </c>
      <c r="K3273" t="s">
        <v>26</v>
      </c>
      <c r="L3273" t="s">
        <v>43</v>
      </c>
      <c r="M3273" t="s">
        <v>20</v>
      </c>
      <c r="N3273">
        <v>28</v>
      </c>
      <c r="O3273">
        <v>10</v>
      </c>
      <c r="P3273">
        <v>10037.300000000001</v>
      </c>
      <c r="Q3273">
        <v>0</v>
      </c>
    </row>
    <row r="3274" spans="7:17" x14ac:dyDescent="0.25">
      <c r="G3274" t="str">
        <f t="shared" si="51"/>
        <v/>
      </c>
      <c r="H3274" t="s">
        <v>47</v>
      </c>
      <c r="I3274" t="s">
        <v>11</v>
      </c>
      <c r="J3274" t="s">
        <v>4</v>
      </c>
      <c r="K3274" t="s">
        <v>26</v>
      </c>
      <c r="L3274" t="s">
        <v>44</v>
      </c>
      <c r="M3274" t="s">
        <v>19</v>
      </c>
      <c r="N3274">
        <v>21</v>
      </c>
      <c r="O3274">
        <v>5</v>
      </c>
      <c r="P3274">
        <v>12498.51</v>
      </c>
      <c r="Q3274">
        <v>9797.74</v>
      </c>
    </row>
    <row r="3275" spans="7:17" x14ac:dyDescent="0.25">
      <c r="G3275" t="str">
        <f t="shared" si="51"/>
        <v/>
      </c>
      <c r="H3275" t="s">
        <v>47</v>
      </c>
      <c r="I3275" t="s">
        <v>11</v>
      </c>
      <c r="J3275" t="s">
        <v>4</v>
      </c>
      <c r="K3275" t="s">
        <v>26</v>
      </c>
      <c r="L3275" t="s">
        <v>44</v>
      </c>
      <c r="M3275" t="s">
        <v>20</v>
      </c>
      <c r="N3275">
        <v>28</v>
      </c>
      <c r="O3275">
        <v>3</v>
      </c>
      <c r="P3275">
        <v>2865.51</v>
      </c>
      <c r="Q3275">
        <v>0</v>
      </c>
    </row>
    <row r="3276" spans="7:17" x14ac:dyDescent="0.25">
      <c r="G3276" t="str">
        <f t="shared" si="51"/>
        <v/>
      </c>
      <c r="H3276" t="s">
        <v>47</v>
      </c>
      <c r="I3276" t="s">
        <v>11</v>
      </c>
      <c r="J3276" t="s">
        <v>4</v>
      </c>
      <c r="K3276" t="s">
        <v>26</v>
      </c>
      <c r="L3276" t="s">
        <v>39</v>
      </c>
      <c r="M3276" t="s">
        <v>19</v>
      </c>
      <c r="N3276">
        <v>5</v>
      </c>
      <c r="O3276">
        <v>5</v>
      </c>
      <c r="P3276">
        <v>5336.92</v>
      </c>
      <c r="Q3276">
        <v>2042.7499999999998</v>
      </c>
    </row>
    <row r="3277" spans="7:17" x14ac:dyDescent="0.25">
      <c r="G3277" t="str">
        <f t="shared" si="51"/>
        <v/>
      </c>
      <c r="H3277" t="s">
        <v>47</v>
      </c>
      <c r="I3277" t="s">
        <v>11</v>
      </c>
      <c r="J3277" t="s">
        <v>4</v>
      </c>
      <c r="K3277" t="s">
        <v>26</v>
      </c>
      <c r="L3277" t="s">
        <v>39</v>
      </c>
      <c r="M3277" t="s">
        <v>20</v>
      </c>
      <c r="N3277">
        <v>31</v>
      </c>
      <c r="O3277">
        <v>15</v>
      </c>
      <c r="P3277">
        <v>18771.939999999999</v>
      </c>
      <c r="Q3277">
        <v>0</v>
      </c>
    </row>
    <row r="3278" spans="7:17" x14ac:dyDescent="0.25">
      <c r="G3278" t="str">
        <f t="shared" si="51"/>
        <v/>
      </c>
      <c r="H3278" t="s">
        <v>47</v>
      </c>
      <c r="I3278" t="s">
        <v>11</v>
      </c>
      <c r="J3278" t="s">
        <v>4</v>
      </c>
      <c r="K3278" t="s">
        <v>26</v>
      </c>
      <c r="L3278" t="s">
        <v>40</v>
      </c>
      <c r="M3278" t="s">
        <v>20</v>
      </c>
      <c r="N3278">
        <v>13</v>
      </c>
      <c r="O3278">
        <v>1</v>
      </c>
      <c r="P3278">
        <v>2535.2200000000003</v>
      </c>
      <c r="Q3278">
        <v>0</v>
      </c>
    </row>
    <row r="3279" spans="7:17" x14ac:dyDescent="0.25">
      <c r="G3279" t="str">
        <f t="shared" si="51"/>
        <v/>
      </c>
      <c r="H3279" t="s">
        <v>47</v>
      </c>
      <c r="I3279" t="s">
        <v>11</v>
      </c>
      <c r="J3279" t="s">
        <v>4</v>
      </c>
      <c r="K3279" t="s">
        <v>26</v>
      </c>
      <c r="L3279" t="s">
        <v>41</v>
      </c>
      <c r="M3279" t="s">
        <v>20</v>
      </c>
      <c r="N3279">
        <v>3</v>
      </c>
      <c r="O3279">
        <v>0</v>
      </c>
      <c r="P3279">
        <v>2256.38</v>
      </c>
      <c r="Q3279">
        <v>0</v>
      </c>
    </row>
    <row r="3280" spans="7:17" x14ac:dyDescent="0.25">
      <c r="G3280" t="str">
        <f t="shared" si="51"/>
        <v/>
      </c>
      <c r="H3280" t="s">
        <v>47</v>
      </c>
      <c r="I3280" t="s">
        <v>11</v>
      </c>
      <c r="J3280" t="s">
        <v>4</v>
      </c>
      <c r="K3280" t="s">
        <v>26</v>
      </c>
      <c r="L3280" t="s">
        <v>45</v>
      </c>
      <c r="M3280" t="s">
        <v>19</v>
      </c>
      <c r="N3280">
        <v>15</v>
      </c>
      <c r="O3280">
        <v>1</v>
      </c>
      <c r="P3280">
        <v>24660.350000000002</v>
      </c>
      <c r="Q3280">
        <v>24458.029999999995</v>
      </c>
    </row>
    <row r="3281" spans="7:17" x14ac:dyDescent="0.25">
      <c r="G3281" t="str">
        <f t="shared" si="51"/>
        <v/>
      </c>
      <c r="H3281" t="s">
        <v>47</v>
      </c>
      <c r="I3281" t="s">
        <v>11</v>
      </c>
      <c r="J3281" t="s">
        <v>4</v>
      </c>
      <c r="K3281" t="s">
        <v>26</v>
      </c>
      <c r="L3281" t="s">
        <v>45</v>
      </c>
      <c r="M3281" t="s">
        <v>20</v>
      </c>
      <c r="N3281">
        <v>61</v>
      </c>
      <c r="O3281">
        <v>22</v>
      </c>
      <c r="P3281">
        <v>58981.469999999979</v>
      </c>
      <c r="Q3281">
        <v>0</v>
      </c>
    </row>
    <row r="3282" spans="7:17" x14ac:dyDescent="0.25">
      <c r="G3282" t="str">
        <f t="shared" si="51"/>
        <v/>
      </c>
      <c r="H3282" t="s">
        <v>47</v>
      </c>
      <c r="I3282" t="s">
        <v>11</v>
      </c>
      <c r="J3282" t="s">
        <v>4</v>
      </c>
      <c r="K3282" t="s">
        <v>27</v>
      </c>
      <c r="L3282" t="s">
        <v>42</v>
      </c>
      <c r="M3282" t="s">
        <v>19</v>
      </c>
      <c r="N3282">
        <v>66</v>
      </c>
      <c r="O3282">
        <v>11</v>
      </c>
      <c r="P3282">
        <v>6577.59</v>
      </c>
      <c r="Q3282">
        <v>6546.82</v>
      </c>
    </row>
    <row r="3283" spans="7:17" x14ac:dyDescent="0.25">
      <c r="G3283" t="str">
        <f t="shared" si="51"/>
        <v/>
      </c>
      <c r="H3283" t="s">
        <v>47</v>
      </c>
      <c r="I3283" t="s">
        <v>11</v>
      </c>
      <c r="J3283" t="s">
        <v>4</v>
      </c>
      <c r="K3283" t="s">
        <v>27</v>
      </c>
      <c r="L3283" t="s">
        <v>42</v>
      </c>
      <c r="M3283" t="s">
        <v>20</v>
      </c>
      <c r="N3283">
        <v>1</v>
      </c>
      <c r="O3283">
        <v>0</v>
      </c>
      <c r="P3283">
        <v>0.06</v>
      </c>
      <c r="Q3283">
        <v>0</v>
      </c>
    </row>
    <row r="3284" spans="7:17" x14ac:dyDescent="0.25">
      <c r="G3284" t="str">
        <f t="shared" si="51"/>
        <v/>
      </c>
      <c r="H3284" t="s">
        <v>47</v>
      </c>
      <c r="I3284" t="s">
        <v>11</v>
      </c>
      <c r="J3284" t="s">
        <v>4</v>
      </c>
      <c r="K3284" t="s">
        <v>27</v>
      </c>
      <c r="L3284" t="s">
        <v>43</v>
      </c>
      <c r="M3284" t="s">
        <v>19</v>
      </c>
      <c r="N3284">
        <v>4</v>
      </c>
      <c r="O3284">
        <v>2</v>
      </c>
      <c r="P3284">
        <v>5682.52</v>
      </c>
      <c r="Q3284">
        <v>5682.52</v>
      </c>
    </row>
    <row r="3285" spans="7:17" x14ac:dyDescent="0.25">
      <c r="G3285" t="str">
        <f t="shared" si="51"/>
        <v/>
      </c>
      <c r="H3285" t="s">
        <v>47</v>
      </c>
      <c r="I3285" t="s">
        <v>11</v>
      </c>
      <c r="J3285" t="s">
        <v>4</v>
      </c>
      <c r="K3285" t="s">
        <v>27</v>
      </c>
      <c r="L3285" t="s">
        <v>43</v>
      </c>
      <c r="M3285" t="s">
        <v>20</v>
      </c>
      <c r="N3285">
        <v>8</v>
      </c>
      <c r="O3285">
        <v>3</v>
      </c>
      <c r="P3285">
        <v>2832.3799999999997</v>
      </c>
      <c r="Q3285">
        <v>0</v>
      </c>
    </row>
    <row r="3286" spans="7:17" x14ac:dyDescent="0.25">
      <c r="G3286" t="str">
        <f t="shared" si="51"/>
        <v/>
      </c>
      <c r="H3286" t="s">
        <v>47</v>
      </c>
      <c r="I3286" t="s">
        <v>11</v>
      </c>
      <c r="J3286" t="s">
        <v>4</v>
      </c>
      <c r="K3286" t="s">
        <v>27</v>
      </c>
      <c r="L3286" t="s">
        <v>44</v>
      </c>
      <c r="M3286" t="s">
        <v>19</v>
      </c>
      <c r="N3286">
        <v>2</v>
      </c>
      <c r="O3286">
        <v>1</v>
      </c>
      <c r="P3286">
        <v>1584.42</v>
      </c>
      <c r="Q3286">
        <v>1247.42</v>
      </c>
    </row>
    <row r="3287" spans="7:17" x14ac:dyDescent="0.25">
      <c r="G3287" t="str">
        <f t="shared" si="51"/>
        <v/>
      </c>
      <c r="H3287" t="s">
        <v>47</v>
      </c>
      <c r="I3287" t="s">
        <v>11</v>
      </c>
      <c r="J3287" t="s">
        <v>4</v>
      </c>
      <c r="K3287" t="s">
        <v>27</v>
      </c>
      <c r="L3287" t="s">
        <v>39</v>
      </c>
      <c r="M3287" t="s">
        <v>20</v>
      </c>
      <c r="N3287">
        <v>1</v>
      </c>
      <c r="O3287">
        <v>1</v>
      </c>
      <c r="P3287">
        <v>443.69</v>
      </c>
      <c r="Q3287">
        <v>0</v>
      </c>
    </row>
    <row r="3288" spans="7:17" x14ac:dyDescent="0.25">
      <c r="G3288" t="str">
        <f t="shared" si="51"/>
        <v/>
      </c>
      <c r="H3288" t="s">
        <v>47</v>
      </c>
      <c r="I3288" t="s">
        <v>11</v>
      </c>
      <c r="J3288" t="s">
        <v>4</v>
      </c>
      <c r="K3288" t="s">
        <v>27</v>
      </c>
      <c r="L3288" t="s">
        <v>40</v>
      </c>
      <c r="M3288" t="s">
        <v>19</v>
      </c>
      <c r="N3288">
        <v>1</v>
      </c>
      <c r="O3288">
        <v>1</v>
      </c>
      <c r="P3288">
        <v>182.3</v>
      </c>
      <c r="Q3288">
        <v>182.3</v>
      </c>
    </row>
    <row r="3289" spans="7:17" x14ac:dyDescent="0.25">
      <c r="G3289" t="str">
        <f t="shared" si="51"/>
        <v/>
      </c>
      <c r="H3289" t="s">
        <v>47</v>
      </c>
      <c r="I3289" t="s">
        <v>11</v>
      </c>
      <c r="J3289" t="s">
        <v>4</v>
      </c>
      <c r="K3289" t="s">
        <v>27</v>
      </c>
      <c r="L3289" t="s">
        <v>40</v>
      </c>
      <c r="M3289" t="s">
        <v>20</v>
      </c>
      <c r="N3289">
        <v>3</v>
      </c>
      <c r="O3289">
        <v>1</v>
      </c>
      <c r="P3289">
        <v>1128.43</v>
      </c>
      <c r="Q3289">
        <v>0</v>
      </c>
    </row>
    <row r="3290" spans="7:17" x14ac:dyDescent="0.25">
      <c r="G3290" t="str">
        <f t="shared" si="51"/>
        <v/>
      </c>
      <c r="H3290" t="s">
        <v>47</v>
      </c>
      <c r="I3290" t="s">
        <v>11</v>
      </c>
      <c r="J3290" t="s">
        <v>4</v>
      </c>
      <c r="K3290" t="s">
        <v>27</v>
      </c>
      <c r="L3290" t="s">
        <v>45</v>
      </c>
      <c r="M3290" t="s">
        <v>20</v>
      </c>
      <c r="N3290">
        <v>25</v>
      </c>
      <c r="O3290">
        <v>4</v>
      </c>
      <c r="P3290">
        <v>19048.399999999994</v>
      </c>
      <c r="Q3290">
        <v>0</v>
      </c>
    </row>
    <row r="3291" spans="7:17" x14ac:dyDescent="0.25">
      <c r="G3291" t="str">
        <f t="shared" si="51"/>
        <v/>
      </c>
      <c r="H3291" t="s">
        <v>47</v>
      </c>
      <c r="I3291" t="s">
        <v>11</v>
      </c>
      <c r="J3291" t="s">
        <v>4</v>
      </c>
      <c r="K3291" t="s">
        <v>28</v>
      </c>
      <c r="L3291" t="s">
        <v>42</v>
      </c>
      <c r="M3291" t="s">
        <v>19</v>
      </c>
      <c r="N3291">
        <v>655</v>
      </c>
      <c r="O3291">
        <v>13</v>
      </c>
      <c r="P3291">
        <v>25692.640000000141</v>
      </c>
      <c r="Q3291">
        <v>24375.650000000143</v>
      </c>
    </row>
    <row r="3292" spans="7:17" x14ac:dyDescent="0.25">
      <c r="G3292" t="str">
        <f t="shared" si="51"/>
        <v/>
      </c>
      <c r="H3292" t="s">
        <v>47</v>
      </c>
      <c r="I3292" t="s">
        <v>11</v>
      </c>
      <c r="J3292" t="s">
        <v>4</v>
      </c>
      <c r="K3292" t="s">
        <v>28</v>
      </c>
      <c r="L3292" t="s">
        <v>42</v>
      </c>
      <c r="M3292" t="s">
        <v>20</v>
      </c>
      <c r="N3292">
        <v>13</v>
      </c>
      <c r="O3292">
        <v>2</v>
      </c>
      <c r="P3292">
        <v>3478.76</v>
      </c>
      <c r="Q3292">
        <v>0</v>
      </c>
    </row>
    <row r="3293" spans="7:17" x14ac:dyDescent="0.25">
      <c r="G3293" t="str">
        <f t="shared" si="51"/>
        <v/>
      </c>
      <c r="H3293" t="s">
        <v>47</v>
      </c>
      <c r="I3293" t="s">
        <v>11</v>
      </c>
      <c r="J3293" t="s">
        <v>4</v>
      </c>
      <c r="K3293" t="s">
        <v>28</v>
      </c>
      <c r="L3293" t="s">
        <v>43</v>
      </c>
      <c r="M3293" t="s">
        <v>19</v>
      </c>
      <c r="N3293">
        <v>64</v>
      </c>
      <c r="O3293">
        <v>5</v>
      </c>
      <c r="P3293">
        <v>28546.140000000014</v>
      </c>
      <c r="Q3293">
        <v>26099.680000000022</v>
      </c>
    </row>
    <row r="3294" spans="7:17" x14ac:dyDescent="0.25">
      <c r="G3294" t="str">
        <f t="shared" si="51"/>
        <v/>
      </c>
      <c r="H3294" t="s">
        <v>47</v>
      </c>
      <c r="I3294" t="s">
        <v>11</v>
      </c>
      <c r="J3294" t="s">
        <v>4</v>
      </c>
      <c r="K3294" t="s">
        <v>28</v>
      </c>
      <c r="L3294" t="s">
        <v>43</v>
      </c>
      <c r="M3294" t="s">
        <v>20</v>
      </c>
      <c r="N3294">
        <v>16</v>
      </c>
      <c r="O3294">
        <v>2</v>
      </c>
      <c r="P3294">
        <v>5791.8400000000011</v>
      </c>
      <c r="Q3294">
        <v>0</v>
      </c>
    </row>
    <row r="3295" spans="7:17" x14ac:dyDescent="0.25">
      <c r="G3295" t="str">
        <f t="shared" si="51"/>
        <v/>
      </c>
      <c r="H3295" t="s">
        <v>47</v>
      </c>
      <c r="I3295" t="s">
        <v>11</v>
      </c>
      <c r="J3295" t="s">
        <v>4</v>
      </c>
      <c r="K3295" t="s">
        <v>28</v>
      </c>
      <c r="L3295" t="s">
        <v>44</v>
      </c>
      <c r="M3295" t="s">
        <v>19</v>
      </c>
      <c r="N3295">
        <v>28</v>
      </c>
      <c r="O3295">
        <v>9</v>
      </c>
      <c r="P3295">
        <v>26097.980000000003</v>
      </c>
      <c r="Q3295">
        <v>20399.900000000005</v>
      </c>
    </row>
    <row r="3296" spans="7:17" x14ac:dyDescent="0.25">
      <c r="G3296" t="str">
        <f t="shared" si="51"/>
        <v/>
      </c>
      <c r="H3296" t="s">
        <v>47</v>
      </c>
      <c r="I3296" t="s">
        <v>11</v>
      </c>
      <c r="J3296" t="s">
        <v>4</v>
      </c>
      <c r="K3296" t="s">
        <v>28</v>
      </c>
      <c r="L3296" t="s">
        <v>44</v>
      </c>
      <c r="M3296" t="s">
        <v>20</v>
      </c>
      <c r="N3296">
        <v>34</v>
      </c>
      <c r="O3296">
        <v>4</v>
      </c>
      <c r="P3296">
        <v>7308.159999999998</v>
      </c>
      <c r="Q3296">
        <v>0</v>
      </c>
    </row>
    <row r="3297" spans="7:17" x14ac:dyDescent="0.25">
      <c r="G3297" t="str">
        <f t="shared" si="51"/>
        <v/>
      </c>
      <c r="H3297" t="s">
        <v>47</v>
      </c>
      <c r="I3297" t="s">
        <v>11</v>
      </c>
      <c r="J3297" t="s">
        <v>4</v>
      </c>
      <c r="K3297" t="s">
        <v>28</v>
      </c>
      <c r="L3297" t="s">
        <v>39</v>
      </c>
      <c r="M3297" t="s">
        <v>19</v>
      </c>
      <c r="N3297">
        <v>5</v>
      </c>
      <c r="O3297">
        <v>5</v>
      </c>
      <c r="P3297">
        <v>5699.52</v>
      </c>
      <c r="Q3297">
        <v>4406.3999999999996</v>
      </c>
    </row>
    <row r="3298" spans="7:17" x14ac:dyDescent="0.25">
      <c r="G3298" t="str">
        <f t="shared" si="51"/>
        <v/>
      </c>
      <c r="H3298" t="s">
        <v>47</v>
      </c>
      <c r="I3298" t="s">
        <v>11</v>
      </c>
      <c r="J3298" t="s">
        <v>4</v>
      </c>
      <c r="K3298" t="s">
        <v>28</v>
      </c>
      <c r="L3298" t="s">
        <v>39</v>
      </c>
      <c r="M3298" t="s">
        <v>20</v>
      </c>
      <c r="N3298">
        <v>9</v>
      </c>
      <c r="O3298">
        <v>2</v>
      </c>
      <c r="P3298">
        <v>1054.99</v>
      </c>
      <c r="Q3298">
        <v>0</v>
      </c>
    </row>
    <row r="3299" spans="7:17" x14ac:dyDescent="0.25">
      <c r="G3299" t="str">
        <f t="shared" si="51"/>
        <v/>
      </c>
      <c r="H3299" t="s">
        <v>47</v>
      </c>
      <c r="I3299" t="s">
        <v>11</v>
      </c>
      <c r="J3299" t="s">
        <v>4</v>
      </c>
      <c r="K3299" t="s">
        <v>28</v>
      </c>
      <c r="L3299" t="s">
        <v>40</v>
      </c>
      <c r="M3299" t="s">
        <v>20</v>
      </c>
      <c r="N3299">
        <v>1</v>
      </c>
      <c r="O3299">
        <v>1</v>
      </c>
      <c r="P3299">
        <v>117.58</v>
      </c>
      <c r="Q3299">
        <v>0</v>
      </c>
    </row>
    <row r="3300" spans="7:17" x14ac:dyDescent="0.25">
      <c r="G3300" t="str">
        <f t="shared" si="51"/>
        <v/>
      </c>
      <c r="H3300" t="s">
        <v>47</v>
      </c>
      <c r="I3300" t="s">
        <v>11</v>
      </c>
      <c r="J3300" t="s">
        <v>4</v>
      </c>
      <c r="K3300" t="s">
        <v>28</v>
      </c>
      <c r="L3300" t="s">
        <v>41</v>
      </c>
      <c r="M3300" t="s">
        <v>20</v>
      </c>
      <c r="N3300">
        <v>2</v>
      </c>
      <c r="O3300">
        <v>1</v>
      </c>
      <c r="P3300">
        <v>32.729999999999997</v>
      </c>
      <c r="Q3300">
        <v>0</v>
      </c>
    </row>
    <row r="3301" spans="7:17" x14ac:dyDescent="0.25">
      <c r="G3301" t="str">
        <f t="shared" si="51"/>
        <v/>
      </c>
      <c r="H3301" t="s">
        <v>47</v>
      </c>
      <c r="I3301" t="s">
        <v>11</v>
      </c>
      <c r="J3301" t="s">
        <v>4</v>
      </c>
      <c r="K3301" t="s">
        <v>28</v>
      </c>
      <c r="L3301" t="s">
        <v>45</v>
      </c>
      <c r="M3301" t="s">
        <v>20</v>
      </c>
      <c r="N3301">
        <v>41</v>
      </c>
      <c r="O3301">
        <v>14</v>
      </c>
      <c r="P3301">
        <v>17531.129999999997</v>
      </c>
      <c r="Q3301">
        <v>0</v>
      </c>
    </row>
    <row r="3302" spans="7:17" x14ac:dyDescent="0.25">
      <c r="G3302" t="str">
        <f t="shared" si="51"/>
        <v/>
      </c>
      <c r="H3302" t="s">
        <v>47</v>
      </c>
      <c r="I3302" t="s">
        <v>11</v>
      </c>
      <c r="J3302" t="s">
        <v>4</v>
      </c>
      <c r="K3302" t="s">
        <v>29</v>
      </c>
      <c r="L3302" t="s">
        <v>42</v>
      </c>
      <c r="M3302" t="s">
        <v>19</v>
      </c>
      <c r="N3302">
        <v>51</v>
      </c>
      <c r="O3302">
        <v>6</v>
      </c>
      <c r="P3302">
        <v>18199.099999999999</v>
      </c>
      <c r="Q3302">
        <v>18198.55</v>
      </c>
    </row>
    <row r="3303" spans="7:17" x14ac:dyDescent="0.25">
      <c r="G3303" t="str">
        <f t="shared" si="51"/>
        <v/>
      </c>
      <c r="H3303" t="s">
        <v>47</v>
      </c>
      <c r="I3303" t="s">
        <v>11</v>
      </c>
      <c r="J3303" t="s">
        <v>4</v>
      </c>
      <c r="K3303" t="s">
        <v>29</v>
      </c>
      <c r="L3303" t="s">
        <v>42</v>
      </c>
      <c r="M3303" t="s">
        <v>20</v>
      </c>
      <c r="N3303">
        <v>28</v>
      </c>
      <c r="O3303">
        <v>3</v>
      </c>
      <c r="P3303">
        <v>6173.15</v>
      </c>
      <c r="Q3303">
        <v>0</v>
      </c>
    </row>
    <row r="3304" spans="7:17" x14ac:dyDescent="0.25">
      <c r="G3304" t="str">
        <f t="shared" si="51"/>
        <v/>
      </c>
      <c r="H3304" t="s">
        <v>47</v>
      </c>
      <c r="I3304" t="s">
        <v>11</v>
      </c>
      <c r="J3304" t="s">
        <v>4</v>
      </c>
      <c r="K3304" t="s">
        <v>29</v>
      </c>
      <c r="L3304" t="s">
        <v>43</v>
      </c>
      <c r="M3304" t="s">
        <v>19</v>
      </c>
      <c r="N3304">
        <v>25</v>
      </c>
      <c r="O3304">
        <v>6</v>
      </c>
      <c r="P3304">
        <v>10649.650000000001</v>
      </c>
      <c r="Q3304">
        <v>10508.54</v>
      </c>
    </row>
    <row r="3305" spans="7:17" x14ac:dyDescent="0.25">
      <c r="G3305" t="str">
        <f t="shared" si="51"/>
        <v/>
      </c>
      <c r="H3305" t="s">
        <v>47</v>
      </c>
      <c r="I3305" t="s">
        <v>11</v>
      </c>
      <c r="J3305" t="s">
        <v>4</v>
      </c>
      <c r="K3305" t="s">
        <v>29</v>
      </c>
      <c r="L3305" t="s">
        <v>43</v>
      </c>
      <c r="M3305" t="s">
        <v>20</v>
      </c>
      <c r="N3305">
        <v>23</v>
      </c>
      <c r="O3305">
        <v>4</v>
      </c>
      <c r="P3305">
        <v>7402.8199999999988</v>
      </c>
      <c r="Q3305">
        <v>0</v>
      </c>
    </row>
    <row r="3306" spans="7:17" x14ac:dyDescent="0.25">
      <c r="G3306" t="str">
        <f t="shared" si="51"/>
        <v/>
      </c>
      <c r="H3306" t="s">
        <v>47</v>
      </c>
      <c r="I3306" t="s">
        <v>11</v>
      </c>
      <c r="J3306" t="s">
        <v>4</v>
      </c>
      <c r="K3306" t="s">
        <v>29</v>
      </c>
      <c r="L3306" t="s">
        <v>44</v>
      </c>
      <c r="M3306" t="s">
        <v>19</v>
      </c>
      <c r="N3306">
        <v>2</v>
      </c>
      <c r="O3306">
        <v>1</v>
      </c>
      <c r="P3306">
        <v>1252.58</v>
      </c>
      <c r="Q3306">
        <v>1251.8899999999999</v>
      </c>
    </row>
    <row r="3307" spans="7:17" x14ac:dyDescent="0.25">
      <c r="G3307" t="str">
        <f t="shared" si="51"/>
        <v/>
      </c>
      <c r="H3307" t="s">
        <v>47</v>
      </c>
      <c r="I3307" t="s">
        <v>11</v>
      </c>
      <c r="J3307" t="s">
        <v>4</v>
      </c>
      <c r="K3307" t="s">
        <v>29</v>
      </c>
      <c r="L3307" t="s">
        <v>44</v>
      </c>
      <c r="M3307" t="s">
        <v>20</v>
      </c>
      <c r="N3307">
        <v>7</v>
      </c>
      <c r="O3307">
        <v>6</v>
      </c>
      <c r="P3307">
        <v>4880.78</v>
      </c>
      <c r="Q3307">
        <v>0</v>
      </c>
    </row>
    <row r="3308" spans="7:17" x14ac:dyDescent="0.25">
      <c r="G3308" t="str">
        <f t="shared" si="51"/>
        <v/>
      </c>
      <c r="H3308" t="s">
        <v>47</v>
      </c>
      <c r="I3308" t="s">
        <v>11</v>
      </c>
      <c r="J3308" t="s">
        <v>4</v>
      </c>
      <c r="K3308" t="s">
        <v>29</v>
      </c>
      <c r="L3308" t="s">
        <v>39</v>
      </c>
      <c r="M3308" t="s">
        <v>20</v>
      </c>
      <c r="N3308">
        <v>12</v>
      </c>
      <c r="O3308">
        <v>9</v>
      </c>
      <c r="P3308">
        <v>11479.890000000001</v>
      </c>
      <c r="Q3308">
        <v>0</v>
      </c>
    </row>
    <row r="3309" spans="7:17" x14ac:dyDescent="0.25">
      <c r="G3309" t="str">
        <f t="shared" si="51"/>
        <v/>
      </c>
      <c r="H3309" t="s">
        <v>47</v>
      </c>
      <c r="I3309" t="s">
        <v>11</v>
      </c>
      <c r="J3309" t="s">
        <v>4</v>
      </c>
      <c r="K3309" t="s">
        <v>29</v>
      </c>
      <c r="L3309" t="s">
        <v>40</v>
      </c>
      <c r="M3309" t="s">
        <v>19</v>
      </c>
      <c r="N3309">
        <v>1</v>
      </c>
      <c r="O3309">
        <v>0</v>
      </c>
      <c r="P3309">
        <v>310.7</v>
      </c>
      <c r="Q3309">
        <v>200.32</v>
      </c>
    </row>
    <row r="3310" spans="7:17" x14ac:dyDescent="0.25">
      <c r="G3310" t="str">
        <f t="shared" si="51"/>
        <v/>
      </c>
      <c r="H3310" t="s">
        <v>47</v>
      </c>
      <c r="I3310" t="s">
        <v>11</v>
      </c>
      <c r="J3310" t="s">
        <v>4</v>
      </c>
      <c r="K3310" t="s">
        <v>29</v>
      </c>
      <c r="L3310" t="s">
        <v>40</v>
      </c>
      <c r="M3310" t="s">
        <v>20</v>
      </c>
      <c r="N3310">
        <v>3</v>
      </c>
      <c r="O3310">
        <v>0</v>
      </c>
      <c r="P3310">
        <v>4117.6899999999996</v>
      </c>
      <c r="Q3310">
        <v>0</v>
      </c>
    </row>
    <row r="3311" spans="7:17" x14ac:dyDescent="0.25">
      <c r="G3311" t="str">
        <f t="shared" si="51"/>
        <v/>
      </c>
      <c r="H3311" t="s">
        <v>47</v>
      </c>
      <c r="I3311" t="s">
        <v>11</v>
      </c>
      <c r="J3311" t="s">
        <v>4</v>
      </c>
      <c r="K3311" t="s">
        <v>29</v>
      </c>
      <c r="L3311" t="s">
        <v>41</v>
      </c>
      <c r="M3311" t="s">
        <v>20</v>
      </c>
      <c r="N3311">
        <v>2</v>
      </c>
      <c r="O3311">
        <v>0</v>
      </c>
      <c r="P3311">
        <v>692.19999999999993</v>
      </c>
      <c r="Q3311">
        <v>0</v>
      </c>
    </row>
    <row r="3312" spans="7:17" x14ac:dyDescent="0.25">
      <c r="G3312" t="str">
        <f t="shared" si="51"/>
        <v/>
      </c>
      <c r="H3312" t="s">
        <v>47</v>
      </c>
      <c r="I3312" t="s">
        <v>11</v>
      </c>
      <c r="J3312" t="s">
        <v>4</v>
      </c>
      <c r="K3312" t="s">
        <v>29</v>
      </c>
      <c r="L3312" t="s">
        <v>45</v>
      </c>
      <c r="M3312" t="s">
        <v>20</v>
      </c>
      <c r="N3312">
        <v>27</v>
      </c>
      <c r="O3312">
        <v>14</v>
      </c>
      <c r="P3312">
        <v>26023.049999999996</v>
      </c>
      <c r="Q3312">
        <v>0</v>
      </c>
    </row>
    <row r="3313" spans="7:17" x14ac:dyDescent="0.25">
      <c r="G3313" t="str">
        <f t="shared" si="51"/>
        <v/>
      </c>
      <c r="H3313" t="s">
        <v>47</v>
      </c>
      <c r="I3313" t="s">
        <v>11</v>
      </c>
      <c r="J3313" t="s">
        <v>4</v>
      </c>
      <c r="K3313" t="s">
        <v>30</v>
      </c>
      <c r="L3313" t="s">
        <v>42</v>
      </c>
      <c r="M3313" t="s">
        <v>19</v>
      </c>
      <c r="N3313">
        <v>1</v>
      </c>
      <c r="O3313">
        <v>0</v>
      </c>
      <c r="P3313">
        <v>488.55</v>
      </c>
      <c r="Q3313">
        <v>488.55</v>
      </c>
    </row>
    <row r="3314" spans="7:17" x14ac:dyDescent="0.25">
      <c r="G3314" t="str">
        <f t="shared" si="51"/>
        <v/>
      </c>
      <c r="H3314" t="s">
        <v>47</v>
      </c>
      <c r="I3314" t="s">
        <v>11</v>
      </c>
      <c r="J3314" t="s">
        <v>4</v>
      </c>
      <c r="K3314" t="s">
        <v>30</v>
      </c>
      <c r="L3314" t="s">
        <v>42</v>
      </c>
      <c r="M3314" t="s">
        <v>20</v>
      </c>
      <c r="N3314">
        <v>5</v>
      </c>
      <c r="O3314">
        <v>1</v>
      </c>
      <c r="P3314">
        <v>747.79</v>
      </c>
      <c r="Q3314">
        <v>0</v>
      </c>
    </row>
    <row r="3315" spans="7:17" x14ac:dyDescent="0.25">
      <c r="G3315" t="str">
        <f t="shared" si="51"/>
        <v/>
      </c>
      <c r="H3315" t="s">
        <v>47</v>
      </c>
      <c r="I3315" t="s">
        <v>11</v>
      </c>
      <c r="J3315" t="s">
        <v>4</v>
      </c>
      <c r="K3315" t="s">
        <v>30</v>
      </c>
      <c r="L3315" t="s">
        <v>43</v>
      </c>
      <c r="M3315" t="s">
        <v>19</v>
      </c>
      <c r="N3315">
        <v>1</v>
      </c>
      <c r="O3315">
        <v>1</v>
      </c>
      <c r="P3315">
        <v>411.98</v>
      </c>
      <c r="Q3315">
        <v>411.98</v>
      </c>
    </row>
    <row r="3316" spans="7:17" x14ac:dyDescent="0.25">
      <c r="G3316" t="str">
        <f t="shared" si="51"/>
        <v/>
      </c>
      <c r="H3316" t="s">
        <v>47</v>
      </c>
      <c r="I3316" t="s">
        <v>11</v>
      </c>
      <c r="J3316" t="s">
        <v>4</v>
      </c>
      <c r="K3316" t="s">
        <v>30</v>
      </c>
      <c r="L3316" t="s">
        <v>45</v>
      </c>
      <c r="M3316" t="s">
        <v>20</v>
      </c>
      <c r="N3316">
        <v>15</v>
      </c>
      <c r="O3316">
        <v>2</v>
      </c>
      <c r="P3316">
        <v>374.8599999999999</v>
      </c>
      <c r="Q3316">
        <v>0</v>
      </c>
    </row>
    <row r="3317" spans="7:17" x14ac:dyDescent="0.25">
      <c r="G3317" t="str">
        <f t="shared" si="51"/>
        <v/>
      </c>
      <c r="H3317" t="s">
        <v>47</v>
      </c>
      <c r="I3317" t="s">
        <v>11</v>
      </c>
      <c r="J3317" t="s">
        <v>4</v>
      </c>
      <c r="K3317" t="s">
        <v>31</v>
      </c>
      <c r="L3317" t="s">
        <v>42</v>
      </c>
      <c r="M3317" t="s">
        <v>19</v>
      </c>
      <c r="N3317">
        <v>1</v>
      </c>
      <c r="O3317">
        <v>1</v>
      </c>
      <c r="P3317">
        <v>0.82</v>
      </c>
      <c r="Q3317">
        <v>0.82</v>
      </c>
    </row>
    <row r="3318" spans="7:17" x14ac:dyDescent="0.25">
      <c r="G3318" t="str">
        <f t="shared" si="51"/>
        <v/>
      </c>
      <c r="H3318" t="s">
        <v>47</v>
      </c>
      <c r="I3318" t="s">
        <v>11</v>
      </c>
      <c r="J3318" t="s">
        <v>4</v>
      </c>
      <c r="K3318" t="s">
        <v>31</v>
      </c>
      <c r="L3318" t="s">
        <v>43</v>
      </c>
      <c r="M3318" t="s">
        <v>19</v>
      </c>
      <c r="N3318">
        <v>2</v>
      </c>
      <c r="O3318">
        <v>1</v>
      </c>
      <c r="P3318">
        <v>1919.42</v>
      </c>
      <c r="Q3318">
        <v>1919.42</v>
      </c>
    </row>
    <row r="3319" spans="7:17" x14ac:dyDescent="0.25">
      <c r="G3319" t="str">
        <f t="shared" si="51"/>
        <v/>
      </c>
      <c r="H3319" t="s">
        <v>47</v>
      </c>
      <c r="I3319" t="s">
        <v>11</v>
      </c>
      <c r="J3319" t="s">
        <v>4</v>
      </c>
      <c r="K3319" t="s">
        <v>31</v>
      </c>
      <c r="L3319" t="s">
        <v>44</v>
      </c>
      <c r="M3319" t="s">
        <v>20</v>
      </c>
      <c r="N3319">
        <v>2</v>
      </c>
      <c r="O3319">
        <v>1</v>
      </c>
      <c r="P3319">
        <v>1913.3400000000001</v>
      </c>
      <c r="Q3319">
        <v>0</v>
      </c>
    </row>
    <row r="3320" spans="7:17" x14ac:dyDescent="0.25">
      <c r="G3320" t="str">
        <f t="shared" si="51"/>
        <v/>
      </c>
      <c r="H3320" t="s">
        <v>47</v>
      </c>
      <c r="I3320" t="s">
        <v>11</v>
      </c>
      <c r="J3320" t="s">
        <v>4</v>
      </c>
      <c r="K3320" t="s">
        <v>31</v>
      </c>
      <c r="L3320" t="s">
        <v>40</v>
      </c>
      <c r="M3320" t="s">
        <v>20</v>
      </c>
      <c r="N3320">
        <v>3</v>
      </c>
      <c r="O3320">
        <v>0</v>
      </c>
      <c r="P3320">
        <v>6095.67</v>
      </c>
      <c r="Q3320">
        <v>0</v>
      </c>
    </row>
    <row r="3321" spans="7:17" x14ac:dyDescent="0.25">
      <c r="G3321" t="str">
        <f t="shared" si="51"/>
        <v/>
      </c>
      <c r="H3321" t="s">
        <v>47</v>
      </c>
      <c r="I3321" t="s">
        <v>11</v>
      </c>
      <c r="J3321" t="s">
        <v>4</v>
      </c>
      <c r="K3321" t="s">
        <v>31</v>
      </c>
      <c r="L3321" t="s">
        <v>45</v>
      </c>
      <c r="M3321" t="s">
        <v>20</v>
      </c>
      <c r="N3321">
        <v>1</v>
      </c>
      <c r="O3321">
        <v>1</v>
      </c>
      <c r="P3321">
        <v>3.44</v>
      </c>
      <c r="Q3321">
        <v>0</v>
      </c>
    </row>
    <row r="3322" spans="7:17" x14ac:dyDescent="0.25">
      <c r="G3322" t="str">
        <f t="shared" si="51"/>
        <v/>
      </c>
      <c r="H3322" t="s">
        <v>47</v>
      </c>
      <c r="I3322" t="s">
        <v>11</v>
      </c>
      <c r="J3322" t="s">
        <v>4</v>
      </c>
      <c r="K3322" t="s">
        <v>32</v>
      </c>
      <c r="L3322" t="s">
        <v>42</v>
      </c>
      <c r="M3322" t="s">
        <v>19</v>
      </c>
      <c r="N3322">
        <v>117</v>
      </c>
      <c r="O3322">
        <v>2</v>
      </c>
      <c r="P3322">
        <v>14811.42</v>
      </c>
      <c r="Q3322">
        <v>11941.209999999997</v>
      </c>
    </row>
    <row r="3323" spans="7:17" x14ac:dyDescent="0.25">
      <c r="G3323" t="str">
        <f t="shared" si="51"/>
        <v/>
      </c>
      <c r="H3323" t="s">
        <v>47</v>
      </c>
      <c r="I3323" t="s">
        <v>11</v>
      </c>
      <c r="J3323" t="s">
        <v>4</v>
      </c>
      <c r="K3323" t="s">
        <v>32</v>
      </c>
      <c r="L3323" t="s">
        <v>42</v>
      </c>
      <c r="M3323" t="s">
        <v>20</v>
      </c>
      <c r="N3323">
        <v>22</v>
      </c>
      <c r="O3323">
        <v>0</v>
      </c>
      <c r="P3323">
        <v>4874.43</v>
      </c>
      <c r="Q3323">
        <v>0</v>
      </c>
    </row>
    <row r="3324" spans="7:17" x14ac:dyDescent="0.25">
      <c r="G3324" t="str">
        <f t="shared" si="51"/>
        <v/>
      </c>
      <c r="H3324" t="s">
        <v>47</v>
      </c>
      <c r="I3324" t="s">
        <v>11</v>
      </c>
      <c r="J3324" t="s">
        <v>4</v>
      </c>
      <c r="K3324" t="s">
        <v>32</v>
      </c>
      <c r="L3324" t="s">
        <v>43</v>
      </c>
      <c r="M3324" t="s">
        <v>19</v>
      </c>
      <c r="N3324">
        <v>6</v>
      </c>
      <c r="O3324">
        <v>0</v>
      </c>
      <c r="P3324">
        <v>2924.88</v>
      </c>
      <c r="Q3324">
        <v>1614.7499999999998</v>
      </c>
    </row>
    <row r="3325" spans="7:17" x14ac:dyDescent="0.25">
      <c r="G3325" t="str">
        <f t="shared" si="51"/>
        <v/>
      </c>
      <c r="H3325" t="s">
        <v>47</v>
      </c>
      <c r="I3325" t="s">
        <v>11</v>
      </c>
      <c r="J3325" t="s">
        <v>4</v>
      </c>
      <c r="K3325" t="s">
        <v>32</v>
      </c>
      <c r="L3325" t="s">
        <v>43</v>
      </c>
      <c r="M3325" t="s">
        <v>20</v>
      </c>
      <c r="N3325">
        <v>12</v>
      </c>
      <c r="O3325">
        <v>0</v>
      </c>
      <c r="P3325">
        <v>4539.22</v>
      </c>
      <c r="Q3325">
        <v>0</v>
      </c>
    </row>
    <row r="3326" spans="7:17" x14ac:dyDescent="0.25">
      <c r="G3326" t="str">
        <f t="shared" si="51"/>
        <v/>
      </c>
      <c r="H3326" t="s">
        <v>47</v>
      </c>
      <c r="I3326" t="s">
        <v>11</v>
      </c>
      <c r="J3326" t="s">
        <v>4</v>
      </c>
      <c r="K3326" t="s">
        <v>32</v>
      </c>
      <c r="L3326" t="s">
        <v>44</v>
      </c>
      <c r="M3326" t="s">
        <v>20</v>
      </c>
      <c r="N3326">
        <v>1</v>
      </c>
      <c r="O3326">
        <v>0</v>
      </c>
      <c r="P3326">
        <v>69.430000000000007</v>
      </c>
      <c r="Q3326">
        <v>0</v>
      </c>
    </row>
    <row r="3327" spans="7:17" x14ac:dyDescent="0.25">
      <c r="G3327" t="str">
        <f t="shared" si="51"/>
        <v/>
      </c>
      <c r="H3327" t="s">
        <v>47</v>
      </c>
      <c r="I3327" t="s">
        <v>11</v>
      </c>
      <c r="J3327" t="s">
        <v>4</v>
      </c>
      <c r="K3327" t="s">
        <v>32</v>
      </c>
      <c r="L3327" t="s">
        <v>39</v>
      </c>
      <c r="M3327" t="s">
        <v>19</v>
      </c>
      <c r="N3327">
        <v>1</v>
      </c>
      <c r="O3327">
        <v>0</v>
      </c>
      <c r="P3327">
        <v>1429.11</v>
      </c>
      <c r="Q3327">
        <v>388</v>
      </c>
    </row>
    <row r="3328" spans="7:17" x14ac:dyDescent="0.25">
      <c r="G3328" t="str">
        <f t="shared" si="51"/>
        <v/>
      </c>
      <c r="H3328" t="s">
        <v>47</v>
      </c>
      <c r="I3328" t="s">
        <v>11</v>
      </c>
      <c r="J3328" t="s">
        <v>4</v>
      </c>
      <c r="K3328" t="s">
        <v>32</v>
      </c>
      <c r="L3328" t="s">
        <v>39</v>
      </c>
      <c r="M3328" t="s">
        <v>20</v>
      </c>
      <c r="N3328">
        <v>2</v>
      </c>
      <c r="O3328">
        <v>1</v>
      </c>
      <c r="P3328">
        <v>492.87</v>
      </c>
      <c r="Q3328">
        <v>0</v>
      </c>
    </row>
    <row r="3329" spans="7:17" x14ac:dyDescent="0.25">
      <c r="G3329" t="str">
        <f t="shared" si="51"/>
        <v/>
      </c>
      <c r="H3329" t="s">
        <v>47</v>
      </c>
      <c r="I3329" t="s">
        <v>11</v>
      </c>
      <c r="J3329" t="s">
        <v>4</v>
      </c>
      <c r="K3329" t="s">
        <v>32</v>
      </c>
      <c r="L3329" t="s">
        <v>40</v>
      </c>
      <c r="M3329" t="s">
        <v>20</v>
      </c>
      <c r="N3329">
        <v>4</v>
      </c>
      <c r="O3329">
        <v>0</v>
      </c>
      <c r="P3329">
        <v>886.78</v>
      </c>
      <c r="Q3329">
        <v>0</v>
      </c>
    </row>
    <row r="3330" spans="7:17" x14ac:dyDescent="0.25">
      <c r="G3330" t="str">
        <f t="shared" ref="G3330:G3395" si="52">IF(G$1="Overall","Overall",IF(G$1=L3330,L3330,""))</f>
        <v/>
      </c>
      <c r="H3330" t="s">
        <v>47</v>
      </c>
      <c r="I3330" t="s">
        <v>11</v>
      </c>
      <c r="J3330" t="s">
        <v>4</v>
      </c>
      <c r="K3330" t="s">
        <v>32</v>
      </c>
      <c r="L3330" t="s">
        <v>45</v>
      </c>
      <c r="M3330" t="s">
        <v>20</v>
      </c>
      <c r="N3330">
        <v>5</v>
      </c>
      <c r="O3330">
        <v>1</v>
      </c>
      <c r="P3330">
        <v>4396.6400000000003</v>
      </c>
      <c r="Q3330">
        <v>0</v>
      </c>
    </row>
    <row r="3331" spans="7:17" x14ac:dyDescent="0.25">
      <c r="G3331" t="str">
        <f t="shared" si="52"/>
        <v/>
      </c>
      <c r="H3331" t="s">
        <v>47</v>
      </c>
      <c r="I3331" t="s">
        <v>11</v>
      </c>
      <c r="J3331" t="s">
        <v>4</v>
      </c>
      <c r="K3331" t="s">
        <v>33</v>
      </c>
      <c r="L3331" t="s">
        <v>42</v>
      </c>
      <c r="M3331" t="s">
        <v>19</v>
      </c>
      <c r="N3331">
        <v>169</v>
      </c>
      <c r="O3331">
        <v>19</v>
      </c>
      <c r="P3331">
        <v>47786.049999999996</v>
      </c>
      <c r="Q3331">
        <v>47715.95</v>
      </c>
    </row>
    <row r="3332" spans="7:17" x14ac:dyDescent="0.25">
      <c r="G3332" t="str">
        <f t="shared" si="52"/>
        <v/>
      </c>
      <c r="H3332" t="s">
        <v>47</v>
      </c>
      <c r="I3332" t="s">
        <v>11</v>
      </c>
      <c r="J3332" t="s">
        <v>4</v>
      </c>
      <c r="K3332" t="s">
        <v>33</v>
      </c>
      <c r="L3332" t="s">
        <v>42</v>
      </c>
      <c r="M3332" t="s">
        <v>20</v>
      </c>
      <c r="N3332">
        <v>4</v>
      </c>
      <c r="O3332">
        <v>1</v>
      </c>
      <c r="P3332">
        <v>1735.88</v>
      </c>
      <c r="Q3332">
        <v>0</v>
      </c>
    </row>
    <row r="3333" spans="7:17" x14ac:dyDescent="0.25">
      <c r="G3333" t="str">
        <f t="shared" si="52"/>
        <v/>
      </c>
      <c r="H3333" t="s">
        <v>47</v>
      </c>
      <c r="I3333" t="s">
        <v>11</v>
      </c>
      <c r="J3333" t="s">
        <v>4</v>
      </c>
      <c r="K3333" t="s">
        <v>33</v>
      </c>
      <c r="L3333" t="s">
        <v>43</v>
      </c>
      <c r="M3333" t="s">
        <v>19</v>
      </c>
      <c r="N3333">
        <v>6</v>
      </c>
      <c r="O3333">
        <v>1</v>
      </c>
      <c r="P3333">
        <v>3636.8</v>
      </c>
      <c r="Q3333">
        <v>3636.8</v>
      </c>
    </row>
    <row r="3334" spans="7:17" x14ac:dyDescent="0.25">
      <c r="G3334" t="str">
        <f t="shared" si="52"/>
        <v/>
      </c>
      <c r="H3334" t="s">
        <v>47</v>
      </c>
      <c r="I3334" t="s">
        <v>11</v>
      </c>
      <c r="J3334" t="s">
        <v>4</v>
      </c>
      <c r="K3334" t="s">
        <v>33</v>
      </c>
      <c r="L3334" t="s">
        <v>43</v>
      </c>
      <c r="M3334" t="s">
        <v>20</v>
      </c>
      <c r="N3334">
        <v>6</v>
      </c>
      <c r="O3334">
        <v>2</v>
      </c>
      <c r="P3334">
        <v>1183.98</v>
      </c>
      <c r="Q3334">
        <v>0</v>
      </c>
    </row>
    <row r="3335" spans="7:17" x14ac:dyDescent="0.25">
      <c r="G3335" t="str">
        <f t="shared" si="52"/>
        <v/>
      </c>
      <c r="H3335" t="s">
        <v>47</v>
      </c>
      <c r="I3335" t="s">
        <v>11</v>
      </c>
      <c r="J3335" t="s">
        <v>4</v>
      </c>
      <c r="K3335" t="s">
        <v>33</v>
      </c>
      <c r="L3335" t="s">
        <v>44</v>
      </c>
      <c r="M3335" t="s">
        <v>20</v>
      </c>
      <c r="N3335">
        <v>1</v>
      </c>
      <c r="O3335">
        <v>1</v>
      </c>
      <c r="P3335">
        <v>428.07</v>
      </c>
      <c r="Q3335">
        <v>0</v>
      </c>
    </row>
    <row r="3336" spans="7:17" x14ac:dyDescent="0.25">
      <c r="G3336" t="str">
        <f t="shared" si="52"/>
        <v/>
      </c>
      <c r="H3336" t="s">
        <v>47</v>
      </c>
      <c r="I3336" t="s">
        <v>11</v>
      </c>
      <c r="J3336" t="s">
        <v>4</v>
      </c>
      <c r="K3336" t="s">
        <v>33</v>
      </c>
      <c r="L3336" t="s">
        <v>39</v>
      </c>
      <c r="M3336" t="s">
        <v>20</v>
      </c>
      <c r="N3336">
        <v>6</v>
      </c>
      <c r="O3336">
        <v>4</v>
      </c>
      <c r="P3336">
        <v>5304.9</v>
      </c>
      <c r="Q3336">
        <v>0</v>
      </c>
    </row>
    <row r="3337" spans="7:17" x14ac:dyDescent="0.25">
      <c r="G3337" t="str">
        <f t="shared" si="52"/>
        <v/>
      </c>
      <c r="H3337" t="s">
        <v>47</v>
      </c>
      <c r="I3337" t="s">
        <v>11</v>
      </c>
      <c r="J3337" t="s">
        <v>4</v>
      </c>
      <c r="K3337" t="s">
        <v>33</v>
      </c>
      <c r="L3337" t="s">
        <v>40</v>
      </c>
      <c r="M3337" t="s">
        <v>20</v>
      </c>
      <c r="N3337">
        <v>4</v>
      </c>
      <c r="O3337">
        <v>0</v>
      </c>
      <c r="P3337">
        <v>247.64999999999998</v>
      </c>
      <c r="Q3337">
        <v>0</v>
      </c>
    </row>
    <row r="3338" spans="7:17" x14ac:dyDescent="0.25">
      <c r="G3338" t="str">
        <f t="shared" si="52"/>
        <v/>
      </c>
      <c r="H3338" t="s">
        <v>47</v>
      </c>
      <c r="I3338" t="s">
        <v>11</v>
      </c>
      <c r="J3338" t="s">
        <v>4</v>
      </c>
      <c r="K3338" t="s">
        <v>33</v>
      </c>
      <c r="L3338" t="s">
        <v>41</v>
      </c>
      <c r="M3338" t="s">
        <v>19</v>
      </c>
      <c r="N3338">
        <v>1</v>
      </c>
      <c r="O3338">
        <v>0</v>
      </c>
      <c r="P3338">
        <v>385.06</v>
      </c>
      <c r="Q3338">
        <v>383.57</v>
      </c>
    </row>
    <row r="3339" spans="7:17" x14ac:dyDescent="0.25">
      <c r="G3339" t="str">
        <f t="shared" si="52"/>
        <v/>
      </c>
      <c r="H3339" t="s">
        <v>47</v>
      </c>
      <c r="I3339" t="s">
        <v>11</v>
      </c>
      <c r="J3339" t="s">
        <v>4</v>
      </c>
      <c r="K3339" t="s">
        <v>33</v>
      </c>
      <c r="L3339" t="s">
        <v>41</v>
      </c>
      <c r="M3339" t="s">
        <v>20</v>
      </c>
      <c r="N3339">
        <v>3</v>
      </c>
      <c r="O3339">
        <v>0</v>
      </c>
      <c r="P3339">
        <v>4938.6400000000003</v>
      </c>
      <c r="Q3339">
        <v>0</v>
      </c>
    </row>
    <row r="3340" spans="7:17" x14ac:dyDescent="0.25">
      <c r="G3340" t="str">
        <f t="shared" si="52"/>
        <v/>
      </c>
      <c r="H3340" t="s">
        <v>47</v>
      </c>
      <c r="I3340" t="s">
        <v>11</v>
      </c>
      <c r="J3340" t="s">
        <v>4</v>
      </c>
      <c r="K3340" t="s">
        <v>33</v>
      </c>
      <c r="L3340" t="s">
        <v>45</v>
      </c>
      <c r="M3340" t="s">
        <v>19</v>
      </c>
      <c r="N3340">
        <v>1</v>
      </c>
      <c r="O3340">
        <v>1</v>
      </c>
      <c r="P3340">
        <v>65.19</v>
      </c>
      <c r="Q3340">
        <v>65.19</v>
      </c>
    </row>
    <row r="3341" spans="7:17" x14ac:dyDescent="0.25">
      <c r="G3341" t="str">
        <f t="shared" si="52"/>
        <v/>
      </c>
      <c r="H3341" t="s">
        <v>47</v>
      </c>
      <c r="I3341" t="s">
        <v>11</v>
      </c>
      <c r="J3341" t="s">
        <v>4</v>
      </c>
      <c r="K3341" t="s">
        <v>33</v>
      </c>
      <c r="L3341" t="s">
        <v>45</v>
      </c>
      <c r="M3341" t="s">
        <v>20</v>
      </c>
      <c r="N3341">
        <v>35</v>
      </c>
      <c r="O3341">
        <v>4</v>
      </c>
      <c r="P3341">
        <v>40454.94</v>
      </c>
      <c r="Q3341">
        <v>0</v>
      </c>
    </row>
    <row r="3342" spans="7:17" x14ac:dyDescent="0.25">
      <c r="G3342" t="str">
        <f t="shared" si="52"/>
        <v/>
      </c>
      <c r="H3342" t="s">
        <v>47</v>
      </c>
      <c r="I3342" t="s">
        <v>11</v>
      </c>
      <c r="J3342" t="s">
        <v>4</v>
      </c>
      <c r="K3342" t="s">
        <v>34</v>
      </c>
      <c r="L3342" t="s">
        <v>42</v>
      </c>
      <c r="M3342" t="s">
        <v>19</v>
      </c>
      <c r="N3342">
        <v>67</v>
      </c>
      <c r="O3342">
        <v>7</v>
      </c>
      <c r="P3342">
        <v>13145.820000000003</v>
      </c>
      <c r="Q3342">
        <v>12674.739999999998</v>
      </c>
    </row>
    <row r="3343" spans="7:17" x14ac:dyDescent="0.25">
      <c r="G3343" t="str">
        <f t="shared" si="52"/>
        <v/>
      </c>
      <c r="H3343" t="s">
        <v>47</v>
      </c>
      <c r="I3343" t="s">
        <v>11</v>
      </c>
      <c r="J3343" t="s">
        <v>4</v>
      </c>
      <c r="K3343" t="s">
        <v>34</v>
      </c>
      <c r="L3343" t="s">
        <v>42</v>
      </c>
      <c r="M3343" t="s">
        <v>20</v>
      </c>
      <c r="N3343">
        <v>23</v>
      </c>
      <c r="O3343">
        <v>5</v>
      </c>
      <c r="P3343">
        <v>4977.3200000000006</v>
      </c>
      <c r="Q3343">
        <v>0</v>
      </c>
    </row>
    <row r="3344" spans="7:17" x14ac:dyDescent="0.25">
      <c r="G3344" t="str">
        <f t="shared" si="52"/>
        <v/>
      </c>
      <c r="H3344" t="s">
        <v>47</v>
      </c>
      <c r="I3344" t="s">
        <v>11</v>
      </c>
      <c r="J3344" t="s">
        <v>4</v>
      </c>
      <c r="K3344" t="s">
        <v>34</v>
      </c>
      <c r="L3344" t="s">
        <v>43</v>
      </c>
      <c r="M3344" t="s">
        <v>19</v>
      </c>
      <c r="N3344">
        <v>19</v>
      </c>
      <c r="O3344">
        <v>5</v>
      </c>
      <c r="P3344">
        <v>13041.880000000001</v>
      </c>
      <c r="Q3344">
        <v>13041.880000000001</v>
      </c>
    </row>
    <row r="3345" spans="7:17" x14ac:dyDescent="0.25">
      <c r="G3345" t="str">
        <f t="shared" si="52"/>
        <v/>
      </c>
      <c r="H3345" t="s">
        <v>47</v>
      </c>
      <c r="I3345" t="s">
        <v>11</v>
      </c>
      <c r="J3345" t="s">
        <v>4</v>
      </c>
      <c r="K3345" t="s">
        <v>34</v>
      </c>
      <c r="L3345" t="s">
        <v>43</v>
      </c>
      <c r="M3345" t="s">
        <v>20</v>
      </c>
      <c r="N3345">
        <v>10</v>
      </c>
      <c r="O3345">
        <v>4</v>
      </c>
      <c r="P3345">
        <v>2908.5800000000004</v>
      </c>
      <c r="Q3345">
        <v>0</v>
      </c>
    </row>
    <row r="3346" spans="7:17" x14ac:dyDescent="0.25">
      <c r="G3346" t="str">
        <f t="shared" si="52"/>
        <v/>
      </c>
      <c r="H3346" t="s">
        <v>47</v>
      </c>
      <c r="I3346" t="s">
        <v>11</v>
      </c>
      <c r="J3346" t="s">
        <v>4</v>
      </c>
      <c r="K3346" t="s">
        <v>34</v>
      </c>
      <c r="L3346" t="s">
        <v>44</v>
      </c>
      <c r="M3346" t="s">
        <v>19</v>
      </c>
      <c r="N3346">
        <v>6</v>
      </c>
      <c r="O3346">
        <v>1</v>
      </c>
      <c r="P3346">
        <v>5550.02</v>
      </c>
      <c r="Q3346">
        <v>5523.29</v>
      </c>
    </row>
    <row r="3347" spans="7:17" x14ac:dyDescent="0.25">
      <c r="G3347" t="str">
        <f t="shared" si="52"/>
        <v/>
      </c>
      <c r="H3347" t="s">
        <v>47</v>
      </c>
      <c r="I3347" t="s">
        <v>11</v>
      </c>
      <c r="J3347" t="s">
        <v>4</v>
      </c>
      <c r="K3347" t="s">
        <v>34</v>
      </c>
      <c r="L3347" t="s">
        <v>44</v>
      </c>
      <c r="M3347" t="s">
        <v>20</v>
      </c>
      <c r="N3347">
        <v>3</v>
      </c>
      <c r="O3347">
        <v>3</v>
      </c>
      <c r="P3347">
        <v>1121.67</v>
      </c>
      <c r="Q3347">
        <v>0</v>
      </c>
    </row>
    <row r="3348" spans="7:17" x14ac:dyDescent="0.25">
      <c r="G3348" t="str">
        <f t="shared" si="52"/>
        <v/>
      </c>
      <c r="H3348" t="s">
        <v>47</v>
      </c>
      <c r="I3348" t="s">
        <v>11</v>
      </c>
      <c r="J3348" t="s">
        <v>4</v>
      </c>
      <c r="K3348" t="s">
        <v>34</v>
      </c>
      <c r="L3348" t="s">
        <v>39</v>
      </c>
      <c r="M3348" t="s">
        <v>19</v>
      </c>
      <c r="N3348">
        <v>4</v>
      </c>
      <c r="O3348">
        <v>1</v>
      </c>
      <c r="P3348">
        <v>4546.58</v>
      </c>
      <c r="Q3348">
        <v>4310.8999999999996</v>
      </c>
    </row>
    <row r="3349" spans="7:17" x14ac:dyDescent="0.25">
      <c r="G3349" t="str">
        <f t="shared" si="52"/>
        <v/>
      </c>
      <c r="H3349" t="s">
        <v>47</v>
      </c>
      <c r="I3349" t="s">
        <v>11</v>
      </c>
      <c r="J3349" t="s">
        <v>4</v>
      </c>
      <c r="K3349" t="s">
        <v>34</v>
      </c>
      <c r="L3349" t="s">
        <v>39</v>
      </c>
      <c r="M3349" t="s">
        <v>20</v>
      </c>
      <c r="N3349">
        <v>2</v>
      </c>
      <c r="O3349">
        <v>1</v>
      </c>
      <c r="P3349">
        <v>11.66</v>
      </c>
      <c r="Q3349">
        <v>0</v>
      </c>
    </row>
    <row r="3350" spans="7:17" x14ac:dyDescent="0.25">
      <c r="G3350" t="str">
        <f t="shared" si="52"/>
        <v/>
      </c>
      <c r="H3350" t="s">
        <v>47</v>
      </c>
      <c r="I3350" t="s">
        <v>11</v>
      </c>
      <c r="J3350" t="s">
        <v>4</v>
      </c>
      <c r="K3350" t="s">
        <v>34</v>
      </c>
      <c r="L3350" t="s">
        <v>41</v>
      </c>
      <c r="M3350" t="s">
        <v>20</v>
      </c>
      <c r="N3350">
        <v>11</v>
      </c>
      <c r="O3350">
        <v>1</v>
      </c>
      <c r="P3350">
        <v>1437.6599999999999</v>
      </c>
      <c r="Q3350">
        <v>0</v>
      </c>
    </row>
    <row r="3351" spans="7:17" x14ac:dyDescent="0.25">
      <c r="G3351" t="str">
        <f t="shared" si="52"/>
        <v/>
      </c>
      <c r="H3351" t="s">
        <v>47</v>
      </c>
      <c r="I3351" t="s">
        <v>11</v>
      </c>
      <c r="J3351" t="s">
        <v>4</v>
      </c>
      <c r="K3351" t="s">
        <v>34</v>
      </c>
      <c r="L3351" t="s">
        <v>45</v>
      </c>
      <c r="M3351" t="s">
        <v>20</v>
      </c>
      <c r="N3351">
        <v>49</v>
      </c>
      <c r="O3351">
        <v>9</v>
      </c>
      <c r="P3351">
        <v>5188.3599999999997</v>
      </c>
      <c r="Q3351">
        <v>0</v>
      </c>
    </row>
    <row r="3352" spans="7:17" x14ac:dyDescent="0.25">
      <c r="G3352" t="str">
        <f t="shared" si="52"/>
        <v/>
      </c>
      <c r="H3352" t="s">
        <v>47</v>
      </c>
      <c r="I3352" t="s">
        <v>11</v>
      </c>
      <c r="J3352" t="s">
        <v>4</v>
      </c>
      <c r="K3352" t="s">
        <v>35</v>
      </c>
      <c r="L3352" t="s">
        <v>42</v>
      </c>
      <c r="M3352" t="s">
        <v>19</v>
      </c>
      <c r="N3352">
        <v>157</v>
      </c>
      <c r="O3352">
        <v>7</v>
      </c>
      <c r="P3352">
        <v>10155.619999999999</v>
      </c>
      <c r="Q3352">
        <v>10155.619999999999</v>
      </c>
    </row>
    <row r="3353" spans="7:17" x14ac:dyDescent="0.25">
      <c r="G3353" t="str">
        <f t="shared" si="52"/>
        <v/>
      </c>
      <c r="H3353" t="s">
        <v>47</v>
      </c>
      <c r="I3353" t="s">
        <v>11</v>
      </c>
      <c r="J3353" t="s">
        <v>4</v>
      </c>
      <c r="K3353" t="s">
        <v>35</v>
      </c>
      <c r="L3353" t="s">
        <v>42</v>
      </c>
      <c r="M3353" t="s">
        <v>20</v>
      </c>
      <c r="N3353">
        <v>12</v>
      </c>
      <c r="O3353">
        <v>1</v>
      </c>
      <c r="P3353">
        <v>3048.3900000000003</v>
      </c>
      <c r="Q3353">
        <v>0</v>
      </c>
    </row>
    <row r="3354" spans="7:17" x14ac:dyDescent="0.25">
      <c r="G3354" t="str">
        <f t="shared" si="52"/>
        <v/>
      </c>
      <c r="H3354" t="s">
        <v>47</v>
      </c>
      <c r="I3354" t="s">
        <v>11</v>
      </c>
      <c r="J3354" t="s">
        <v>4</v>
      </c>
      <c r="K3354" t="s">
        <v>35</v>
      </c>
      <c r="L3354" t="s">
        <v>43</v>
      </c>
      <c r="M3354" t="s">
        <v>19</v>
      </c>
      <c r="N3354">
        <v>33</v>
      </c>
      <c r="O3354">
        <v>6</v>
      </c>
      <c r="P3354">
        <v>13963.630000000001</v>
      </c>
      <c r="Q3354">
        <v>11901.960000000003</v>
      </c>
    </row>
    <row r="3355" spans="7:17" x14ac:dyDescent="0.25">
      <c r="G3355" t="str">
        <f t="shared" si="52"/>
        <v/>
      </c>
      <c r="H3355" t="s">
        <v>47</v>
      </c>
      <c r="I3355" t="s">
        <v>11</v>
      </c>
      <c r="J3355" t="s">
        <v>4</v>
      </c>
      <c r="K3355" t="s">
        <v>35</v>
      </c>
      <c r="L3355" t="s">
        <v>43</v>
      </c>
      <c r="M3355" t="s">
        <v>20</v>
      </c>
      <c r="N3355">
        <v>22</v>
      </c>
      <c r="O3355">
        <v>4</v>
      </c>
      <c r="P3355">
        <v>9215.5499999999993</v>
      </c>
      <c r="Q3355">
        <v>0</v>
      </c>
    </row>
    <row r="3356" spans="7:17" x14ac:dyDescent="0.25">
      <c r="G3356" t="str">
        <f t="shared" si="52"/>
        <v/>
      </c>
      <c r="H3356" t="s">
        <v>47</v>
      </c>
      <c r="I3356" t="s">
        <v>11</v>
      </c>
      <c r="J3356" t="s">
        <v>4</v>
      </c>
      <c r="K3356" t="s">
        <v>35</v>
      </c>
      <c r="L3356" t="s">
        <v>44</v>
      </c>
      <c r="M3356" t="s">
        <v>19</v>
      </c>
      <c r="N3356">
        <v>10</v>
      </c>
      <c r="O3356">
        <v>5</v>
      </c>
      <c r="P3356">
        <v>7173.1699999999992</v>
      </c>
      <c r="Q3356">
        <v>4276.46</v>
      </c>
    </row>
    <row r="3357" spans="7:17" x14ac:dyDescent="0.25">
      <c r="G3357" t="str">
        <f t="shared" si="52"/>
        <v/>
      </c>
      <c r="H3357" t="s">
        <v>47</v>
      </c>
      <c r="I3357" t="s">
        <v>11</v>
      </c>
      <c r="J3357" t="s">
        <v>4</v>
      </c>
      <c r="K3357" t="s">
        <v>35</v>
      </c>
      <c r="L3357" t="s">
        <v>44</v>
      </c>
      <c r="M3357" t="s">
        <v>20</v>
      </c>
      <c r="N3357">
        <v>12</v>
      </c>
      <c r="O3357">
        <v>1</v>
      </c>
      <c r="P3357">
        <v>1849.4499999999998</v>
      </c>
      <c r="Q3357">
        <v>0</v>
      </c>
    </row>
    <row r="3358" spans="7:17" x14ac:dyDescent="0.25">
      <c r="G3358" t="str">
        <f t="shared" si="52"/>
        <v/>
      </c>
      <c r="H3358" t="s">
        <v>47</v>
      </c>
      <c r="I3358" t="s">
        <v>11</v>
      </c>
      <c r="J3358" t="s">
        <v>4</v>
      </c>
      <c r="K3358" t="s">
        <v>35</v>
      </c>
      <c r="L3358" t="s">
        <v>39</v>
      </c>
      <c r="M3358" t="s">
        <v>19</v>
      </c>
      <c r="N3358">
        <v>5</v>
      </c>
      <c r="O3358">
        <v>2</v>
      </c>
      <c r="P3358">
        <v>39520.319999999992</v>
      </c>
      <c r="Q3358">
        <v>37499.49</v>
      </c>
    </row>
    <row r="3359" spans="7:17" x14ac:dyDescent="0.25">
      <c r="G3359" t="str">
        <f t="shared" si="52"/>
        <v/>
      </c>
      <c r="H3359" t="s">
        <v>47</v>
      </c>
      <c r="I3359" t="s">
        <v>11</v>
      </c>
      <c r="J3359" t="s">
        <v>4</v>
      </c>
      <c r="K3359" t="s">
        <v>35</v>
      </c>
      <c r="L3359" t="s">
        <v>39</v>
      </c>
      <c r="M3359" t="s">
        <v>20</v>
      </c>
      <c r="N3359">
        <v>14</v>
      </c>
      <c r="O3359">
        <v>3</v>
      </c>
      <c r="P3359">
        <v>8724.26</v>
      </c>
      <c r="Q3359">
        <v>0</v>
      </c>
    </row>
    <row r="3360" spans="7:17" x14ac:dyDescent="0.25">
      <c r="G3360" t="str">
        <f t="shared" si="52"/>
        <v/>
      </c>
      <c r="H3360" t="s">
        <v>47</v>
      </c>
      <c r="I3360" t="s">
        <v>11</v>
      </c>
      <c r="J3360" t="s">
        <v>4</v>
      </c>
      <c r="K3360" t="s">
        <v>35</v>
      </c>
      <c r="L3360" t="s">
        <v>40</v>
      </c>
      <c r="M3360" t="s">
        <v>19</v>
      </c>
      <c r="N3360">
        <v>1</v>
      </c>
      <c r="O3360">
        <v>0</v>
      </c>
      <c r="P3360">
        <v>1269.83</v>
      </c>
      <c r="Q3360">
        <v>1000</v>
      </c>
    </row>
    <row r="3361" spans="7:17" x14ac:dyDescent="0.25">
      <c r="G3361" t="str">
        <f t="shared" si="52"/>
        <v/>
      </c>
      <c r="H3361" t="s">
        <v>47</v>
      </c>
      <c r="I3361" t="s">
        <v>11</v>
      </c>
      <c r="J3361" t="s">
        <v>4</v>
      </c>
      <c r="K3361" t="s">
        <v>35</v>
      </c>
      <c r="L3361" t="s">
        <v>40</v>
      </c>
      <c r="M3361" t="s">
        <v>20</v>
      </c>
      <c r="N3361">
        <v>7</v>
      </c>
      <c r="O3361">
        <v>3</v>
      </c>
      <c r="P3361">
        <v>5571.1900000000005</v>
      </c>
      <c r="Q3361">
        <v>0</v>
      </c>
    </row>
    <row r="3362" spans="7:17" x14ac:dyDescent="0.25">
      <c r="G3362" t="str">
        <f t="shared" si="52"/>
        <v/>
      </c>
      <c r="H3362" t="s">
        <v>47</v>
      </c>
      <c r="I3362" t="s">
        <v>11</v>
      </c>
      <c r="J3362" t="s">
        <v>4</v>
      </c>
      <c r="K3362" t="s">
        <v>35</v>
      </c>
      <c r="L3362" t="s">
        <v>41</v>
      </c>
      <c r="M3362" t="s">
        <v>19</v>
      </c>
      <c r="N3362">
        <v>4</v>
      </c>
      <c r="O3362">
        <v>1</v>
      </c>
      <c r="P3362">
        <v>14509.06</v>
      </c>
      <c r="Q3362">
        <v>-4600</v>
      </c>
    </row>
    <row r="3363" spans="7:17" x14ac:dyDescent="0.25">
      <c r="G3363" t="str">
        <f t="shared" si="52"/>
        <v/>
      </c>
      <c r="H3363" t="s">
        <v>47</v>
      </c>
      <c r="I3363" t="s">
        <v>11</v>
      </c>
      <c r="J3363" t="s">
        <v>4</v>
      </c>
      <c r="K3363" t="s">
        <v>35</v>
      </c>
      <c r="L3363" t="s">
        <v>41</v>
      </c>
      <c r="M3363" t="s">
        <v>20</v>
      </c>
      <c r="N3363">
        <v>1</v>
      </c>
      <c r="O3363">
        <v>0</v>
      </c>
      <c r="P3363">
        <v>911.23</v>
      </c>
      <c r="Q3363">
        <v>0</v>
      </c>
    </row>
    <row r="3364" spans="7:17" x14ac:dyDescent="0.25">
      <c r="G3364" t="str">
        <f t="shared" si="52"/>
        <v/>
      </c>
      <c r="H3364" t="s">
        <v>47</v>
      </c>
      <c r="I3364" t="s">
        <v>11</v>
      </c>
      <c r="J3364" t="s">
        <v>4</v>
      </c>
      <c r="K3364" t="s">
        <v>35</v>
      </c>
      <c r="L3364" t="s">
        <v>45</v>
      </c>
      <c r="M3364" t="s">
        <v>20</v>
      </c>
      <c r="N3364">
        <v>44</v>
      </c>
      <c r="O3364">
        <v>15</v>
      </c>
      <c r="P3364">
        <v>37462.300000000003</v>
      </c>
      <c r="Q3364">
        <v>0</v>
      </c>
    </row>
    <row r="3365" spans="7:17" x14ac:dyDescent="0.25">
      <c r="G3365" t="str">
        <f t="shared" si="52"/>
        <v/>
      </c>
      <c r="H3365" t="s">
        <v>47</v>
      </c>
      <c r="I3365" t="s">
        <v>11</v>
      </c>
      <c r="J3365" t="s">
        <v>4</v>
      </c>
      <c r="K3365" t="s">
        <v>36</v>
      </c>
      <c r="L3365" t="s">
        <v>42</v>
      </c>
      <c r="M3365" t="s">
        <v>19</v>
      </c>
      <c r="N3365">
        <v>483</v>
      </c>
      <c r="O3365">
        <v>21</v>
      </c>
      <c r="P3365">
        <v>89109.070000000109</v>
      </c>
      <c r="Q3365">
        <v>88603.450000000084</v>
      </c>
    </row>
    <row r="3366" spans="7:17" x14ac:dyDescent="0.25">
      <c r="G3366" t="str">
        <f t="shared" si="52"/>
        <v/>
      </c>
      <c r="H3366" t="s">
        <v>47</v>
      </c>
      <c r="I3366" t="s">
        <v>11</v>
      </c>
      <c r="J3366" t="s">
        <v>4</v>
      </c>
      <c r="K3366" t="s">
        <v>36</v>
      </c>
      <c r="L3366" t="s">
        <v>42</v>
      </c>
      <c r="M3366" t="s">
        <v>20</v>
      </c>
      <c r="N3366">
        <v>87</v>
      </c>
      <c r="O3366">
        <v>1</v>
      </c>
      <c r="P3366">
        <v>26579.599999999988</v>
      </c>
      <c r="Q3366">
        <v>0</v>
      </c>
    </row>
    <row r="3367" spans="7:17" x14ac:dyDescent="0.25">
      <c r="G3367" t="str">
        <f t="shared" si="52"/>
        <v/>
      </c>
      <c r="H3367" t="s">
        <v>47</v>
      </c>
      <c r="I3367" t="s">
        <v>11</v>
      </c>
      <c r="J3367" t="s">
        <v>4</v>
      </c>
      <c r="K3367" t="s">
        <v>36</v>
      </c>
      <c r="L3367" t="s">
        <v>43</v>
      </c>
      <c r="M3367" t="s">
        <v>19</v>
      </c>
      <c r="N3367">
        <v>55</v>
      </c>
      <c r="O3367">
        <v>7</v>
      </c>
      <c r="P3367">
        <v>25087.109999999997</v>
      </c>
      <c r="Q3367">
        <v>23765.49</v>
      </c>
    </row>
    <row r="3368" spans="7:17" x14ac:dyDescent="0.25">
      <c r="G3368" t="str">
        <f t="shared" si="52"/>
        <v/>
      </c>
      <c r="H3368" t="s">
        <v>47</v>
      </c>
      <c r="I3368" t="s">
        <v>11</v>
      </c>
      <c r="J3368" t="s">
        <v>4</v>
      </c>
      <c r="K3368" t="s">
        <v>36</v>
      </c>
      <c r="L3368" t="s">
        <v>43</v>
      </c>
      <c r="M3368" t="s">
        <v>20</v>
      </c>
      <c r="N3368">
        <v>11</v>
      </c>
      <c r="O3368">
        <v>1</v>
      </c>
      <c r="P3368">
        <v>3039.76</v>
      </c>
      <c r="Q3368">
        <v>0</v>
      </c>
    </row>
    <row r="3369" spans="7:17" x14ac:dyDescent="0.25">
      <c r="G3369" t="str">
        <f t="shared" si="52"/>
        <v/>
      </c>
      <c r="H3369" t="s">
        <v>47</v>
      </c>
      <c r="I3369" t="s">
        <v>11</v>
      </c>
      <c r="J3369" t="s">
        <v>4</v>
      </c>
      <c r="K3369" t="s">
        <v>36</v>
      </c>
      <c r="L3369" t="s">
        <v>44</v>
      </c>
      <c r="M3369" t="s">
        <v>19</v>
      </c>
      <c r="N3369">
        <v>8</v>
      </c>
      <c r="O3369">
        <v>2</v>
      </c>
      <c r="P3369">
        <v>6494.2000000000016</v>
      </c>
      <c r="Q3369">
        <v>6339.0999999999995</v>
      </c>
    </row>
    <row r="3370" spans="7:17" x14ac:dyDescent="0.25">
      <c r="G3370" t="str">
        <f t="shared" si="52"/>
        <v/>
      </c>
      <c r="H3370" t="s">
        <v>47</v>
      </c>
      <c r="I3370" t="s">
        <v>11</v>
      </c>
      <c r="J3370" t="s">
        <v>4</v>
      </c>
      <c r="K3370" t="s">
        <v>36</v>
      </c>
      <c r="L3370" t="s">
        <v>44</v>
      </c>
      <c r="M3370" t="s">
        <v>20</v>
      </c>
      <c r="N3370">
        <v>4</v>
      </c>
      <c r="O3370">
        <v>2</v>
      </c>
      <c r="P3370">
        <v>1939.7</v>
      </c>
      <c r="Q3370">
        <v>0</v>
      </c>
    </row>
    <row r="3371" spans="7:17" x14ac:dyDescent="0.25">
      <c r="G3371" t="str">
        <f t="shared" si="52"/>
        <v/>
      </c>
      <c r="H3371" t="s">
        <v>47</v>
      </c>
      <c r="I3371" t="s">
        <v>11</v>
      </c>
      <c r="J3371" t="s">
        <v>4</v>
      </c>
      <c r="K3371" t="s">
        <v>36</v>
      </c>
      <c r="L3371" t="s">
        <v>39</v>
      </c>
      <c r="M3371" t="s">
        <v>19</v>
      </c>
      <c r="N3371">
        <v>3</v>
      </c>
      <c r="O3371">
        <v>3</v>
      </c>
      <c r="P3371">
        <v>4038.3499999999995</v>
      </c>
      <c r="Q3371">
        <v>3510.8900000000003</v>
      </c>
    </row>
    <row r="3372" spans="7:17" x14ac:dyDescent="0.25">
      <c r="G3372" t="str">
        <f t="shared" si="52"/>
        <v/>
      </c>
      <c r="H3372" t="s">
        <v>47</v>
      </c>
      <c r="I3372" t="s">
        <v>11</v>
      </c>
      <c r="J3372" t="s">
        <v>4</v>
      </c>
      <c r="K3372" t="s">
        <v>36</v>
      </c>
      <c r="L3372" t="s">
        <v>39</v>
      </c>
      <c r="M3372" t="s">
        <v>20</v>
      </c>
      <c r="N3372">
        <v>6</v>
      </c>
      <c r="O3372">
        <v>4</v>
      </c>
      <c r="P3372">
        <v>4243.3</v>
      </c>
      <c r="Q3372">
        <v>0</v>
      </c>
    </row>
    <row r="3373" spans="7:17" x14ac:dyDescent="0.25">
      <c r="G3373" t="str">
        <f t="shared" si="52"/>
        <v/>
      </c>
      <c r="H3373" t="s">
        <v>47</v>
      </c>
      <c r="I3373" t="s">
        <v>11</v>
      </c>
      <c r="J3373" t="s">
        <v>4</v>
      </c>
      <c r="K3373" t="s">
        <v>36</v>
      </c>
      <c r="L3373" t="s">
        <v>40</v>
      </c>
      <c r="M3373" t="s">
        <v>19</v>
      </c>
      <c r="N3373">
        <v>5</v>
      </c>
      <c r="O3373">
        <v>0</v>
      </c>
      <c r="P3373">
        <v>5813.94</v>
      </c>
      <c r="Q3373">
        <v>5478.49</v>
      </c>
    </row>
    <row r="3374" spans="7:17" x14ac:dyDescent="0.25">
      <c r="G3374" t="str">
        <f t="shared" si="52"/>
        <v/>
      </c>
      <c r="H3374" t="s">
        <v>47</v>
      </c>
      <c r="I3374" t="s">
        <v>11</v>
      </c>
      <c r="J3374" t="s">
        <v>4</v>
      </c>
      <c r="K3374" t="s">
        <v>36</v>
      </c>
      <c r="L3374" t="s">
        <v>40</v>
      </c>
      <c r="M3374" t="s">
        <v>20</v>
      </c>
      <c r="N3374">
        <v>4</v>
      </c>
      <c r="O3374">
        <v>2</v>
      </c>
      <c r="P3374">
        <v>2335.19</v>
      </c>
      <c r="Q3374">
        <v>0</v>
      </c>
    </row>
    <row r="3375" spans="7:17" x14ac:dyDescent="0.25">
      <c r="G3375" t="str">
        <f t="shared" si="52"/>
        <v/>
      </c>
      <c r="H3375" t="s">
        <v>47</v>
      </c>
      <c r="I3375" t="s">
        <v>11</v>
      </c>
      <c r="J3375" t="s">
        <v>4</v>
      </c>
      <c r="K3375" t="s">
        <v>36</v>
      </c>
      <c r="L3375" t="s">
        <v>41</v>
      </c>
      <c r="M3375" t="s">
        <v>19</v>
      </c>
      <c r="N3375">
        <v>8</v>
      </c>
      <c r="O3375">
        <v>0</v>
      </c>
      <c r="P3375">
        <v>12119.739999999998</v>
      </c>
      <c r="Q3375">
        <v>11869.739999999998</v>
      </c>
    </row>
    <row r="3376" spans="7:17" x14ac:dyDescent="0.25">
      <c r="G3376" t="str">
        <f t="shared" si="52"/>
        <v/>
      </c>
      <c r="H3376" t="s">
        <v>47</v>
      </c>
      <c r="I3376" t="s">
        <v>11</v>
      </c>
      <c r="J3376" t="s">
        <v>4</v>
      </c>
      <c r="K3376" t="s">
        <v>36</v>
      </c>
      <c r="L3376" t="s">
        <v>41</v>
      </c>
      <c r="M3376" t="s">
        <v>20</v>
      </c>
      <c r="N3376">
        <v>8</v>
      </c>
      <c r="O3376">
        <v>1</v>
      </c>
      <c r="P3376">
        <v>1104.9599999999998</v>
      </c>
      <c r="Q3376">
        <v>0</v>
      </c>
    </row>
    <row r="3377" spans="7:17" x14ac:dyDescent="0.25">
      <c r="G3377" t="str">
        <f t="shared" si="52"/>
        <v/>
      </c>
      <c r="H3377" t="s">
        <v>47</v>
      </c>
      <c r="I3377" t="s">
        <v>11</v>
      </c>
      <c r="J3377" t="s">
        <v>4</v>
      </c>
      <c r="K3377" t="s">
        <v>36</v>
      </c>
      <c r="L3377" t="s">
        <v>45</v>
      </c>
      <c r="M3377" t="s">
        <v>19</v>
      </c>
      <c r="N3377">
        <v>2</v>
      </c>
      <c r="O3377">
        <v>0</v>
      </c>
      <c r="P3377">
        <v>3118.63</v>
      </c>
      <c r="Q3377">
        <v>3118.63</v>
      </c>
    </row>
    <row r="3378" spans="7:17" x14ac:dyDescent="0.25">
      <c r="G3378" t="str">
        <f t="shared" si="52"/>
        <v/>
      </c>
      <c r="H3378" t="s">
        <v>47</v>
      </c>
      <c r="I3378" t="s">
        <v>11</v>
      </c>
      <c r="J3378" t="s">
        <v>4</v>
      </c>
      <c r="K3378" t="s">
        <v>36</v>
      </c>
      <c r="L3378" t="s">
        <v>45</v>
      </c>
      <c r="M3378" t="s">
        <v>20</v>
      </c>
      <c r="N3378">
        <v>69</v>
      </c>
      <c r="O3378">
        <v>11</v>
      </c>
      <c r="P3378">
        <v>11755.300000000001</v>
      </c>
      <c r="Q3378">
        <v>0</v>
      </c>
    </row>
    <row r="3379" spans="7:17" x14ac:dyDescent="0.25">
      <c r="G3379" t="str">
        <f t="shared" si="52"/>
        <v/>
      </c>
      <c r="H3379" t="s">
        <v>47</v>
      </c>
      <c r="I3379" t="s">
        <v>11</v>
      </c>
      <c r="J3379" t="s">
        <v>4</v>
      </c>
      <c r="K3379" t="s">
        <v>37</v>
      </c>
      <c r="L3379" t="s">
        <v>42</v>
      </c>
      <c r="M3379" t="s">
        <v>19</v>
      </c>
      <c r="N3379">
        <v>453</v>
      </c>
      <c r="O3379">
        <v>24</v>
      </c>
      <c r="P3379">
        <v>83946.77</v>
      </c>
      <c r="Q3379">
        <v>83945.450000000012</v>
      </c>
    </row>
    <row r="3380" spans="7:17" x14ac:dyDescent="0.25">
      <c r="G3380" t="str">
        <f t="shared" si="52"/>
        <v/>
      </c>
      <c r="H3380" t="s">
        <v>47</v>
      </c>
      <c r="I3380" t="s">
        <v>11</v>
      </c>
      <c r="J3380" t="s">
        <v>4</v>
      </c>
      <c r="K3380" t="s">
        <v>37</v>
      </c>
      <c r="L3380" t="s">
        <v>42</v>
      </c>
      <c r="M3380" t="s">
        <v>20</v>
      </c>
      <c r="N3380">
        <v>34</v>
      </c>
      <c r="O3380">
        <v>7</v>
      </c>
      <c r="P3380">
        <v>5426.7300000000005</v>
      </c>
      <c r="Q3380">
        <v>0</v>
      </c>
    </row>
    <row r="3381" spans="7:17" x14ac:dyDescent="0.25">
      <c r="G3381" t="str">
        <f t="shared" si="52"/>
        <v/>
      </c>
      <c r="H3381" t="s">
        <v>47</v>
      </c>
      <c r="I3381" t="s">
        <v>11</v>
      </c>
      <c r="J3381" t="s">
        <v>4</v>
      </c>
      <c r="K3381" t="s">
        <v>37</v>
      </c>
      <c r="L3381" t="s">
        <v>43</v>
      </c>
      <c r="M3381" t="s">
        <v>19</v>
      </c>
      <c r="N3381">
        <v>74</v>
      </c>
      <c r="O3381">
        <v>14</v>
      </c>
      <c r="P3381">
        <v>36665.110000000008</v>
      </c>
      <c r="Q3381">
        <v>36189.600000000006</v>
      </c>
    </row>
    <row r="3382" spans="7:17" x14ac:dyDescent="0.25">
      <c r="G3382" t="str">
        <f t="shared" si="52"/>
        <v/>
      </c>
      <c r="H3382" t="s">
        <v>47</v>
      </c>
      <c r="I3382" t="s">
        <v>11</v>
      </c>
      <c r="J3382" t="s">
        <v>4</v>
      </c>
      <c r="K3382" t="s">
        <v>37</v>
      </c>
      <c r="L3382" t="s">
        <v>43</v>
      </c>
      <c r="M3382" t="s">
        <v>20</v>
      </c>
      <c r="N3382">
        <v>22</v>
      </c>
      <c r="O3382">
        <v>10</v>
      </c>
      <c r="P3382">
        <v>4827.6000000000004</v>
      </c>
      <c r="Q3382">
        <v>0</v>
      </c>
    </row>
    <row r="3383" spans="7:17" x14ac:dyDescent="0.25">
      <c r="G3383" t="str">
        <f t="shared" si="52"/>
        <v/>
      </c>
      <c r="H3383" t="s">
        <v>47</v>
      </c>
      <c r="I3383" t="s">
        <v>11</v>
      </c>
      <c r="J3383" t="s">
        <v>4</v>
      </c>
      <c r="K3383" t="s">
        <v>37</v>
      </c>
      <c r="L3383" t="s">
        <v>44</v>
      </c>
      <c r="M3383" t="s">
        <v>19</v>
      </c>
      <c r="N3383">
        <v>6</v>
      </c>
      <c r="O3383">
        <v>5</v>
      </c>
      <c r="P3383">
        <v>4770.55</v>
      </c>
      <c r="Q3383">
        <v>4717.92</v>
      </c>
    </row>
    <row r="3384" spans="7:17" x14ac:dyDescent="0.25">
      <c r="G3384" t="str">
        <f t="shared" si="52"/>
        <v/>
      </c>
      <c r="H3384" t="s">
        <v>47</v>
      </c>
      <c r="I3384" t="s">
        <v>11</v>
      </c>
      <c r="J3384" t="s">
        <v>4</v>
      </c>
      <c r="K3384" t="s">
        <v>37</v>
      </c>
      <c r="L3384" t="s">
        <v>44</v>
      </c>
      <c r="M3384" t="s">
        <v>20</v>
      </c>
      <c r="N3384">
        <v>7</v>
      </c>
      <c r="O3384">
        <v>5</v>
      </c>
      <c r="P3384">
        <v>7288.03</v>
      </c>
      <c r="Q3384">
        <v>0</v>
      </c>
    </row>
    <row r="3385" spans="7:17" x14ac:dyDescent="0.25">
      <c r="G3385" t="str">
        <f t="shared" si="52"/>
        <v/>
      </c>
      <c r="H3385" t="s">
        <v>47</v>
      </c>
      <c r="I3385" t="s">
        <v>11</v>
      </c>
      <c r="J3385" t="s">
        <v>4</v>
      </c>
      <c r="K3385" t="s">
        <v>37</v>
      </c>
      <c r="L3385" t="s">
        <v>39</v>
      </c>
      <c r="M3385" t="s">
        <v>20</v>
      </c>
      <c r="N3385">
        <v>8</v>
      </c>
      <c r="O3385">
        <v>5</v>
      </c>
      <c r="P3385">
        <v>8419.7099999999991</v>
      </c>
      <c r="Q3385">
        <v>0</v>
      </c>
    </row>
    <row r="3386" spans="7:17" x14ac:dyDescent="0.25">
      <c r="G3386" t="str">
        <f t="shared" si="52"/>
        <v/>
      </c>
      <c r="H3386" t="s">
        <v>47</v>
      </c>
      <c r="I3386" t="s">
        <v>11</v>
      </c>
      <c r="J3386" t="s">
        <v>4</v>
      </c>
      <c r="K3386" t="s">
        <v>37</v>
      </c>
      <c r="L3386" t="s">
        <v>40</v>
      </c>
      <c r="M3386" t="s">
        <v>20</v>
      </c>
      <c r="N3386">
        <v>6</v>
      </c>
      <c r="O3386">
        <v>1</v>
      </c>
      <c r="P3386">
        <v>2523.2200000000003</v>
      </c>
      <c r="Q3386">
        <v>0</v>
      </c>
    </row>
    <row r="3387" spans="7:17" x14ac:dyDescent="0.25">
      <c r="G3387" t="str">
        <f t="shared" si="52"/>
        <v/>
      </c>
      <c r="H3387" t="s">
        <v>47</v>
      </c>
      <c r="I3387" t="s">
        <v>11</v>
      </c>
      <c r="J3387" t="s">
        <v>4</v>
      </c>
      <c r="K3387" t="s">
        <v>37</v>
      </c>
      <c r="L3387" t="s">
        <v>41</v>
      </c>
      <c r="M3387" t="s">
        <v>20</v>
      </c>
      <c r="N3387">
        <v>2</v>
      </c>
      <c r="O3387">
        <v>0</v>
      </c>
      <c r="P3387">
        <v>2821.52</v>
      </c>
      <c r="Q3387">
        <v>0</v>
      </c>
    </row>
    <row r="3388" spans="7:17" x14ac:dyDescent="0.25">
      <c r="G3388" t="str">
        <f t="shared" si="52"/>
        <v/>
      </c>
      <c r="H3388" t="s">
        <v>47</v>
      </c>
      <c r="I3388" t="s">
        <v>11</v>
      </c>
      <c r="J3388" t="s">
        <v>4</v>
      </c>
      <c r="K3388" t="s">
        <v>37</v>
      </c>
      <c r="L3388" t="s">
        <v>45</v>
      </c>
      <c r="M3388" t="s">
        <v>19</v>
      </c>
      <c r="N3388">
        <v>1</v>
      </c>
      <c r="O3388">
        <v>1</v>
      </c>
      <c r="P3388">
        <v>551.62</v>
      </c>
      <c r="Q3388">
        <v>550</v>
      </c>
    </row>
    <row r="3389" spans="7:17" x14ac:dyDescent="0.25">
      <c r="G3389" t="str">
        <f t="shared" si="52"/>
        <v/>
      </c>
      <c r="H3389" t="s">
        <v>47</v>
      </c>
      <c r="I3389" t="s">
        <v>11</v>
      </c>
      <c r="J3389" t="s">
        <v>4</v>
      </c>
      <c r="K3389" t="s">
        <v>37</v>
      </c>
      <c r="L3389" t="s">
        <v>45</v>
      </c>
      <c r="M3389" t="s">
        <v>20</v>
      </c>
      <c r="N3389">
        <v>84</v>
      </c>
      <c r="O3389">
        <v>14</v>
      </c>
      <c r="P3389">
        <v>35029.64</v>
      </c>
      <c r="Q3389">
        <v>0</v>
      </c>
    </row>
    <row r="3390" spans="7:17" x14ac:dyDescent="0.25">
      <c r="G3390" t="str">
        <f t="shared" si="52"/>
        <v/>
      </c>
      <c r="H3390" t="s">
        <v>47</v>
      </c>
      <c r="I3390" t="s">
        <v>11</v>
      </c>
      <c r="J3390" t="s">
        <v>4</v>
      </c>
      <c r="K3390" t="s">
        <v>38</v>
      </c>
      <c r="L3390" t="s">
        <v>42</v>
      </c>
      <c r="M3390" t="s">
        <v>19</v>
      </c>
      <c r="N3390">
        <v>133</v>
      </c>
      <c r="O3390">
        <v>7</v>
      </c>
      <c r="P3390">
        <v>28123.279999999992</v>
      </c>
      <c r="Q3390">
        <v>27715.459999999992</v>
      </c>
    </row>
    <row r="3391" spans="7:17" x14ac:dyDescent="0.25">
      <c r="G3391" t="str">
        <f t="shared" si="52"/>
        <v/>
      </c>
      <c r="H3391" t="s">
        <v>47</v>
      </c>
      <c r="I3391" t="s">
        <v>11</v>
      </c>
      <c r="J3391" t="s">
        <v>4</v>
      </c>
      <c r="K3391" t="s">
        <v>38</v>
      </c>
      <c r="L3391" t="s">
        <v>42</v>
      </c>
      <c r="M3391" t="s">
        <v>20</v>
      </c>
      <c r="N3391">
        <v>43</v>
      </c>
      <c r="O3391">
        <v>0</v>
      </c>
      <c r="P3391">
        <v>6709.579999999999</v>
      </c>
      <c r="Q3391">
        <v>0</v>
      </c>
    </row>
    <row r="3392" spans="7:17" x14ac:dyDescent="0.25">
      <c r="G3392" t="str">
        <f t="shared" si="52"/>
        <v/>
      </c>
      <c r="H3392" t="s">
        <v>47</v>
      </c>
      <c r="I3392" t="s">
        <v>11</v>
      </c>
      <c r="J3392" t="s">
        <v>4</v>
      </c>
      <c r="K3392" t="s">
        <v>38</v>
      </c>
      <c r="L3392" t="s">
        <v>43</v>
      </c>
      <c r="M3392" t="s">
        <v>19</v>
      </c>
      <c r="N3392">
        <v>54</v>
      </c>
      <c r="O3392">
        <v>11</v>
      </c>
      <c r="P3392">
        <v>34849.730000000003</v>
      </c>
      <c r="Q3392">
        <v>33286.01</v>
      </c>
    </row>
    <row r="3393" spans="7:17" x14ac:dyDescent="0.25">
      <c r="G3393" t="str">
        <f t="shared" si="52"/>
        <v/>
      </c>
      <c r="H3393" t="s">
        <v>47</v>
      </c>
      <c r="I3393" t="s">
        <v>11</v>
      </c>
      <c r="J3393" t="s">
        <v>4</v>
      </c>
      <c r="K3393" t="s">
        <v>38</v>
      </c>
      <c r="L3393" t="s">
        <v>43</v>
      </c>
      <c r="M3393" t="s">
        <v>20</v>
      </c>
      <c r="N3393">
        <v>60</v>
      </c>
      <c r="O3393">
        <v>5</v>
      </c>
      <c r="P3393">
        <v>24993.44000000001</v>
      </c>
      <c r="Q3393">
        <v>0</v>
      </c>
    </row>
    <row r="3394" spans="7:17" x14ac:dyDescent="0.25">
      <c r="G3394" t="str">
        <f t="shared" si="52"/>
        <v/>
      </c>
      <c r="H3394" t="s">
        <v>47</v>
      </c>
      <c r="I3394" t="s">
        <v>11</v>
      </c>
      <c r="J3394" t="s">
        <v>4</v>
      </c>
      <c r="K3394" t="s">
        <v>38</v>
      </c>
      <c r="L3394" t="s">
        <v>44</v>
      </c>
      <c r="M3394" t="s">
        <v>19</v>
      </c>
      <c r="N3394">
        <v>13</v>
      </c>
      <c r="O3394">
        <v>3</v>
      </c>
      <c r="P3394">
        <v>9418.7300000000014</v>
      </c>
      <c r="Q3394">
        <v>5159.8899999999994</v>
      </c>
    </row>
    <row r="3395" spans="7:17" x14ac:dyDescent="0.25">
      <c r="G3395" t="str">
        <f t="shared" si="52"/>
        <v/>
      </c>
      <c r="H3395" t="s">
        <v>47</v>
      </c>
      <c r="I3395" t="s">
        <v>11</v>
      </c>
      <c r="J3395" t="s">
        <v>4</v>
      </c>
      <c r="K3395" t="s">
        <v>38</v>
      </c>
      <c r="L3395" t="s">
        <v>44</v>
      </c>
      <c r="M3395" t="s">
        <v>20</v>
      </c>
      <c r="N3395">
        <v>34</v>
      </c>
      <c r="O3395">
        <v>3</v>
      </c>
      <c r="P3395">
        <v>23864.909999999993</v>
      </c>
      <c r="Q3395">
        <v>0</v>
      </c>
    </row>
    <row r="3396" spans="7:17" x14ac:dyDescent="0.25">
      <c r="G3396" t="str">
        <f t="shared" ref="G3396:G3398" si="53">IF(G$1="Overall","Overall",IF(G$1=L3396,L3396,""))</f>
        <v/>
      </c>
      <c r="H3396" t="s">
        <v>47</v>
      </c>
      <c r="I3396" t="s">
        <v>11</v>
      </c>
      <c r="J3396" t="s">
        <v>4</v>
      </c>
      <c r="K3396" t="s">
        <v>38</v>
      </c>
      <c r="L3396" t="s">
        <v>39</v>
      </c>
      <c r="M3396" t="s">
        <v>20</v>
      </c>
      <c r="N3396">
        <v>2</v>
      </c>
      <c r="O3396">
        <v>2</v>
      </c>
      <c r="P3396">
        <v>812.22</v>
      </c>
      <c r="Q3396">
        <v>0</v>
      </c>
    </row>
    <row r="3397" spans="7:17" x14ac:dyDescent="0.25">
      <c r="G3397" t="str">
        <f t="shared" si="53"/>
        <v/>
      </c>
      <c r="H3397" t="s">
        <v>47</v>
      </c>
      <c r="I3397" t="s">
        <v>11</v>
      </c>
      <c r="J3397" t="s">
        <v>4</v>
      </c>
      <c r="K3397" t="s">
        <v>38</v>
      </c>
      <c r="L3397" t="s">
        <v>41</v>
      </c>
      <c r="M3397" t="s">
        <v>20</v>
      </c>
      <c r="N3397">
        <v>2</v>
      </c>
      <c r="O3397">
        <v>1</v>
      </c>
      <c r="P3397">
        <v>281.29000000000002</v>
      </c>
      <c r="Q3397">
        <v>0</v>
      </c>
    </row>
    <row r="3398" spans="7:17" x14ac:dyDescent="0.25">
      <c r="G3398" t="str">
        <f t="shared" si="53"/>
        <v/>
      </c>
      <c r="H3398" t="s">
        <v>47</v>
      </c>
      <c r="I3398" t="s">
        <v>11</v>
      </c>
      <c r="J3398" t="s">
        <v>4</v>
      </c>
      <c r="K3398" t="s">
        <v>38</v>
      </c>
      <c r="L3398" t="s">
        <v>45</v>
      </c>
      <c r="M3398" t="s">
        <v>20</v>
      </c>
      <c r="N3398">
        <v>16</v>
      </c>
      <c r="O3398">
        <v>5</v>
      </c>
      <c r="P3398">
        <v>3431.11</v>
      </c>
      <c r="Q3398">
        <v>0</v>
      </c>
    </row>
  </sheetData>
  <sortState xmlns:xlrd2="http://schemas.microsoft.com/office/spreadsheetml/2017/richdata2" ref="A2:Q3395">
    <sortCondition ref="H2:H339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F1ADF73-71D9-4C00-BC26-C3EC05D31889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Summary</vt:lpstr>
      <vt:lpstr>Setup</vt:lpstr>
      <vt:lpstr>SummarizedData</vt:lpstr>
      <vt:lpstr>BillCycle</vt:lpstr>
      <vt:lpstr>Days</vt:lpstr>
      <vt:lpstr>Month</vt:lpstr>
      <vt:lpstr>Portfolio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Shyam Sundar Shankar</dc:creator>
  <cp:lastModifiedBy>Shyam Sundar Shankar</cp:lastModifiedBy>
  <dcterms:created xsi:type="dcterms:W3CDTF">2018-01-18T23:37:57Z</dcterms:created>
  <dcterms:modified xsi:type="dcterms:W3CDTF">2020-07-19T19:08:00Z</dcterms:modified>
</cp:coreProperties>
</file>